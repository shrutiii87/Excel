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defaultThemeVersion="166925"/>
  <mc:AlternateContent xmlns:mc="http://schemas.openxmlformats.org/markup-compatibility/2006">
    <mc:Choice Requires="x15">
      <x15ac:absPath xmlns:x15ac="http://schemas.microsoft.com/office/spreadsheetml/2010/11/ac" url="C:\Users\admin\Desktop\Excel\final exam\"/>
    </mc:Choice>
  </mc:AlternateContent>
  <xr:revisionPtr revIDLastSave="0" documentId="13_ncr:1_{F2CFCCAF-4238-4D18-9D7F-0D42C8E89AD2}" xr6:coauthVersionLast="36" xr6:coauthVersionMax="36" xr10:uidLastSave="{00000000-0000-0000-0000-000000000000}"/>
  <bookViews>
    <workbookView xWindow="0" yWindow="0" windowWidth="19200" windowHeight="6810" activeTab="2" xr2:uid="{00000000-000D-0000-FFFF-FFFF00000000}"/>
  </bookViews>
  <sheets>
    <sheet name="raw data" sheetId="1" r:id="rId1"/>
    <sheet name="pivot table" sheetId="9" r:id="rId2"/>
    <sheet name="charts" sheetId="7" r:id="rId3"/>
    <sheet name="data cleaning" sheetId="2" r:id="rId4"/>
    <sheet name="dashboard" sheetId="8" r:id="rId5"/>
  </sheets>
  <definedNames>
    <definedName name="NativeTimeline_Date">#N/A</definedName>
    <definedName name="Slicer_CustomerType">#N/A</definedName>
    <definedName name="Slicer_FullName">#N/A</definedName>
    <definedName name="Slicer_ProductCategory">#N/A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Lst>
</workbook>
</file>

<file path=xl/calcChain.xml><?xml version="1.0" encoding="utf-8"?>
<calcChain xmlns="http://schemas.openxmlformats.org/spreadsheetml/2006/main">
  <c r="O21" i="2" l="1"/>
  <c r="J2000"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17" i="2"/>
  <c r="J18" i="2"/>
  <c r="J19" i="2"/>
  <c r="J20" i="2"/>
  <c r="J21" i="2"/>
  <c r="J22" i="2"/>
  <c r="J23" i="2"/>
  <c r="J24" i="2"/>
  <c r="J25" i="2"/>
  <c r="J26" i="2"/>
  <c r="J27" i="2"/>
  <c r="J28" i="2"/>
  <c r="J3" i="2"/>
  <c r="J4" i="2"/>
  <c r="J5" i="2"/>
  <c r="J6" i="2"/>
  <c r="J7" i="2"/>
  <c r="J8" i="2"/>
  <c r="J9" i="2"/>
  <c r="J10" i="2"/>
  <c r="J11" i="2"/>
  <c r="J12" i="2"/>
  <c r="J13" i="2"/>
  <c r="J14" i="2"/>
  <c r="J15" i="2"/>
  <c r="J16" i="2"/>
  <c r="J2"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17" i="2"/>
  <c r="I18" i="2"/>
  <c r="I19" i="2"/>
  <c r="I20" i="2"/>
  <c r="I21" i="2"/>
  <c r="I22" i="2"/>
  <c r="I23" i="2"/>
  <c r="I24" i="2"/>
  <c r="I25" i="2"/>
  <c r="I26" i="2"/>
  <c r="I27" i="2"/>
  <c r="I28" i="2"/>
  <c r="I29" i="2"/>
  <c r="I3" i="2"/>
  <c r="I4" i="2"/>
  <c r="I5" i="2"/>
  <c r="I6" i="2"/>
  <c r="I7" i="2"/>
  <c r="I8" i="2"/>
  <c r="I9" i="2"/>
  <c r="I10" i="2"/>
  <c r="I11" i="2"/>
  <c r="I12" i="2"/>
  <c r="I13" i="2"/>
  <c r="I14" i="2"/>
  <c r="I15" i="2"/>
  <c r="I16" i="2"/>
  <c r="I2" i="2"/>
  <c r="M14" i="2"/>
  <c r="M10" i="2"/>
  <c r="O15" i="2"/>
  <c r="O12" i="2"/>
  <c r="O9" i="2" l="1"/>
  <c r="O6" i="2"/>
  <c r="O3" i="2"/>
</calcChain>
</file>

<file path=xl/sharedStrings.xml><?xml version="1.0" encoding="utf-8"?>
<sst xmlns="http://schemas.openxmlformats.org/spreadsheetml/2006/main" count="12070" uniqueCount="460">
  <si>
    <t>Date</t>
  </si>
  <si>
    <t>Time</t>
  </si>
  <si>
    <t>CustomerType</t>
  </si>
  <si>
    <t>ProductCategory</t>
  </si>
  <si>
    <t>UnitPrice</t>
  </si>
  <si>
    <t>Quantity</t>
  </si>
  <si>
    <t>Total</t>
  </si>
  <si>
    <t>FullName</t>
  </si>
  <si>
    <t>Member</t>
  </si>
  <si>
    <t>Grocery</t>
  </si>
  <si>
    <t>Jai Bhatia</t>
  </si>
  <si>
    <t>Premium</t>
  </si>
  <si>
    <t>Home &amp; Kitchen</t>
  </si>
  <si>
    <t>Ishaan Patel</t>
  </si>
  <si>
    <t>Regular</t>
  </si>
  <si>
    <t>Tanvi Iyer</t>
  </si>
  <si>
    <t>Electronics</t>
  </si>
  <si>
    <t>Zara Xavier</t>
  </si>
  <si>
    <t>Krishna Zutshi</t>
  </si>
  <si>
    <t>Zara Singh</t>
  </si>
  <si>
    <t>Clothing</t>
  </si>
  <si>
    <t>Eeshaan Xavier</t>
  </si>
  <si>
    <t>Eeshaan Kumar</t>
  </si>
  <si>
    <t>Mahesh Mehta</t>
  </si>
  <si>
    <t>Ishaan Verma</t>
  </si>
  <si>
    <t>Krishna Agarwal</t>
  </si>
  <si>
    <t>Vaibhav Singh</t>
  </si>
  <si>
    <t>Beauty &amp; Personal Care</t>
  </si>
  <si>
    <t>Shreya Khanna</t>
  </si>
  <si>
    <t>Rohan Mehta</t>
  </si>
  <si>
    <t>Nandini Wadhwa</t>
  </si>
  <si>
    <t>Bhavesh Verma</t>
  </si>
  <si>
    <t>Zara Mehta</t>
  </si>
  <si>
    <t>Diya Wadhwa</t>
  </si>
  <si>
    <t>Vaibhav Xavier</t>
  </si>
  <si>
    <t>Mahesh Zutshi</t>
  </si>
  <si>
    <t>Diya Kumar</t>
  </si>
  <si>
    <t>Priya Mehta</t>
  </si>
  <si>
    <t>Mahesh Kumar</t>
  </si>
  <si>
    <t>Yash Jain</t>
  </si>
  <si>
    <t>Avani Iyer</t>
  </si>
  <si>
    <t>Vaibhav Zutshi</t>
  </si>
  <si>
    <t>Aakash Jain</t>
  </si>
  <si>
    <t>Aakash Wadhwa</t>
  </si>
  <si>
    <t>Vaibhav Sharma</t>
  </si>
  <si>
    <t>Bhavesh Gupta</t>
  </si>
  <si>
    <t>Bhavesh Desai</t>
  </si>
  <si>
    <t>Yash Singh</t>
  </si>
  <si>
    <t>Shreya Gupta</t>
  </si>
  <si>
    <t>Avani Khanna</t>
  </si>
  <si>
    <t>Aakash Mehta</t>
  </si>
  <si>
    <t>Krishna Singh</t>
  </si>
  <si>
    <t>Avani Singh</t>
  </si>
  <si>
    <t>Aakash Bhatia</t>
  </si>
  <si>
    <t>Vaibhav Iyer</t>
  </si>
  <si>
    <t>Krishna Yadav</t>
  </si>
  <si>
    <t>Tanvi Wadhwa</t>
  </si>
  <si>
    <t>Krishna Jain</t>
  </si>
  <si>
    <t>Diya Agarwal</t>
  </si>
  <si>
    <t>Avani Agarwal</t>
  </si>
  <si>
    <t>Tanvi Zutshi</t>
  </si>
  <si>
    <t>Diya Jain</t>
  </si>
  <si>
    <t>Mahesh Agarwal</t>
  </si>
  <si>
    <t>Rohan Sharma</t>
  </si>
  <si>
    <t>Jai Khanna</t>
  </si>
  <si>
    <t>Uday Bhatia</t>
  </si>
  <si>
    <t>Ishaan Singh</t>
  </si>
  <si>
    <t>Jai Patel</t>
  </si>
  <si>
    <t>Priya Verma</t>
  </si>
  <si>
    <t>Zara Sharma</t>
  </si>
  <si>
    <t>Diya Patel</t>
  </si>
  <si>
    <t>Lakshmi Jain</t>
  </si>
  <si>
    <t>Gaurav Wadhwa</t>
  </si>
  <si>
    <t>Aakash Desai</t>
  </si>
  <si>
    <t>Vaibhav Agarwal</t>
  </si>
  <si>
    <t>Tanvi Verma</t>
  </si>
  <si>
    <t>Uday Chauhan</t>
  </si>
  <si>
    <t>Nandini Iyer</t>
  </si>
  <si>
    <t>Mahesh Verma</t>
  </si>
  <si>
    <t>Bhavesh Yadav</t>
  </si>
  <si>
    <t>Eeshaan Wadhwa</t>
  </si>
  <si>
    <t>Priya Gupta</t>
  </si>
  <si>
    <t>Aakash Xavier</t>
  </si>
  <si>
    <t>Tanvi Lal</t>
  </si>
  <si>
    <t>Yash Mehta</t>
  </si>
  <si>
    <t>Vaibhav Yadav</t>
  </si>
  <si>
    <t>Krishna Rao</t>
  </si>
  <si>
    <t>Rohan Agarwal</t>
  </si>
  <si>
    <t>Priya Rao</t>
  </si>
  <si>
    <t>Lakshmi Xavier</t>
  </si>
  <si>
    <t>Shreya Sharma</t>
  </si>
  <si>
    <t>Diya Yadav</t>
  </si>
  <si>
    <t>Eeshaan Patel</t>
  </si>
  <si>
    <t>Gaurav Agarwal</t>
  </si>
  <si>
    <t>Bhavesh Jain</t>
  </si>
  <si>
    <t>Aakash Rao</t>
  </si>
  <si>
    <t>Yash Gupta</t>
  </si>
  <si>
    <t>Uday Lal</t>
  </si>
  <si>
    <t>Eeshaan Jain</t>
  </si>
  <si>
    <t>Priya Iyer</t>
  </si>
  <si>
    <t>Tanvi Agarwal</t>
  </si>
  <si>
    <t>Priya Kumar</t>
  </si>
  <si>
    <t>Aakash Khanna</t>
  </si>
  <si>
    <t>Jai Gupta</t>
  </si>
  <si>
    <t>Yash Iyer</t>
  </si>
  <si>
    <t>Nandini Mehta</t>
  </si>
  <si>
    <t>Diya Sharma</t>
  </si>
  <si>
    <t>Tanvi Khanna</t>
  </si>
  <si>
    <t>Shreya Verma</t>
  </si>
  <si>
    <t>Eeshaan Sharma</t>
  </si>
  <si>
    <t>Krishna Kumar</t>
  </si>
  <si>
    <t>Krishna Chauhan</t>
  </si>
  <si>
    <t>Diya Mehta</t>
  </si>
  <si>
    <t>Rohan Wadhwa</t>
  </si>
  <si>
    <t>Diya Lal</t>
  </si>
  <si>
    <t>Krishna Wadhwa</t>
  </si>
  <si>
    <t>Uday Wadhwa</t>
  </si>
  <si>
    <t>Rohan Iyer</t>
  </si>
  <si>
    <t>Priya Bhatia</t>
  </si>
  <si>
    <t>Shreya Rao</t>
  </si>
  <si>
    <t>Ishaan Lal</t>
  </si>
  <si>
    <t>Ishaan Mehta</t>
  </si>
  <si>
    <t>Bhavesh Iyer</t>
  </si>
  <si>
    <t>Uday Yadav</t>
  </si>
  <si>
    <t>Gaurav Iyer</t>
  </si>
  <si>
    <t>Shreya Patel</t>
  </si>
  <si>
    <t>Yash Verma</t>
  </si>
  <si>
    <t>Krishna Mehta</t>
  </si>
  <si>
    <t>Zara Desai</t>
  </si>
  <si>
    <t>Nandini Xavier</t>
  </si>
  <si>
    <t>Avani Yadav</t>
  </si>
  <si>
    <t>Rohan Lal</t>
  </si>
  <si>
    <t>Tanvi Yadav</t>
  </si>
  <si>
    <t>Gaurav Patel</t>
  </si>
  <si>
    <t>Zara Bhatia</t>
  </si>
  <si>
    <t>Vaibhav Wadhwa</t>
  </si>
  <si>
    <t>Avani Patel</t>
  </si>
  <si>
    <t>Diya Gupta</t>
  </si>
  <si>
    <t>Nandini Desai</t>
  </si>
  <si>
    <t>Yash Chauhan</t>
  </si>
  <si>
    <t>Lakshmi Sharma</t>
  </si>
  <si>
    <t>Krishna Gupta</t>
  </si>
  <si>
    <t>Uday Sharma</t>
  </si>
  <si>
    <t>Tanvi Chauhan</t>
  </si>
  <si>
    <t>Mahesh Sharma</t>
  </si>
  <si>
    <t>Yash Lal</t>
  </si>
  <si>
    <t>Rohan Gupta</t>
  </si>
  <si>
    <t>Zara Verma</t>
  </si>
  <si>
    <t>Gaurav Gupta</t>
  </si>
  <si>
    <t>Uday Desai</t>
  </si>
  <si>
    <t>Gaurav Jain</t>
  </si>
  <si>
    <t>Tanvi Mehta</t>
  </si>
  <si>
    <t>Nandini Sharma</t>
  </si>
  <si>
    <t>Shreya Lal</t>
  </si>
  <si>
    <t>Lakshmi Verma</t>
  </si>
  <si>
    <t>Eeshaan Rao</t>
  </si>
  <si>
    <t>Uday Iyer</t>
  </si>
  <si>
    <t>Lakshmi Desai</t>
  </si>
  <si>
    <t>Mahesh Rao</t>
  </si>
  <si>
    <t>Yash Desai</t>
  </si>
  <si>
    <t>Jai Sharma</t>
  </si>
  <si>
    <t>Priya Lal</t>
  </si>
  <si>
    <t>Ishaan Xavier</t>
  </si>
  <si>
    <t>Nandini Yadav</t>
  </si>
  <si>
    <t>Avani Lal</t>
  </si>
  <si>
    <t>Rohan Bhatia</t>
  </si>
  <si>
    <t>Aakash Chauhan</t>
  </si>
  <si>
    <t>Diya Bhatia</t>
  </si>
  <si>
    <t>Tanvi Kumar</t>
  </si>
  <si>
    <t>Ishaan Gupta</t>
  </si>
  <si>
    <t>Bhavesh Xavier</t>
  </si>
  <si>
    <t>Diya Xavier</t>
  </si>
  <si>
    <t>Priya Sharma</t>
  </si>
  <si>
    <t>Krishna Desai</t>
  </si>
  <si>
    <t>Tanvi Singh</t>
  </si>
  <si>
    <t>Lakshmi Mehta</t>
  </si>
  <si>
    <t>Aakash Gupta</t>
  </si>
  <si>
    <t>Krishna Patel</t>
  </si>
  <si>
    <t>Ishaan Kumar</t>
  </si>
  <si>
    <t>Tanvi Patel</t>
  </si>
  <si>
    <t>Priya Chauhan</t>
  </si>
  <si>
    <t>Nandini Singh</t>
  </si>
  <si>
    <t>Lakshmi Agarwal</t>
  </si>
  <si>
    <t>Lakshmi Rao</t>
  </si>
  <si>
    <t>Zara Chauhan</t>
  </si>
  <si>
    <t>Nandini Jain</t>
  </si>
  <si>
    <t>Jai Rao</t>
  </si>
  <si>
    <t>Lakshmi Lal</t>
  </si>
  <si>
    <t>Tanvi Sharma</t>
  </si>
  <si>
    <t>Nandini Lal</t>
  </si>
  <si>
    <t>Lakshmi Yadav</t>
  </si>
  <si>
    <t>Rohan Khanna</t>
  </si>
  <si>
    <t>Jai Mehta</t>
  </si>
  <si>
    <t>Jai Desai</t>
  </si>
  <si>
    <t>Bhavesh Mehta</t>
  </si>
  <si>
    <t>Shreya Zutshi</t>
  </si>
  <si>
    <t>Uday Mehta</t>
  </si>
  <si>
    <t>Mahesh Chauhan</t>
  </si>
  <si>
    <t>Ishaan Bhatia</t>
  </si>
  <si>
    <t>Nandini Agarwal</t>
  </si>
  <si>
    <t>Zara Gupta</t>
  </si>
  <si>
    <t>Aakash Yadav</t>
  </si>
  <si>
    <t>Uday Kumar</t>
  </si>
  <si>
    <t>Rohan Yadav</t>
  </si>
  <si>
    <t>Nandini Verma</t>
  </si>
  <si>
    <t>Jai Zutshi</t>
  </si>
  <si>
    <t>Rohan Desai</t>
  </si>
  <si>
    <t>Bhavesh Zutshi</t>
  </si>
  <si>
    <t>Bhavesh Bhatia</t>
  </si>
  <si>
    <t>Shreya Desai</t>
  </si>
  <si>
    <t>Zara Agarwal</t>
  </si>
  <si>
    <t>Aakash Verma</t>
  </si>
  <si>
    <t>Tanvi Xavier</t>
  </si>
  <si>
    <t>Eeshaan Bhatia</t>
  </si>
  <si>
    <t>Krishna Lal</t>
  </si>
  <si>
    <t>Yash Wadhwa</t>
  </si>
  <si>
    <t>Jai Singh</t>
  </si>
  <si>
    <t>Ishaan Sharma</t>
  </si>
  <si>
    <t>Gaurav Sharma</t>
  </si>
  <si>
    <t>Jai Kumar</t>
  </si>
  <si>
    <t>Mahesh Wadhwa</t>
  </si>
  <si>
    <t>Bhavesh Lal</t>
  </si>
  <si>
    <t>Shreya Wadhwa</t>
  </si>
  <si>
    <t>Avani Kumar</t>
  </si>
  <si>
    <t>Rohan Xavier</t>
  </si>
  <si>
    <t>Lakshmi Chauhan</t>
  </si>
  <si>
    <t>Avani Verma</t>
  </si>
  <si>
    <t>Nandini Gupta</t>
  </si>
  <si>
    <t>Zara Jain</t>
  </si>
  <si>
    <t>Yash Khanna</t>
  </si>
  <si>
    <t>Lakshmi Kumar</t>
  </si>
  <si>
    <t>Avani Chauhan</t>
  </si>
  <si>
    <t>Diya Khanna</t>
  </si>
  <si>
    <t>Avani Sharma</t>
  </si>
  <si>
    <t>Diya Rao</t>
  </si>
  <si>
    <t>Krishna Verma</t>
  </si>
  <si>
    <t>Mahesh Xavier</t>
  </si>
  <si>
    <t>Zara Zutshi</t>
  </si>
  <si>
    <t>Mahesh Singh</t>
  </si>
  <si>
    <t>Yash Sharma</t>
  </si>
  <si>
    <t>Mahesh Jain</t>
  </si>
  <si>
    <t>Aakash Zutshi</t>
  </si>
  <si>
    <t>Priya Zutshi</t>
  </si>
  <si>
    <t>Priya Wadhwa</t>
  </si>
  <si>
    <t>Nandini Bhatia</t>
  </si>
  <si>
    <t>Lakshmi Singh</t>
  </si>
  <si>
    <t>Gaurav Xavier</t>
  </si>
  <si>
    <t>Bhavesh Khanna</t>
  </si>
  <si>
    <t>Tanvi Bhatia</t>
  </si>
  <si>
    <t>Gaurav Bhatia</t>
  </si>
  <si>
    <t>Tanvi Desai</t>
  </si>
  <si>
    <t>Nandini Zutshi</t>
  </si>
  <si>
    <t>Shreya Xavier</t>
  </si>
  <si>
    <t>Priya Jain</t>
  </si>
  <si>
    <t>Shreya Bhatia</t>
  </si>
  <si>
    <t>Eeshaan Iyer</t>
  </si>
  <si>
    <t>Gaurav Desai</t>
  </si>
  <si>
    <t>Avani Mehta</t>
  </si>
  <si>
    <t>Mahesh Bhatia</t>
  </si>
  <si>
    <t>Avani Wadhwa</t>
  </si>
  <si>
    <t>Rohan Jain</t>
  </si>
  <si>
    <t>Krishna Iyer</t>
  </si>
  <si>
    <t>Avani Zutshi</t>
  </si>
  <si>
    <t>Rohan Kumar</t>
  </si>
  <si>
    <t>Jai Lal</t>
  </si>
  <si>
    <t>Bhavesh Sharma</t>
  </si>
  <si>
    <t>Yash Bhatia</t>
  </si>
  <si>
    <t>Shreya Kumar</t>
  </si>
  <si>
    <t>Ishaan Desai</t>
  </si>
  <si>
    <t>Uday Rao</t>
  </si>
  <si>
    <t>Vaibhav Patel</t>
  </si>
  <si>
    <t>Zara Kumar</t>
  </si>
  <si>
    <t>Jai Wadhwa</t>
  </si>
  <si>
    <t>Shreya Mehta</t>
  </si>
  <si>
    <t>Rohan Verma</t>
  </si>
  <si>
    <t>Uday Zutshi</t>
  </si>
  <si>
    <t>Zara Wadhwa</t>
  </si>
  <si>
    <t>Diya Iyer</t>
  </si>
  <si>
    <t>Uday Singh</t>
  </si>
  <si>
    <t>Rohan Singh</t>
  </si>
  <si>
    <t>Lakshmi Gupta</t>
  </si>
  <si>
    <t>Shreya Agarwal</t>
  </si>
  <si>
    <t>Aakash Agarwal</t>
  </si>
  <si>
    <t>Uday Agarwal</t>
  </si>
  <si>
    <t>Krishna Khanna</t>
  </si>
  <si>
    <t>Vaibhav Mehta</t>
  </si>
  <si>
    <t>Uday Khanna</t>
  </si>
  <si>
    <t>Vaibhav Khanna</t>
  </si>
  <si>
    <t>Eeshaan Desai</t>
  </si>
  <si>
    <t>Lakshmi Bhatia</t>
  </si>
  <si>
    <t>Ishaan Zutshi</t>
  </si>
  <si>
    <t>Shreya Iyer</t>
  </si>
  <si>
    <t>Jai Iyer</t>
  </si>
  <si>
    <t>Gaurav Zutshi</t>
  </si>
  <si>
    <t>Vaibhav Chauhan</t>
  </si>
  <si>
    <t>Mahesh Desai</t>
  </si>
  <si>
    <t>Zara Rao</t>
  </si>
  <si>
    <t>Gaurav Singh</t>
  </si>
  <si>
    <t>Krishna Bhatia</t>
  </si>
  <si>
    <t>Ishaan Yadav</t>
  </si>
  <si>
    <t>Bhavesh Chauhan</t>
  </si>
  <si>
    <t>Lakshmi Zutshi</t>
  </si>
  <si>
    <t>Bhavesh Agarwal</t>
  </si>
  <si>
    <t>Jai Chauhan</t>
  </si>
  <si>
    <t>Vaibhav Rao</t>
  </si>
  <si>
    <t>Zara Yadav</t>
  </si>
  <si>
    <t>Gaurav Khanna</t>
  </si>
  <si>
    <t>Rohan Zutshi</t>
  </si>
  <si>
    <t>Zara Iyer</t>
  </si>
  <si>
    <t>Bhavesh Singh</t>
  </si>
  <si>
    <t>Ishaan Jain</t>
  </si>
  <si>
    <t>Vaibhav Kumar</t>
  </si>
  <si>
    <t>Priya Xavier</t>
  </si>
  <si>
    <t>Aakash Lal</t>
  </si>
  <si>
    <t>Mahesh Gupta</t>
  </si>
  <si>
    <t>Krishna Sharma</t>
  </si>
  <si>
    <t>Priya Singh</t>
  </si>
  <si>
    <t>Nandini Khanna</t>
  </si>
  <si>
    <t>Eeshaan Zutshi</t>
  </si>
  <si>
    <t>Jai Jain</t>
  </si>
  <si>
    <t>Aakash Kumar</t>
  </si>
  <si>
    <t>Vaibhav Desai</t>
  </si>
  <si>
    <t>Nandini Patel</t>
  </si>
  <si>
    <t>Yash Rao</t>
  </si>
  <si>
    <t>Vaibhav Lal</t>
  </si>
  <si>
    <t>Rohan Patel</t>
  </si>
  <si>
    <t>Eeshaan Agarwal</t>
  </si>
  <si>
    <t>Vaibhav Bhatia</t>
  </si>
  <si>
    <t>Lakshmi Iyer</t>
  </si>
  <si>
    <t>Vaibhav Gupta</t>
  </si>
  <si>
    <t>Eeshaan Gupta</t>
  </si>
  <si>
    <t>Diya Singh</t>
  </si>
  <si>
    <t>Vaibhav Verma</t>
  </si>
  <si>
    <t>Eeshaan Khanna</t>
  </si>
  <si>
    <t>Diya Chauhan</t>
  </si>
  <si>
    <t>Gaurav Verma</t>
  </si>
  <si>
    <t>Tanvi Jain</t>
  </si>
  <si>
    <t>Mahesh Iyer</t>
  </si>
  <si>
    <t>Shreya Yadav</t>
  </si>
  <si>
    <t>Vaibhav Jain</t>
  </si>
  <si>
    <t>Ishaan Chauhan</t>
  </si>
  <si>
    <t>Yash Zutshi</t>
  </si>
  <si>
    <t>Aakash Singh</t>
  </si>
  <si>
    <t>Lakshmi Wadhwa</t>
  </si>
  <si>
    <t>Uday Verma</t>
  </si>
  <si>
    <t>Yash Yadav</t>
  </si>
  <si>
    <t>Gaurav Chauhan</t>
  </si>
  <si>
    <t>Jai Verma</t>
  </si>
  <si>
    <t>Avani Jain</t>
  </si>
  <si>
    <t>Yash Patel</t>
  </si>
  <si>
    <t>Yash Xavier</t>
  </si>
  <si>
    <t>Eeshaan Yadav</t>
  </si>
  <si>
    <t>Krishna Xavier</t>
  </si>
  <si>
    <t>Gaurav Mehta</t>
  </si>
  <si>
    <t>Ishaan Wadhwa</t>
  </si>
  <si>
    <t>Eeshaan Lal</t>
  </si>
  <si>
    <t>Aakash Iyer</t>
  </si>
  <si>
    <t>Rohan Rao</t>
  </si>
  <si>
    <t>Nandini Rao</t>
  </si>
  <si>
    <t>Diya Zutshi</t>
  </si>
  <si>
    <t>Avani Rao</t>
  </si>
  <si>
    <t>Bhavesh Rao</t>
  </si>
  <si>
    <t>Mahesh Yadav</t>
  </si>
  <si>
    <t>Yash Agarwal</t>
  </si>
  <si>
    <t>Diya Verma</t>
  </si>
  <si>
    <t>Ishaan Agarwal</t>
  </si>
  <si>
    <t>Eeshaan Verma</t>
  </si>
  <si>
    <t>Jai Xavier</t>
  </si>
  <si>
    <t>Shreya Jain</t>
  </si>
  <si>
    <t>Ishaan Khanna</t>
  </si>
  <si>
    <t>Lakshmi Patel</t>
  </si>
  <si>
    <t>Gaurav Yadav</t>
  </si>
  <si>
    <t>Rohan Chauhan</t>
  </si>
  <si>
    <t>Eeshaan Singh</t>
  </si>
  <si>
    <t>Priya Khanna</t>
  </si>
  <si>
    <t>Avani Desai</t>
  </si>
  <si>
    <t>Tanvi Rao</t>
  </si>
  <si>
    <t>Bhavesh Kumar</t>
  </si>
  <si>
    <t>Diya Desai</t>
  </si>
  <si>
    <t>Priya Desai</t>
  </si>
  <si>
    <t>Jai Yadav</t>
  </si>
  <si>
    <t>Nandini Chauhan</t>
  </si>
  <si>
    <t>Eeshaan Chauhan</t>
  </si>
  <si>
    <t>Eeshaan Mehta</t>
  </si>
  <si>
    <t>Mahesh Khanna</t>
  </si>
  <si>
    <t>Uday Xavier</t>
  </si>
  <si>
    <t>Yash Kumar</t>
  </si>
  <si>
    <t>Tanvi Gupta</t>
  </si>
  <si>
    <t>Uday Jain</t>
  </si>
  <si>
    <t>Avani Gupta</t>
  </si>
  <si>
    <t>Nandini Kumar</t>
  </si>
  <si>
    <t>Aakash Sharma</t>
  </si>
  <si>
    <t>Zara Patel</t>
  </si>
  <si>
    <t>Lakshmi Khanna</t>
  </si>
  <si>
    <t>Gaurav Rao</t>
  </si>
  <si>
    <t>Mahesh Patel</t>
  </si>
  <si>
    <t>Shreya Chauhan</t>
  </si>
  <si>
    <t>Gaurav Lal</t>
  </si>
  <si>
    <t>Ishaan Iyer</t>
  </si>
  <si>
    <t>Avani Xavier</t>
  </si>
  <si>
    <t>Bhavesh Patel</t>
  </si>
  <si>
    <t>Jai Agarwal</t>
  </si>
  <si>
    <t>Shreya Singh</t>
  </si>
  <si>
    <t>Ishaan Rao</t>
  </si>
  <si>
    <t>Zara Khanna</t>
  </si>
  <si>
    <t>Priya Patel</t>
  </si>
  <si>
    <t>Uday Patel</t>
  </si>
  <si>
    <t>Gaurav Kumar</t>
  </si>
  <si>
    <t>Priya Yadav</t>
  </si>
  <si>
    <t>Uday Gupta</t>
  </si>
  <si>
    <t>Zara Lal</t>
  </si>
  <si>
    <t>Bhavesh Wadhwa</t>
  </si>
  <si>
    <t>Priya Agarwal</t>
  </si>
  <si>
    <t>Row Labels</t>
  </si>
  <si>
    <t>Grand Total</t>
  </si>
  <si>
    <t>Sum of Total</t>
  </si>
  <si>
    <t>Sales by product category</t>
  </si>
  <si>
    <t>Sales by customer type</t>
  </si>
  <si>
    <t>2023</t>
  </si>
  <si>
    <t>2024</t>
  </si>
  <si>
    <t>2025</t>
  </si>
  <si>
    <t>Total sales</t>
  </si>
  <si>
    <t>Avg sales</t>
  </si>
  <si>
    <t>Total quantity sold</t>
  </si>
  <si>
    <t>Max sales</t>
  </si>
  <si>
    <t>Min sales</t>
  </si>
  <si>
    <t>Sum of Quantity</t>
  </si>
  <si>
    <t>Quantity analysis</t>
  </si>
  <si>
    <t>product category</t>
  </si>
  <si>
    <t>unit price</t>
  </si>
  <si>
    <t>grocery</t>
  </si>
  <si>
    <t>electronics</t>
  </si>
  <si>
    <t>clothing</t>
  </si>
  <si>
    <t>beauty &amp; personal care</t>
  </si>
  <si>
    <t>home &amp; kitchen</t>
  </si>
  <si>
    <t>USING VLOOKUP</t>
  </si>
  <si>
    <t>getting unit price by product category</t>
  </si>
  <si>
    <t>DATE</t>
  </si>
  <si>
    <t>TIME</t>
  </si>
  <si>
    <t>CUSTOMER TYPE</t>
  </si>
  <si>
    <t>PRODUCT CATEGORY</t>
  </si>
  <si>
    <t>UNIT PRICE</t>
  </si>
  <si>
    <t>QUANTITY</t>
  </si>
  <si>
    <t>TOTAL</t>
  </si>
  <si>
    <t>FULL NAME</t>
  </si>
  <si>
    <t>USING INDEX-MATCH</t>
  </si>
  <si>
    <t>finding total of a particular person using INDEX-MATCH</t>
  </si>
  <si>
    <t xml:space="preserve">USING VLOOKUP :- </t>
  </si>
  <si>
    <t>SALES CATEGORY</t>
  </si>
  <si>
    <t>DISCOUNT ELIGIBLITY (premium mem only)</t>
  </si>
  <si>
    <t>Sales Category</t>
  </si>
  <si>
    <t>price</t>
  </si>
  <si>
    <t>quantity</t>
  </si>
  <si>
    <t>low sales</t>
  </si>
  <si>
    <t>WHAT - IF - ANALYSIS</t>
  </si>
  <si>
    <t>Sales</t>
  </si>
  <si>
    <t>Goal Seek :-   find required price for target sales</t>
  </si>
  <si>
    <t>before price :-  42.76</t>
  </si>
  <si>
    <t>target :- 3500</t>
  </si>
  <si>
    <t>Sales by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</si>
</sst>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439]#,##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b/>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8" tint="0.59999389629810485"/>
        <bgColor indexed="64"/>
      </patternFill>
    </fill>
  </fills>
  <borders count="4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diagonal/>
    </border>
    <border>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1">
    <xf numFmtId="0" fontId="0" fillId="0" borderId="0" xfId="0"/>
    <xf numFmtId="0" fontId="0" fillId="0" borderId="0" xfId="0" applyAlignment="1">
      <alignment horizontal="center"/>
    </xf>
    <xf numFmtId="22" fontId="0" fillId="0" borderId="0" xfId="0" applyNumberFormat="1" applyAlignment="1">
      <alignment horizontal="center"/>
    </xf>
    <xf numFmtId="21" fontId="0" fillId="0" borderId="0" xfId="0" applyNumberFormat="1" applyAlignment="1">
      <alignment horizontal="center"/>
    </xf>
    <xf numFmtId="14" fontId="0" fillId="0" borderId="0" xfId="0" applyNumberFormat="1"/>
    <xf numFmtId="164" fontId="0" fillId="0" borderId="0" xfId="0" applyNumberFormat="1"/>
    <xf numFmtId="165" fontId="16" fillId="0" borderId="0" xfId="0" applyNumberFormat="1" applyFont="1" applyAlignment="1">
      <alignment horizontal="center"/>
    </xf>
    <xf numFmtId="165" fontId="0" fillId="0" borderId="0" xfId="0" applyNumberFormat="1"/>
    <xf numFmtId="0" fontId="0" fillId="0" borderId="0" xfId="0" pivotButton="1"/>
    <xf numFmtId="0" fontId="0" fillId="0" borderId="12" xfId="0" applyBorder="1"/>
    <xf numFmtId="0" fontId="16" fillId="0" borderId="23" xfId="0" applyFont="1" applyBorder="1" applyAlignment="1">
      <alignment horizontal="center"/>
    </xf>
    <xf numFmtId="0" fontId="0" fillId="0" borderId="20" xfId="0" applyFont="1" applyBorder="1" applyAlignment="1">
      <alignment horizontal="center"/>
    </xf>
    <xf numFmtId="0" fontId="16" fillId="0" borderId="21" xfId="0" applyFont="1"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26" xfId="0" applyBorder="1"/>
    <xf numFmtId="0" fontId="0" fillId="0" borderId="27" xfId="0" applyBorder="1"/>
    <xf numFmtId="0" fontId="16" fillId="0" borderId="19" xfId="0" applyFont="1" applyBorder="1" applyAlignment="1">
      <alignment horizontal="center"/>
    </xf>
    <xf numFmtId="0" fontId="0" fillId="0" borderId="33" xfId="0" applyBorder="1" applyAlignment="1">
      <alignment horizontal="center"/>
    </xf>
    <xf numFmtId="0" fontId="16" fillId="0" borderId="28" xfId="0" applyFont="1" applyBorder="1" applyAlignment="1">
      <alignment horizontal="center"/>
    </xf>
    <xf numFmtId="0" fontId="16" fillId="0" borderId="32" xfId="0" applyFont="1" applyBorder="1" applyAlignment="1">
      <alignment horizontal="center"/>
    </xf>
    <xf numFmtId="0" fontId="16" fillId="0" borderId="29" xfId="0" applyFont="1" applyFill="1" applyBorder="1" applyAlignment="1">
      <alignment horizontal="center"/>
    </xf>
    <xf numFmtId="0" fontId="0" fillId="0" borderId="13" xfId="0" applyBorder="1"/>
    <xf numFmtId="0" fontId="16" fillId="0" borderId="33" xfId="0" applyFont="1" applyBorder="1" applyAlignment="1">
      <alignment horizontal="center"/>
    </xf>
    <xf numFmtId="0" fontId="16" fillId="0" borderId="17" xfId="0" applyFont="1" applyBorder="1"/>
    <xf numFmtId="14" fontId="16" fillId="33" borderId="34" xfId="0" applyNumberFormat="1" applyFont="1" applyFill="1" applyBorder="1" applyAlignment="1">
      <alignment horizontal="center"/>
    </xf>
    <xf numFmtId="164" fontId="16" fillId="33" borderId="34" xfId="0" applyNumberFormat="1" applyFont="1" applyFill="1" applyBorder="1" applyAlignment="1">
      <alignment horizontal="center"/>
    </xf>
    <xf numFmtId="0" fontId="16" fillId="33" borderId="34" xfId="0" applyFont="1" applyFill="1" applyBorder="1" applyAlignment="1">
      <alignment horizontal="center"/>
    </xf>
    <xf numFmtId="165" fontId="16" fillId="33" borderId="34" xfId="0" applyNumberFormat="1" applyFont="1" applyFill="1" applyBorder="1" applyAlignment="1">
      <alignment horizontal="center"/>
    </xf>
    <xf numFmtId="14" fontId="0" fillId="0" borderId="34" xfId="0" applyNumberFormat="1" applyBorder="1" applyAlignment="1">
      <alignment horizontal="center"/>
    </xf>
    <xf numFmtId="164" fontId="0" fillId="0" borderId="34" xfId="0" applyNumberFormat="1" applyBorder="1" applyAlignment="1">
      <alignment horizontal="center"/>
    </xf>
    <xf numFmtId="0" fontId="0" fillId="0" borderId="34" xfId="0" applyBorder="1" applyAlignment="1">
      <alignment horizontal="center"/>
    </xf>
    <xf numFmtId="165" fontId="0" fillId="0" borderId="34" xfId="0" applyNumberFormat="1" applyBorder="1" applyAlignment="1">
      <alignment horizontal="center"/>
    </xf>
    <xf numFmtId="165" fontId="0" fillId="0" borderId="36" xfId="0" applyNumberFormat="1" applyBorder="1" applyAlignment="1">
      <alignment horizontal="center"/>
    </xf>
    <xf numFmtId="0" fontId="0" fillId="0" borderId="36"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19" fillId="33" borderId="18" xfId="0" applyFont="1" applyFill="1" applyBorder="1" applyAlignment="1">
      <alignment horizontal="center"/>
    </xf>
    <xf numFmtId="0" fontId="19" fillId="33" borderId="19" xfId="0" applyFont="1" applyFill="1" applyBorder="1" applyAlignment="1">
      <alignment horizontal="center"/>
    </xf>
    <xf numFmtId="0" fontId="16" fillId="33" borderId="22" xfId="0" applyFont="1" applyFill="1" applyBorder="1" applyAlignment="1">
      <alignment horizontal="center"/>
    </xf>
    <xf numFmtId="0" fontId="16" fillId="33" borderId="23" xfId="0" applyFont="1" applyFill="1" applyBorder="1" applyAlignment="1">
      <alignment horizontal="center"/>
    </xf>
    <xf numFmtId="0" fontId="16" fillId="33" borderId="18" xfId="0" applyFont="1" applyFill="1" applyBorder="1" applyAlignment="1">
      <alignment horizontal="center"/>
    </xf>
    <xf numFmtId="0" fontId="19" fillId="33" borderId="10" xfId="0" applyFont="1" applyFill="1" applyBorder="1" applyAlignment="1">
      <alignment horizontal="center"/>
    </xf>
    <xf numFmtId="0" fontId="19" fillId="33" borderId="31" xfId="0" applyFont="1" applyFill="1" applyBorder="1" applyAlignment="1">
      <alignment horizontal="center"/>
    </xf>
    <xf numFmtId="0" fontId="19" fillId="33" borderId="11" xfId="0" applyFont="1" applyFill="1" applyBorder="1" applyAlignment="1">
      <alignment horizontal="center"/>
    </xf>
    <xf numFmtId="0" fontId="16" fillId="33" borderId="18" xfId="0" applyFont="1" applyFill="1" applyBorder="1" applyAlignment="1">
      <alignment horizontal="center"/>
    </xf>
    <xf numFmtId="0" fontId="16" fillId="33" borderId="30" xfId="0" applyFont="1" applyFill="1" applyBorder="1" applyAlignment="1">
      <alignment horizontal="center"/>
    </xf>
    <xf numFmtId="0" fontId="16" fillId="33" borderId="19" xfId="0" applyFont="1" applyFill="1" applyBorder="1" applyAlignment="1">
      <alignment horizontal="center"/>
    </xf>
    <xf numFmtId="0" fontId="16" fillId="33" borderId="35" xfId="0" applyFont="1" applyFill="1" applyBorder="1" applyAlignment="1">
      <alignment horizontal="center"/>
    </xf>
    <xf numFmtId="0" fontId="18" fillId="34" borderId="10" xfId="0" applyFont="1" applyFill="1" applyBorder="1" applyAlignment="1">
      <alignment horizontal="center"/>
    </xf>
    <xf numFmtId="0" fontId="18" fillId="34" borderId="11" xfId="0" applyFont="1" applyFill="1" applyBorder="1" applyAlignment="1">
      <alignment horizontal="center"/>
    </xf>
    <xf numFmtId="0" fontId="0" fillId="0" borderId="37" xfId="0" pivotButton="1" applyBorder="1" applyAlignment="1">
      <alignment horizontal="center"/>
    </xf>
    <xf numFmtId="0" fontId="0" fillId="0" borderId="38" xfId="0" pivotButton="1" applyBorder="1" applyAlignment="1">
      <alignment horizontal="center"/>
    </xf>
    <xf numFmtId="0" fontId="0" fillId="0" borderId="39" xfId="0" applyBorder="1" applyAlignment="1">
      <alignment horizontal="center"/>
    </xf>
    <xf numFmtId="0" fontId="0" fillId="0" borderId="40" xfId="0" applyNumberFormat="1" applyBorder="1" applyAlignment="1">
      <alignment horizontal="center"/>
    </xf>
    <xf numFmtId="0" fontId="0" fillId="0" borderId="41" xfId="0" applyBorder="1" applyAlignment="1">
      <alignment horizontal="center"/>
    </xf>
    <xf numFmtId="0" fontId="0" fillId="0" borderId="42" xfId="0" applyNumberFormat="1" applyBorder="1" applyAlignment="1">
      <alignment horizontal="center"/>
    </xf>
    <xf numFmtId="0" fontId="0" fillId="0" borderId="39" xfId="0" pivotButton="1" applyBorder="1" applyAlignment="1">
      <alignment horizontal="center"/>
    </xf>
    <xf numFmtId="0" fontId="0" fillId="0" borderId="40" xfId="0" pivotButton="1" applyNumberForma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3">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color rgb="FF9C0006"/>
      </font>
      <fill>
        <patternFill>
          <bgColor rgb="FFFFC7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 by product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v>Series1</c:v>
          </c:tx>
          <c:spPr>
            <a:solidFill>
              <a:schemeClr val="accent1"/>
            </a:solidFill>
            <a:ln>
              <a:noFill/>
            </a:ln>
            <a:effectLst/>
          </c:spPr>
          <c:invertIfNegative val="0"/>
          <c:cat>
            <c:strLit>
              <c:ptCount val="5"/>
              <c:pt idx="0">
                <c:v>Beauty &amp; Personal Care</c:v>
              </c:pt>
              <c:pt idx="1">
                <c:v>Clothing</c:v>
              </c:pt>
              <c:pt idx="2">
                <c:v>Electronics</c:v>
              </c:pt>
              <c:pt idx="3">
                <c:v>Grocery</c:v>
              </c:pt>
              <c:pt idx="4">
                <c:v>Home &amp; Kitchen</c:v>
              </c:pt>
            </c:strLit>
          </c:cat>
          <c:val>
            <c:numLit>
              <c:formatCode>General</c:formatCode>
              <c:ptCount val="5"/>
              <c:pt idx="0">
                <c:v>299536.06</c:v>
              </c:pt>
              <c:pt idx="1">
                <c:v>334928.17000000027</c:v>
              </c:pt>
              <c:pt idx="2">
                <c:v>309148.68000000005</c:v>
              </c:pt>
              <c:pt idx="3">
                <c:v>300343.21000000014</c:v>
              </c:pt>
              <c:pt idx="4">
                <c:v>302710.94999999966</c:v>
              </c:pt>
            </c:numLit>
          </c:val>
          <c:extLst>
            <c:ext xmlns:c16="http://schemas.microsoft.com/office/drawing/2014/chart" uri="{C3380CC4-5D6E-409C-BE32-E72D297353CC}">
              <c16:uniqueId val="{00000000-4B42-4D3A-964A-2B25034AF83A}"/>
            </c:ext>
          </c:extLst>
        </c:ser>
        <c:dLbls>
          <c:showLegendKey val="0"/>
          <c:showVal val="0"/>
          <c:showCatName val="0"/>
          <c:showSerName val="0"/>
          <c:showPercent val="0"/>
          <c:showBubbleSize val="0"/>
        </c:dLbls>
        <c:gapWidth val="182"/>
        <c:axId val="1285175919"/>
        <c:axId val="1282619967"/>
      </c:barChart>
      <c:catAx>
        <c:axId val="1285175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619967"/>
        <c:crosses val="autoZero"/>
        <c:auto val="1"/>
        <c:lblAlgn val="ctr"/>
        <c:lblOffset val="100"/>
        <c:noMultiLvlLbl val="0"/>
      </c:catAx>
      <c:valAx>
        <c:axId val="1282619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17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 by customer type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v>Series1</c:v>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1BD9-4143-9A30-A85480B18C5F}"/>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1BD9-4143-9A30-A85480B18C5F}"/>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1BD9-4143-9A30-A85480B18C5F}"/>
              </c:ext>
            </c:extLst>
          </c:dPt>
          <c:cat>
            <c:strLit>
              <c:ptCount val="3"/>
              <c:pt idx="0">
                <c:v>Member</c:v>
              </c:pt>
              <c:pt idx="1">
                <c:v>Premium</c:v>
              </c:pt>
              <c:pt idx="2">
                <c:v>Regular</c:v>
              </c:pt>
            </c:strLit>
          </c:cat>
          <c:val>
            <c:numLit>
              <c:formatCode>General</c:formatCode>
              <c:ptCount val="3"/>
              <c:pt idx="0">
                <c:v>506737.36999999982</c:v>
              </c:pt>
              <c:pt idx="1">
                <c:v>527400.19000000053</c:v>
              </c:pt>
              <c:pt idx="2">
                <c:v>512529.50999999983</c:v>
              </c:pt>
            </c:numLit>
          </c:val>
          <c:extLst>
            <c:ext xmlns:c16="http://schemas.microsoft.com/office/drawing/2014/chart" uri="{C3380CC4-5D6E-409C-BE32-E72D297353CC}">
              <c16:uniqueId val="{00000006-1BD9-4143-9A30-A85480B18C5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years</a:t>
            </a:r>
          </a:p>
          <a:p>
            <a:pPr>
              <a:defRPr/>
            </a:pPr>
            <a:endParaRPr lang="en-US" baseline="0"/>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v>Series1</c:v>
          </c:tx>
          <c:spPr>
            <a:ln w="28575" cap="rnd">
              <a:solidFill>
                <a:schemeClr val="accent1"/>
              </a:solidFill>
              <a:round/>
            </a:ln>
            <a:effectLst/>
          </c:spPr>
          <c:marker>
            <c:symbol val="none"/>
          </c:marker>
          <c:cat>
            <c:strLit>
              <c:ptCount val="3"/>
              <c:pt idx="0">
                <c:v>2023</c:v>
              </c:pt>
              <c:pt idx="1">
                <c:v>2024</c:v>
              </c:pt>
              <c:pt idx="2">
                <c:v>2025</c:v>
              </c:pt>
            </c:strLit>
          </c:cat>
          <c:val>
            <c:numLit>
              <c:formatCode>General</c:formatCode>
              <c:ptCount val="3"/>
              <c:pt idx="0">
                <c:v>784701.19999999832</c:v>
              </c:pt>
              <c:pt idx="1">
                <c:v>738468.07000000053</c:v>
              </c:pt>
              <c:pt idx="2">
                <c:v>23497.8</c:v>
              </c:pt>
            </c:numLit>
          </c:val>
          <c:smooth val="0"/>
          <c:extLst>
            <c:ext xmlns:c16="http://schemas.microsoft.com/office/drawing/2014/chart" uri="{C3380CC4-5D6E-409C-BE32-E72D297353CC}">
              <c16:uniqueId val="{00000000-13E6-42F0-A749-6A33AF0AB5D8}"/>
            </c:ext>
          </c:extLst>
        </c:ser>
        <c:dLbls>
          <c:showLegendKey val="0"/>
          <c:showVal val="0"/>
          <c:showCatName val="0"/>
          <c:showSerName val="0"/>
          <c:showPercent val="0"/>
          <c:showBubbleSize val="0"/>
        </c:dLbls>
        <c:smooth val="0"/>
        <c:axId val="1285165519"/>
        <c:axId val="1282617471"/>
      </c:lineChart>
      <c:catAx>
        <c:axId val="128516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617471"/>
        <c:crosses val="autoZero"/>
        <c:auto val="1"/>
        <c:lblAlgn val="ctr"/>
        <c:lblOffset val="100"/>
        <c:noMultiLvlLbl val="0"/>
      </c:catAx>
      <c:valAx>
        <c:axId val="1282617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16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 by product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5"/>
              <c:pt idx="0">
                <c:v>Beauty &amp; Personal Care</c:v>
              </c:pt>
              <c:pt idx="1">
                <c:v>Clothing</c:v>
              </c:pt>
              <c:pt idx="2">
                <c:v>Electronics</c:v>
              </c:pt>
              <c:pt idx="3">
                <c:v>Grocery</c:v>
              </c:pt>
              <c:pt idx="4">
                <c:v>Home &amp; Kitchen</c:v>
              </c:pt>
            </c:strLit>
          </c:cat>
          <c:val>
            <c:numLit>
              <c:formatCode>General</c:formatCode>
              <c:ptCount val="5"/>
              <c:pt idx="0">
                <c:v>299536.06</c:v>
              </c:pt>
              <c:pt idx="1">
                <c:v>334928.17000000027</c:v>
              </c:pt>
              <c:pt idx="2">
                <c:v>309148.68000000005</c:v>
              </c:pt>
              <c:pt idx="3">
                <c:v>300343.21000000014</c:v>
              </c:pt>
              <c:pt idx="4">
                <c:v>302710.94999999966</c:v>
              </c:pt>
            </c:numLit>
          </c:val>
          <c:extLst>
            <c:ext xmlns:c16="http://schemas.microsoft.com/office/drawing/2014/chart" uri="{C3380CC4-5D6E-409C-BE32-E72D297353CC}">
              <c16:uniqueId val="{00000000-5F02-4F18-B578-5672A37EC034}"/>
            </c:ext>
          </c:extLst>
        </c:ser>
        <c:dLbls>
          <c:showLegendKey val="0"/>
          <c:showVal val="0"/>
          <c:showCatName val="0"/>
          <c:showSerName val="0"/>
          <c:showPercent val="0"/>
          <c:showBubbleSize val="0"/>
        </c:dLbls>
        <c:gapWidth val="182"/>
        <c:axId val="1285175919"/>
        <c:axId val="1282619967"/>
      </c:barChart>
      <c:catAx>
        <c:axId val="1285175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619967"/>
        <c:crosses val="autoZero"/>
        <c:auto val="1"/>
        <c:lblAlgn val="ctr"/>
        <c:lblOffset val="100"/>
        <c:noMultiLvlLbl val="0"/>
      </c:catAx>
      <c:valAx>
        <c:axId val="1282619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17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years</a:t>
            </a:r>
          </a:p>
          <a:p>
            <a:pPr>
              <a:defRPr/>
            </a:pPr>
            <a:endParaRPr lang="en-US" baseline="0"/>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3"/>
              <c:pt idx="0">
                <c:v>2023</c:v>
              </c:pt>
              <c:pt idx="1">
                <c:v>2024</c:v>
              </c:pt>
              <c:pt idx="2">
                <c:v>2025</c:v>
              </c:pt>
            </c:strLit>
          </c:cat>
          <c:val>
            <c:numLit>
              <c:formatCode>General</c:formatCode>
              <c:ptCount val="3"/>
              <c:pt idx="0">
                <c:v>784701.19999999832</c:v>
              </c:pt>
              <c:pt idx="1">
                <c:v>738468.07000000053</c:v>
              </c:pt>
              <c:pt idx="2">
                <c:v>23497.8</c:v>
              </c:pt>
            </c:numLit>
          </c:val>
          <c:smooth val="0"/>
          <c:extLst>
            <c:ext xmlns:c16="http://schemas.microsoft.com/office/drawing/2014/chart" uri="{C3380CC4-5D6E-409C-BE32-E72D297353CC}">
              <c16:uniqueId val="{00000000-55B4-4E1A-9F2B-2F246EE441E3}"/>
            </c:ext>
          </c:extLst>
        </c:ser>
        <c:dLbls>
          <c:showLegendKey val="0"/>
          <c:showVal val="0"/>
          <c:showCatName val="0"/>
          <c:showSerName val="0"/>
          <c:showPercent val="0"/>
          <c:showBubbleSize val="0"/>
        </c:dLbls>
        <c:smooth val="0"/>
        <c:axId val="1285165519"/>
        <c:axId val="1282617471"/>
      </c:lineChart>
      <c:catAx>
        <c:axId val="128516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617471"/>
        <c:crosses val="autoZero"/>
        <c:auto val="1"/>
        <c:lblAlgn val="ctr"/>
        <c:lblOffset val="100"/>
        <c:noMultiLvlLbl val="0"/>
      </c:catAx>
      <c:valAx>
        <c:axId val="1282617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16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 by customer type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5211-4DDB-83D4-D8B2A89AEBC6}"/>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5211-4DDB-83D4-D8B2A89AEBC6}"/>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5211-4DDB-83D4-D8B2A89AEBC6}"/>
              </c:ext>
            </c:extLst>
          </c:dPt>
          <c:cat>
            <c:strLit>
              <c:ptCount val="3"/>
              <c:pt idx="0">
                <c:v>Member</c:v>
              </c:pt>
              <c:pt idx="1">
                <c:v>Premium</c:v>
              </c:pt>
              <c:pt idx="2">
                <c:v>Regular</c:v>
              </c:pt>
            </c:strLit>
          </c:cat>
          <c:val>
            <c:numLit>
              <c:formatCode>General</c:formatCode>
              <c:ptCount val="3"/>
              <c:pt idx="0">
                <c:v>506737.36999999982</c:v>
              </c:pt>
              <c:pt idx="1">
                <c:v>527400.19000000053</c:v>
              </c:pt>
              <c:pt idx="2">
                <c:v>512529.50999999983</c:v>
              </c:pt>
            </c:numLit>
          </c:val>
          <c:extLst>
            <c:ext xmlns:c16="http://schemas.microsoft.com/office/drawing/2014/chart" uri="{C3380CC4-5D6E-409C-BE32-E72D297353CC}">
              <c16:uniqueId val="{00000006-5211-4DDB-83D4-D8B2A89AEBC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165100</xdr:colOff>
      <xdr:row>0</xdr:row>
      <xdr:rowOff>171450</xdr:rowOff>
    </xdr:from>
    <xdr:to>
      <xdr:col>6</xdr:col>
      <xdr:colOff>463550</xdr:colOff>
      <xdr:row>14</xdr:row>
      <xdr:rowOff>82550</xdr:rowOff>
    </xdr:to>
    <xdr:graphicFrame macro="">
      <xdr:nvGraphicFramePr>
        <xdr:cNvPr id="2" name="Chart 1">
          <a:extLst>
            <a:ext uri="{FF2B5EF4-FFF2-40B4-BE49-F238E27FC236}">
              <a16:creationId xmlns:a16="http://schemas.microsoft.com/office/drawing/2014/main" id="{D599FA6A-1D3E-492D-A773-1E53DB137F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xdr:row>
      <xdr:rowOff>0</xdr:rowOff>
    </xdr:from>
    <xdr:to>
      <xdr:col>13</xdr:col>
      <xdr:colOff>419100</xdr:colOff>
      <xdr:row>14</xdr:row>
      <xdr:rowOff>69850</xdr:rowOff>
    </xdr:to>
    <xdr:graphicFrame macro="">
      <xdr:nvGraphicFramePr>
        <xdr:cNvPr id="3" name="Chart 2">
          <a:extLst>
            <a:ext uri="{FF2B5EF4-FFF2-40B4-BE49-F238E27FC236}">
              <a16:creationId xmlns:a16="http://schemas.microsoft.com/office/drawing/2014/main" id="{31C1A073-26A9-41F1-91EB-D2D495489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5444</xdr:colOff>
      <xdr:row>1</xdr:row>
      <xdr:rowOff>21771</xdr:rowOff>
    </xdr:from>
    <xdr:to>
      <xdr:col>20</xdr:col>
      <xdr:colOff>390980</xdr:colOff>
      <xdr:row>14</xdr:row>
      <xdr:rowOff>59871</xdr:rowOff>
    </xdr:to>
    <xdr:graphicFrame macro="">
      <xdr:nvGraphicFramePr>
        <xdr:cNvPr id="4" name="Chart 3">
          <a:extLst>
            <a:ext uri="{FF2B5EF4-FFF2-40B4-BE49-F238E27FC236}">
              <a16:creationId xmlns:a16="http://schemas.microsoft.com/office/drawing/2014/main" id="{125BE925-7850-4498-B83B-7CD261EE49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404091</xdr:colOff>
      <xdr:row>43</xdr:row>
      <xdr:rowOff>138546</xdr:rowOff>
    </xdr:from>
    <xdr:to>
      <xdr:col>20</xdr:col>
      <xdr:colOff>127000</xdr:colOff>
      <xdr:row>45</xdr:row>
      <xdr:rowOff>80819</xdr:rowOff>
    </xdr:to>
    <xdr:sp macro="" textlink="">
      <xdr:nvSpPr>
        <xdr:cNvPr id="29" name="Rectangle 28">
          <a:extLst>
            <a:ext uri="{FF2B5EF4-FFF2-40B4-BE49-F238E27FC236}">
              <a16:creationId xmlns:a16="http://schemas.microsoft.com/office/drawing/2014/main" id="{6911F8B4-AAA6-4A54-9583-FAF8EC881B22}"/>
            </a:ext>
          </a:extLst>
        </xdr:cNvPr>
        <xdr:cNvSpPr/>
      </xdr:nvSpPr>
      <xdr:spPr>
        <a:xfrm>
          <a:off x="8970818" y="8081819"/>
          <a:ext cx="3394364" cy="311727"/>
        </a:xfrm>
        <a:prstGeom prst="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87742</xdr:colOff>
      <xdr:row>2</xdr:row>
      <xdr:rowOff>58615</xdr:rowOff>
    </xdr:from>
    <xdr:to>
      <xdr:col>20</xdr:col>
      <xdr:colOff>177621</xdr:colOff>
      <xdr:row>45</xdr:row>
      <xdr:rowOff>63500</xdr:rowOff>
    </xdr:to>
    <xdr:sp macro="" textlink="">
      <xdr:nvSpPr>
        <xdr:cNvPr id="28" name="Rectangle 27">
          <a:extLst>
            <a:ext uri="{FF2B5EF4-FFF2-40B4-BE49-F238E27FC236}">
              <a16:creationId xmlns:a16="http://schemas.microsoft.com/office/drawing/2014/main" id="{CC8C6682-478E-43E2-9141-FAFBC6D272F0}"/>
            </a:ext>
          </a:extLst>
        </xdr:cNvPr>
        <xdr:cNvSpPr/>
      </xdr:nvSpPr>
      <xdr:spPr>
        <a:xfrm rot="5400000">
          <a:off x="8396785" y="4357209"/>
          <a:ext cx="7948157" cy="89879"/>
        </a:xfrm>
        <a:prstGeom prst="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444500</xdr:colOff>
      <xdr:row>9</xdr:row>
      <xdr:rowOff>145144</xdr:rowOff>
    </xdr:from>
    <xdr:to>
      <xdr:col>8</xdr:col>
      <xdr:colOff>181429</xdr:colOff>
      <xdr:row>24</xdr:row>
      <xdr:rowOff>27215</xdr:rowOff>
    </xdr:to>
    <xdr:sp macro="" textlink="">
      <xdr:nvSpPr>
        <xdr:cNvPr id="9" name="Rectangle 8">
          <a:extLst>
            <a:ext uri="{FF2B5EF4-FFF2-40B4-BE49-F238E27FC236}">
              <a16:creationId xmlns:a16="http://schemas.microsoft.com/office/drawing/2014/main" id="{80DA9374-3FD7-4941-8F9B-21A270FECCB6}"/>
            </a:ext>
          </a:extLst>
        </xdr:cNvPr>
        <xdr:cNvSpPr/>
      </xdr:nvSpPr>
      <xdr:spPr>
        <a:xfrm>
          <a:off x="1052286" y="1778001"/>
          <a:ext cx="3991429" cy="26035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408214</xdr:colOff>
      <xdr:row>0</xdr:row>
      <xdr:rowOff>36285</xdr:rowOff>
    </xdr:from>
    <xdr:to>
      <xdr:col>20</xdr:col>
      <xdr:colOff>172357</xdr:colOff>
      <xdr:row>4</xdr:row>
      <xdr:rowOff>18142</xdr:rowOff>
    </xdr:to>
    <xdr:sp macro="" textlink="">
      <xdr:nvSpPr>
        <xdr:cNvPr id="7" name="Rectangle 6">
          <a:extLst>
            <a:ext uri="{FF2B5EF4-FFF2-40B4-BE49-F238E27FC236}">
              <a16:creationId xmlns:a16="http://schemas.microsoft.com/office/drawing/2014/main" id="{B0AFF0EC-D6CD-41E9-9026-CBACDF893488}"/>
            </a:ext>
          </a:extLst>
        </xdr:cNvPr>
        <xdr:cNvSpPr/>
      </xdr:nvSpPr>
      <xdr:spPr>
        <a:xfrm>
          <a:off x="8974941" y="36285"/>
          <a:ext cx="3435598" cy="720766"/>
        </a:xfrm>
        <a:prstGeom prst="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9073</xdr:colOff>
      <xdr:row>11</xdr:row>
      <xdr:rowOff>90712</xdr:rowOff>
    </xdr:from>
    <xdr:to>
      <xdr:col>9</xdr:col>
      <xdr:colOff>444501</xdr:colOff>
      <xdr:row>25</xdr:row>
      <xdr:rowOff>81641</xdr:rowOff>
    </xdr:to>
    <xdr:sp macro="" textlink="">
      <xdr:nvSpPr>
        <xdr:cNvPr id="5" name="Rectangle 4">
          <a:extLst>
            <a:ext uri="{FF2B5EF4-FFF2-40B4-BE49-F238E27FC236}">
              <a16:creationId xmlns:a16="http://schemas.microsoft.com/office/drawing/2014/main" id="{EED4542F-E283-45AB-9857-BD7FEF60681A}"/>
            </a:ext>
          </a:extLst>
        </xdr:cNvPr>
        <xdr:cNvSpPr/>
      </xdr:nvSpPr>
      <xdr:spPr>
        <a:xfrm>
          <a:off x="1832430" y="2086426"/>
          <a:ext cx="4082142" cy="2530929"/>
        </a:xfrm>
        <a:prstGeom prst="rect">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66800</xdr:colOff>
      <xdr:row>0</xdr:row>
      <xdr:rowOff>49891</xdr:rowOff>
    </xdr:from>
    <xdr:to>
      <xdr:col>14</xdr:col>
      <xdr:colOff>444501</xdr:colOff>
      <xdr:row>45</xdr:row>
      <xdr:rowOff>79375</xdr:rowOff>
    </xdr:to>
    <xdr:sp macro="" textlink="">
      <xdr:nvSpPr>
        <xdr:cNvPr id="2" name="Rectangle 1">
          <a:extLst>
            <a:ext uri="{FF2B5EF4-FFF2-40B4-BE49-F238E27FC236}">
              <a16:creationId xmlns:a16="http://schemas.microsoft.com/office/drawing/2014/main" id="{F048C451-517D-454D-97CD-EE89DA9D36FE}"/>
            </a:ext>
          </a:extLst>
        </xdr:cNvPr>
        <xdr:cNvSpPr/>
      </xdr:nvSpPr>
      <xdr:spPr>
        <a:xfrm>
          <a:off x="66800" y="49891"/>
          <a:ext cx="8823201" cy="8601984"/>
        </a:xfrm>
        <a:prstGeom prst="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254568</xdr:colOff>
      <xdr:row>1</xdr:row>
      <xdr:rowOff>4905</xdr:rowOff>
    </xdr:from>
    <xdr:to>
      <xdr:col>20</xdr:col>
      <xdr:colOff>43458</xdr:colOff>
      <xdr:row>3</xdr:row>
      <xdr:rowOff>69526</xdr:rowOff>
    </xdr:to>
    <xdr:sp macro="" textlink="">
      <xdr:nvSpPr>
        <xdr:cNvPr id="4" name="Rectangle 3">
          <a:extLst>
            <a:ext uri="{FF2B5EF4-FFF2-40B4-BE49-F238E27FC236}">
              <a16:creationId xmlns:a16="http://schemas.microsoft.com/office/drawing/2014/main" id="{F8C1DA17-60CD-4533-AC52-30F128598CFF}"/>
            </a:ext>
          </a:extLst>
        </xdr:cNvPr>
        <xdr:cNvSpPr/>
      </xdr:nvSpPr>
      <xdr:spPr>
        <a:xfrm>
          <a:off x="254568" y="195405"/>
          <a:ext cx="11853890" cy="445621"/>
        </a:xfrm>
        <a:prstGeom prst="rect">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ysClr val="windowText" lastClr="000000"/>
              </a:solidFill>
            </a:rPr>
            <a:t>DMART</a:t>
          </a:r>
          <a:r>
            <a:rPr lang="en-US" sz="2000" baseline="0">
              <a:solidFill>
                <a:sysClr val="windowText" lastClr="000000"/>
              </a:solidFill>
            </a:rPr>
            <a:t> SALES DASHBOARD</a:t>
          </a:r>
          <a:endParaRPr lang="en-US" sz="2000">
            <a:solidFill>
              <a:sysClr val="windowText" lastClr="000000"/>
            </a:solidFill>
          </a:endParaRPr>
        </a:p>
      </xdr:txBody>
    </xdr:sp>
    <xdr:clientData/>
  </xdr:twoCellAnchor>
  <xdr:twoCellAnchor>
    <xdr:from>
      <xdr:col>0</xdr:col>
      <xdr:colOff>305370</xdr:colOff>
      <xdr:row>4</xdr:row>
      <xdr:rowOff>7864</xdr:rowOff>
    </xdr:from>
    <xdr:to>
      <xdr:col>3</xdr:col>
      <xdr:colOff>222820</xdr:colOff>
      <xdr:row>7</xdr:row>
      <xdr:rowOff>169023</xdr:rowOff>
    </xdr:to>
    <xdr:sp macro="" textlink="">
      <xdr:nvSpPr>
        <xdr:cNvPr id="6" name="Rectangle 5">
          <a:extLst>
            <a:ext uri="{FF2B5EF4-FFF2-40B4-BE49-F238E27FC236}">
              <a16:creationId xmlns:a16="http://schemas.microsoft.com/office/drawing/2014/main" id="{1D166A17-E567-49DB-BDCA-034A60CC72E0}"/>
            </a:ext>
          </a:extLst>
        </xdr:cNvPr>
        <xdr:cNvSpPr/>
      </xdr:nvSpPr>
      <xdr:spPr>
        <a:xfrm>
          <a:off x="305370" y="769864"/>
          <a:ext cx="1727200" cy="732659"/>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ysClr val="windowText" lastClr="000000"/>
              </a:solidFill>
            </a:rPr>
            <a:t>Total Sales</a:t>
          </a:r>
        </a:p>
        <a:p>
          <a:pPr algn="ctr"/>
          <a:r>
            <a:rPr lang="en-US" sz="1800" b="0" i="0" u="none" strike="noStrike">
              <a:solidFill>
                <a:sysClr val="windowText" lastClr="000000"/>
              </a:solidFill>
              <a:effectLst/>
              <a:latin typeface="+mn-lt"/>
              <a:ea typeface="+mn-ea"/>
              <a:cs typeface="+mn-cs"/>
            </a:rPr>
            <a:t>₹1,546,667.07</a:t>
          </a:r>
          <a:r>
            <a:rPr lang="en-US" sz="1800">
              <a:solidFill>
                <a:sysClr val="windowText" lastClr="000000"/>
              </a:solidFill>
            </a:rPr>
            <a:t> </a:t>
          </a:r>
        </a:p>
      </xdr:txBody>
    </xdr:sp>
    <xdr:clientData/>
  </xdr:twoCellAnchor>
  <xdr:twoCellAnchor>
    <xdr:from>
      <xdr:col>4</xdr:col>
      <xdr:colOff>68111</xdr:colOff>
      <xdr:row>4</xdr:row>
      <xdr:rowOff>16028</xdr:rowOff>
    </xdr:from>
    <xdr:to>
      <xdr:col>6</xdr:col>
      <xdr:colOff>597470</xdr:colOff>
      <xdr:row>7</xdr:row>
      <xdr:rowOff>170837</xdr:rowOff>
    </xdr:to>
    <xdr:sp macro="" textlink="">
      <xdr:nvSpPr>
        <xdr:cNvPr id="11" name="Rectangle 10">
          <a:extLst>
            <a:ext uri="{FF2B5EF4-FFF2-40B4-BE49-F238E27FC236}">
              <a16:creationId xmlns:a16="http://schemas.microsoft.com/office/drawing/2014/main" id="{86D4611E-3EC4-4ADC-A7BF-20EEC29FAEF7}"/>
            </a:ext>
          </a:extLst>
        </xdr:cNvPr>
        <xdr:cNvSpPr/>
      </xdr:nvSpPr>
      <xdr:spPr>
        <a:xfrm>
          <a:off x="2481111" y="778028"/>
          <a:ext cx="1735859" cy="726309"/>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ysClr val="windowText" lastClr="000000"/>
              </a:solidFill>
            </a:rPr>
            <a:t>Total Quantity</a:t>
          </a:r>
        </a:p>
        <a:p>
          <a:pPr algn="ctr"/>
          <a:r>
            <a:rPr lang="en-US" sz="1800">
              <a:solidFill>
                <a:sysClr val="windowText" lastClr="000000"/>
              </a:solidFill>
            </a:rPr>
            <a:t>6023</a:t>
          </a:r>
        </a:p>
      </xdr:txBody>
    </xdr:sp>
    <xdr:clientData/>
  </xdr:twoCellAnchor>
  <xdr:twoCellAnchor>
    <xdr:from>
      <xdr:col>7</xdr:col>
      <xdr:colOff>419670</xdr:colOff>
      <xdr:row>4</xdr:row>
      <xdr:rowOff>16028</xdr:rowOff>
    </xdr:from>
    <xdr:to>
      <xdr:col>10</xdr:col>
      <xdr:colOff>337120</xdr:colOff>
      <xdr:row>7</xdr:row>
      <xdr:rowOff>170837</xdr:rowOff>
    </xdr:to>
    <xdr:sp macro="" textlink="">
      <xdr:nvSpPr>
        <xdr:cNvPr id="12" name="Rectangle 11">
          <a:extLst>
            <a:ext uri="{FF2B5EF4-FFF2-40B4-BE49-F238E27FC236}">
              <a16:creationId xmlns:a16="http://schemas.microsoft.com/office/drawing/2014/main" id="{C1A967EE-0F83-4D4D-815D-4CB9800B36D5}"/>
            </a:ext>
          </a:extLst>
        </xdr:cNvPr>
        <xdr:cNvSpPr/>
      </xdr:nvSpPr>
      <xdr:spPr>
        <a:xfrm>
          <a:off x="4642420" y="778028"/>
          <a:ext cx="1727200" cy="726309"/>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ysClr val="windowText" lastClr="000000"/>
              </a:solidFill>
            </a:rPr>
            <a:t>Avg Sales</a:t>
          </a:r>
        </a:p>
        <a:p>
          <a:pPr algn="ctr"/>
          <a:r>
            <a:rPr lang="en-US" sz="1800" b="0" i="0">
              <a:solidFill>
                <a:sysClr val="windowText" lastClr="000000"/>
              </a:solidFill>
              <a:effectLst/>
              <a:latin typeface="+mn-lt"/>
              <a:ea typeface="+mn-ea"/>
              <a:cs typeface="+mn-cs"/>
            </a:rPr>
            <a:t>₹</a:t>
          </a:r>
          <a:r>
            <a:rPr lang="en-US" sz="1800">
              <a:solidFill>
                <a:sysClr val="windowText" lastClr="000000"/>
              </a:solidFill>
            </a:rPr>
            <a:t>773.72</a:t>
          </a:r>
        </a:p>
        <a:p>
          <a:pPr algn="ctr"/>
          <a:endParaRPr lang="en-US" sz="1800">
            <a:solidFill>
              <a:sysClr val="windowText" lastClr="000000"/>
            </a:solidFill>
          </a:endParaRPr>
        </a:p>
      </xdr:txBody>
    </xdr:sp>
    <xdr:clientData/>
  </xdr:twoCellAnchor>
  <xdr:twoCellAnchor>
    <xdr:from>
      <xdr:col>11</xdr:col>
      <xdr:colOff>229170</xdr:colOff>
      <xdr:row>4</xdr:row>
      <xdr:rowOff>17842</xdr:rowOff>
    </xdr:from>
    <xdr:to>
      <xdr:col>14</xdr:col>
      <xdr:colOff>144311</xdr:colOff>
      <xdr:row>7</xdr:row>
      <xdr:rowOff>172651</xdr:rowOff>
    </xdr:to>
    <xdr:sp macro="" textlink="">
      <xdr:nvSpPr>
        <xdr:cNvPr id="13" name="Rectangle 12">
          <a:extLst>
            <a:ext uri="{FF2B5EF4-FFF2-40B4-BE49-F238E27FC236}">
              <a16:creationId xmlns:a16="http://schemas.microsoft.com/office/drawing/2014/main" id="{E05066F8-3F1E-4001-A94B-B68CDD6E23D8}"/>
            </a:ext>
          </a:extLst>
        </xdr:cNvPr>
        <xdr:cNvSpPr/>
      </xdr:nvSpPr>
      <xdr:spPr>
        <a:xfrm>
          <a:off x="6864920" y="779842"/>
          <a:ext cx="1724891" cy="726309"/>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ysClr val="windowText" lastClr="000000"/>
              </a:solidFill>
            </a:rPr>
            <a:t>Max Sales</a:t>
          </a:r>
        </a:p>
        <a:p>
          <a:pPr algn="ctr"/>
          <a:r>
            <a:rPr lang="en-US" sz="1800" b="0" i="0">
              <a:solidFill>
                <a:sysClr val="windowText" lastClr="000000"/>
              </a:solidFill>
              <a:effectLst/>
              <a:latin typeface="+mn-lt"/>
              <a:ea typeface="+mn-ea"/>
              <a:cs typeface="+mn-cs"/>
            </a:rPr>
            <a:t>₹</a:t>
          </a:r>
          <a:r>
            <a:rPr lang="en-US" sz="1800">
              <a:solidFill>
                <a:sysClr val="windowText" lastClr="000000"/>
              </a:solidFill>
            </a:rPr>
            <a:t>2,499.50</a:t>
          </a:r>
        </a:p>
      </xdr:txBody>
    </xdr:sp>
    <xdr:clientData/>
  </xdr:twoCellAnchor>
  <xdr:twoCellAnchor>
    <xdr:from>
      <xdr:col>0</xdr:col>
      <xdr:colOff>284506</xdr:colOff>
      <xdr:row>9</xdr:row>
      <xdr:rowOff>44</xdr:rowOff>
    </xdr:from>
    <xdr:to>
      <xdr:col>7</xdr:col>
      <xdr:colOff>8240</xdr:colOff>
      <xdr:row>11</xdr:row>
      <xdr:rowOff>19094</xdr:rowOff>
    </xdr:to>
    <xdr:sp macro="" textlink="">
      <xdr:nvSpPr>
        <xdr:cNvPr id="19" name="Rectangle 18">
          <a:extLst>
            <a:ext uri="{FF2B5EF4-FFF2-40B4-BE49-F238E27FC236}">
              <a16:creationId xmlns:a16="http://schemas.microsoft.com/office/drawing/2014/main" id="{F669F64F-A9D7-4B59-A7E0-8388238BC617}"/>
            </a:ext>
          </a:extLst>
        </xdr:cNvPr>
        <xdr:cNvSpPr/>
      </xdr:nvSpPr>
      <xdr:spPr>
        <a:xfrm>
          <a:off x="284506" y="1714544"/>
          <a:ext cx="3946484" cy="400050"/>
        </a:xfrm>
        <a:prstGeom prst="rect">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ysClr val="windowText" lastClr="000000"/>
              </a:solidFill>
            </a:rPr>
            <a:t>Sales by product category</a:t>
          </a:r>
        </a:p>
      </xdr:txBody>
    </xdr:sp>
    <xdr:clientData/>
  </xdr:twoCellAnchor>
  <xdr:twoCellAnchor>
    <xdr:from>
      <xdr:col>7</xdr:col>
      <xdr:colOff>391548</xdr:colOff>
      <xdr:row>8</xdr:row>
      <xdr:rowOff>186008</xdr:rowOff>
    </xdr:from>
    <xdr:to>
      <xdr:col>14</xdr:col>
      <xdr:colOff>115282</xdr:colOff>
      <xdr:row>11</xdr:row>
      <xdr:rowOff>1858</xdr:rowOff>
    </xdr:to>
    <xdr:sp macro="" textlink="">
      <xdr:nvSpPr>
        <xdr:cNvPr id="20" name="Rectangle 19">
          <a:extLst>
            <a:ext uri="{FF2B5EF4-FFF2-40B4-BE49-F238E27FC236}">
              <a16:creationId xmlns:a16="http://schemas.microsoft.com/office/drawing/2014/main" id="{15920BD1-8F21-4C34-AC15-696821641D05}"/>
            </a:ext>
          </a:extLst>
        </xdr:cNvPr>
        <xdr:cNvSpPr/>
      </xdr:nvSpPr>
      <xdr:spPr>
        <a:xfrm>
          <a:off x="4614298" y="1710008"/>
          <a:ext cx="3946484" cy="387350"/>
        </a:xfrm>
        <a:prstGeom prst="rect">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ysClr val="windowText" lastClr="000000"/>
              </a:solidFill>
            </a:rPr>
            <a:t>Sale by customer</a:t>
          </a:r>
          <a:r>
            <a:rPr lang="en-US" sz="1600" baseline="0">
              <a:solidFill>
                <a:sysClr val="windowText" lastClr="000000"/>
              </a:solidFill>
            </a:rPr>
            <a:t> type</a:t>
          </a:r>
          <a:endParaRPr lang="en-US" sz="1600">
            <a:solidFill>
              <a:sysClr val="windowText" lastClr="000000"/>
            </a:solidFill>
          </a:endParaRPr>
        </a:p>
      </xdr:txBody>
    </xdr:sp>
    <xdr:clientData/>
  </xdr:twoCellAnchor>
  <xdr:twoCellAnchor>
    <xdr:from>
      <xdr:col>7</xdr:col>
      <xdr:colOff>394771</xdr:colOff>
      <xdr:row>26</xdr:row>
      <xdr:rowOff>182975</xdr:rowOff>
    </xdr:from>
    <xdr:to>
      <xdr:col>14</xdr:col>
      <xdr:colOff>127164</xdr:colOff>
      <xdr:row>28</xdr:row>
      <xdr:rowOff>189325</xdr:rowOff>
    </xdr:to>
    <xdr:sp macro="" textlink="">
      <xdr:nvSpPr>
        <xdr:cNvPr id="23" name="Rectangle 22">
          <a:extLst>
            <a:ext uri="{FF2B5EF4-FFF2-40B4-BE49-F238E27FC236}">
              <a16:creationId xmlns:a16="http://schemas.microsoft.com/office/drawing/2014/main" id="{D4B02BE5-3EEB-4ADA-81D8-12A32D79CE1B}"/>
            </a:ext>
          </a:extLst>
        </xdr:cNvPr>
        <xdr:cNvSpPr/>
      </xdr:nvSpPr>
      <xdr:spPr>
        <a:xfrm>
          <a:off x="4617521" y="5135975"/>
          <a:ext cx="3955143" cy="387350"/>
        </a:xfrm>
        <a:prstGeom prst="rect">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ysClr val="windowText" lastClr="000000"/>
              </a:solidFill>
            </a:rPr>
            <a:t>Sales by years</a:t>
          </a:r>
        </a:p>
      </xdr:txBody>
    </xdr:sp>
    <xdr:clientData/>
  </xdr:twoCellAnchor>
  <xdr:twoCellAnchor>
    <xdr:from>
      <xdr:col>0</xdr:col>
      <xdr:colOff>327802</xdr:colOff>
      <xdr:row>26</xdr:row>
      <xdr:rowOff>172685</xdr:rowOff>
    </xdr:from>
    <xdr:to>
      <xdr:col>7</xdr:col>
      <xdr:colOff>51535</xdr:colOff>
      <xdr:row>29</xdr:row>
      <xdr:rowOff>1235</xdr:rowOff>
    </xdr:to>
    <xdr:sp macro="" textlink="">
      <xdr:nvSpPr>
        <xdr:cNvPr id="24" name="Rectangle 23">
          <a:extLst>
            <a:ext uri="{FF2B5EF4-FFF2-40B4-BE49-F238E27FC236}">
              <a16:creationId xmlns:a16="http://schemas.microsoft.com/office/drawing/2014/main" id="{87201F24-AFC2-40F2-A6E9-488719094D2A}"/>
            </a:ext>
          </a:extLst>
        </xdr:cNvPr>
        <xdr:cNvSpPr/>
      </xdr:nvSpPr>
      <xdr:spPr>
        <a:xfrm>
          <a:off x="327802" y="5125685"/>
          <a:ext cx="3946483" cy="400050"/>
        </a:xfrm>
        <a:prstGeom prst="rect">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ysClr val="windowText" lastClr="000000"/>
              </a:solidFill>
            </a:rPr>
            <a:t>Key insights</a:t>
          </a:r>
        </a:p>
      </xdr:txBody>
    </xdr:sp>
    <xdr:clientData/>
  </xdr:twoCellAnchor>
  <xdr:twoCellAnchor>
    <xdr:from>
      <xdr:col>14</xdr:col>
      <xdr:colOff>350692</xdr:colOff>
      <xdr:row>4</xdr:row>
      <xdr:rowOff>11546</xdr:rowOff>
    </xdr:from>
    <xdr:to>
      <xdr:col>20</xdr:col>
      <xdr:colOff>95249</xdr:colOff>
      <xdr:row>43</xdr:row>
      <xdr:rowOff>150091</xdr:rowOff>
    </xdr:to>
    <xdr:sp macro="" textlink="">
      <xdr:nvSpPr>
        <xdr:cNvPr id="8" name="Rectangle 7">
          <a:extLst>
            <a:ext uri="{FF2B5EF4-FFF2-40B4-BE49-F238E27FC236}">
              <a16:creationId xmlns:a16="http://schemas.microsoft.com/office/drawing/2014/main" id="{B6E3CBEF-D249-4260-9669-5A0A528DA97A}"/>
            </a:ext>
          </a:extLst>
        </xdr:cNvPr>
        <xdr:cNvSpPr/>
      </xdr:nvSpPr>
      <xdr:spPr>
        <a:xfrm>
          <a:off x="8917419" y="750455"/>
          <a:ext cx="3416012" cy="7342909"/>
        </a:xfrm>
        <a:prstGeom prst="rect">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476970</xdr:colOff>
      <xdr:row>35</xdr:row>
      <xdr:rowOff>69273</xdr:rowOff>
    </xdr:from>
    <xdr:to>
      <xdr:col>19</xdr:col>
      <xdr:colOff>559165</xdr:colOff>
      <xdr:row>43</xdr:row>
      <xdr:rowOff>46183</xdr:rowOff>
    </xdr:to>
    <mc:AlternateContent xmlns:mc="http://schemas.openxmlformats.org/markup-compatibility/2006">
      <mc:Choice xmlns:a14="http://schemas.microsoft.com/office/drawing/2010/main" Requires="a14">
        <xdr:graphicFrame macro="">
          <xdr:nvGraphicFramePr>
            <xdr:cNvPr id="14" name="CustomerType 2">
              <a:extLst>
                <a:ext uri="{FF2B5EF4-FFF2-40B4-BE49-F238E27FC236}">
                  <a16:creationId xmlns:a16="http://schemas.microsoft.com/office/drawing/2014/main" id="{7AD8DAE0-7FEC-4174-BF90-641B8823771F}"/>
                </a:ext>
              </a:extLst>
            </xdr:cNvPr>
            <xdr:cNvGraphicFramePr/>
          </xdr:nvGraphicFramePr>
          <xdr:xfrm>
            <a:off x="0" y="0"/>
            <a:ext cx="0" cy="0"/>
          </xdr:xfrm>
          <a:graphic>
            <a:graphicData uri="http://schemas.microsoft.com/office/drawing/2010/slicer">
              <sle:slicer xmlns:sle="http://schemas.microsoft.com/office/drawing/2010/slicer" name="CustomerType 2"/>
            </a:graphicData>
          </a:graphic>
        </xdr:graphicFrame>
      </mc:Choice>
      <mc:Fallback>
        <xdr:sp macro="" textlink="">
          <xdr:nvSpPr>
            <xdr:cNvPr id="0" name=""/>
            <xdr:cNvSpPr>
              <a:spLocks noTextEdit="1"/>
            </xdr:cNvSpPr>
          </xdr:nvSpPr>
          <xdr:spPr>
            <a:xfrm>
              <a:off x="9043697" y="6534728"/>
              <a:ext cx="3141741" cy="14547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487781</xdr:colOff>
      <xdr:row>13</xdr:row>
      <xdr:rowOff>174955</xdr:rowOff>
    </xdr:from>
    <xdr:to>
      <xdr:col>19</xdr:col>
      <xdr:colOff>556784</xdr:colOff>
      <xdr:row>23</xdr:row>
      <xdr:rowOff>38480</xdr:rowOff>
    </xdr:to>
    <mc:AlternateContent xmlns:mc="http://schemas.openxmlformats.org/markup-compatibility/2006">
      <mc:Choice xmlns:a14="http://schemas.microsoft.com/office/drawing/2010/main" Requires="a14">
        <xdr:graphicFrame macro="">
          <xdr:nvGraphicFramePr>
            <xdr:cNvPr id="15" name="ProductCategory 2">
              <a:extLst>
                <a:ext uri="{FF2B5EF4-FFF2-40B4-BE49-F238E27FC236}">
                  <a16:creationId xmlns:a16="http://schemas.microsoft.com/office/drawing/2014/main" id="{FDFD28BA-F284-45CF-8861-046E5F2C6E96}"/>
                </a:ext>
              </a:extLst>
            </xdr:cNvPr>
            <xdr:cNvGraphicFramePr/>
          </xdr:nvGraphicFramePr>
          <xdr:xfrm>
            <a:off x="0" y="0"/>
            <a:ext cx="0" cy="0"/>
          </xdr:xfrm>
          <a:graphic>
            <a:graphicData uri="http://schemas.microsoft.com/office/drawing/2010/slicer">
              <sle:slicer xmlns:sle="http://schemas.microsoft.com/office/drawing/2010/slicer" name="ProductCategory 2"/>
            </a:graphicData>
          </a:graphic>
        </xdr:graphicFrame>
      </mc:Choice>
      <mc:Fallback>
        <xdr:sp macro="" textlink="">
          <xdr:nvSpPr>
            <xdr:cNvPr id="0" name=""/>
            <xdr:cNvSpPr>
              <a:spLocks noTextEdit="1"/>
            </xdr:cNvSpPr>
          </xdr:nvSpPr>
          <xdr:spPr>
            <a:xfrm>
              <a:off x="9054508" y="2576410"/>
              <a:ext cx="3128549" cy="17107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496455</xdr:colOff>
      <xdr:row>23</xdr:row>
      <xdr:rowOff>164493</xdr:rowOff>
    </xdr:from>
    <xdr:to>
      <xdr:col>19</xdr:col>
      <xdr:colOff>558743</xdr:colOff>
      <xdr:row>34</xdr:row>
      <xdr:rowOff>92365</xdr:rowOff>
    </xdr:to>
    <mc:AlternateContent xmlns:mc="http://schemas.openxmlformats.org/markup-compatibility/2006">
      <mc:Choice xmlns:a14="http://schemas.microsoft.com/office/drawing/2010/main" Requires="a14">
        <xdr:graphicFrame macro="">
          <xdr:nvGraphicFramePr>
            <xdr:cNvPr id="16" name="FullName 2">
              <a:extLst>
                <a:ext uri="{FF2B5EF4-FFF2-40B4-BE49-F238E27FC236}">
                  <a16:creationId xmlns:a16="http://schemas.microsoft.com/office/drawing/2014/main" id="{943130FE-4413-48AC-A714-7C5692F375D6}"/>
                </a:ext>
              </a:extLst>
            </xdr:cNvPr>
            <xdr:cNvGraphicFramePr/>
          </xdr:nvGraphicFramePr>
          <xdr:xfrm>
            <a:off x="0" y="0"/>
            <a:ext cx="0" cy="0"/>
          </xdr:xfrm>
          <a:graphic>
            <a:graphicData uri="http://schemas.microsoft.com/office/drawing/2010/slicer">
              <sle:slicer xmlns:sle="http://schemas.microsoft.com/office/drawing/2010/slicer" name="FullName 2"/>
            </a:graphicData>
          </a:graphic>
        </xdr:graphicFrame>
      </mc:Choice>
      <mc:Fallback>
        <xdr:sp macro="" textlink="">
          <xdr:nvSpPr>
            <xdr:cNvPr id="0" name=""/>
            <xdr:cNvSpPr>
              <a:spLocks noTextEdit="1"/>
            </xdr:cNvSpPr>
          </xdr:nvSpPr>
          <xdr:spPr>
            <a:xfrm>
              <a:off x="9063182" y="4413220"/>
              <a:ext cx="3121834" cy="19598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479078</xdr:colOff>
      <xdr:row>5</xdr:row>
      <xdr:rowOff>86904</xdr:rowOff>
    </xdr:from>
    <xdr:to>
      <xdr:col>19</xdr:col>
      <xdr:colOff>571500</xdr:colOff>
      <xdr:row>13</xdr:row>
      <xdr:rowOff>12543</xdr:rowOff>
    </xdr:to>
    <mc:AlternateContent xmlns:mc="http://schemas.openxmlformats.org/markup-compatibility/2006">
      <mc:Choice xmlns:tsle="http://schemas.microsoft.com/office/drawing/2012/timeslicer" Requires="tsle">
        <xdr:graphicFrame macro="">
          <xdr:nvGraphicFramePr>
            <xdr:cNvPr id="18" name="Date 2">
              <a:extLst>
                <a:ext uri="{FF2B5EF4-FFF2-40B4-BE49-F238E27FC236}">
                  <a16:creationId xmlns:a16="http://schemas.microsoft.com/office/drawing/2014/main" id="{23028FC4-EE88-4E83-B019-A8CA2265A23C}"/>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9045805" y="1010540"/>
              <a:ext cx="3151968" cy="140345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288636</xdr:colOff>
      <xdr:row>11</xdr:row>
      <xdr:rowOff>178955</xdr:rowOff>
    </xdr:from>
    <xdr:to>
      <xdr:col>7</xdr:col>
      <xdr:colOff>34636</xdr:colOff>
      <xdr:row>25</xdr:row>
      <xdr:rowOff>144319</xdr:rowOff>
    </xdr:to>
    <xdr:sp macro="" textlink="">
      <xdr:nvSpPr>
        <xdr:cNvPr id="10" name="Rectangle 9">
          <a:extLst>
            <a:ext uri="{FF2B5EF4-FFF2-40B4-BE49-F238E27FC236}">
              <a16:creationId xmlns:a16="http://schemas.microsoft.com/office/drawing/2014/main" id="{621CEAB1-DE46-441A-B292-C65E2C2A5DA2}"/>
            </a:ext>
          </a:extLst>
        </xdr:cNvPr>
        <xdr:cNvSpPr/>
      </xdr:nvSpPr>
      <xdr:spPr>
        <a:xfrm>
          <a:off x="288636" y="2274455"/>
          <a:ext cx="3968750" cy="2632364"/>
        </a:xfrm>
        <a:prstGeom prst="rect">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411501</xdr:colOff>
      <xdr:row>12</xdr:row>
      <xdr:rowOff>109681</xdr:rowOff>
    </xdr:from>
    <xdr:to>
      <xdr:col>6</xdr:col>
      <xdr:colOff>508000</xdr:colOff>
      <xdr:row>25</xdr:row>
      <xdr:rowOff>39210</xdr:rowOff>
    </xdr:to>
    <xdr:graphicFrame macro="">
      <xdr:nvGraphicFramePr>
        <xdr:cNvPr id="17" name="Chart 16">
          <a:extLst>
            <a:ext uri="{FF2B5EF4-FFF2-40B4-BE49-F238E27FC236}">
              <a16:creationId xmlns:a16="http://schemas.microsoft.com/office/drawing/2014/main" id="{93481B59-415B-4D8A-8894-455E30A73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406407</xdr:colOff>
      <xdr:row>12</xdr:row>
      <xdr:rowOff>7510</xdr:rowOff>
    </xdr:from>
    <xdr:to>
      <xdr:col>14</xdr:col>
      <xdr:colOff>152408</xdr:colOff>
      <xdr:row>25</xdr:row>
      <xdr:rowOff>169724</xdr:rowOff>
    </xdr:to>
    <xdr:sp macro="" textlink="">
      <xdr:nvSpPr>
        <xdr:cNvPr id="25" name="Rectangle 24">
          <a:extLst>
            <a:ext uri="{FF2B5EF4-FFF2-40B4-BE49-F238E27FC236}">
              <a16:creationId xmlns:a16="http://schemas.microsoft.com/office/drawing/2014/main" id="{AA17DB83-F0D2-4CF5-B487-E4E4E12227D7}"/>
            </a:ext>
          </a:extLst>
        </xdr:cNvPr>
        <xdr:cNvSpPr/>
      </xdr:nvSpPr>
      <xdr:spPr>
        <a:xfrm>
          <a:off x="4629157" y="2293510"/>
          <a:ext cx="3968751" cy="2638714"/>
        </a:xfrm>
        <a:prstGeom prst="rect">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352132</xdr:colOff>
      <xdr:row>30</xdr:row>
      <xdr:rowOff>58754</xdr:rowOff>
    </xdr:from>
    <xdr:to>
      <xdr:col>7</xdr:col>
      <xdr:colOff>98132</xdr:colOff>
      <xdr:row>43</xdr:row>
      <xdr:rowOff>151944</xdr:rowOff>
    </xdr:to>
    <xdr:sp macro="" textlink="">
      <xdr:nvSpPr>
        <xdr:cNvPr id="26" name="Rectangle 25">
          <a:extLst>
            <a:ext uri="{FF2B5EF4-FFF2-40B4-BE49-F238E27FC236}">
              <a16:creationId xmlns:a16="http://schemas.microsoft.com/office/drawing/2014/main" id="{BC622C34-88AE-495B-896F-F486930D8EB3}"/>
            </a:ext>
          </a:extLst>
        </xdr:cNvPr>
        <xdr:cNvSpPr/>
      </xdr:nvSpPr>
      <xdr:spPr>
        <a:xfrm>
          <a:off x="352132" y="5773754"/>
          <a:ext cx="3968750" cy="2569690"/>
        </a:xfrm>
        <a:prstGeom prst="rect">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456860</xdr:colOff>
      <xdr:row>30</xdr:row>
      <xdr:rowOff>179156</xdr:rowOff>
    </xdr:from>
    <xdr:to>
      <xdr:col>7</xdr:col>
      <xdr:colOff>18140</xdr:colOff>
      <xdr:row>43</xdr:row>
      <xdr:rowOff>6798</xdr:rowOff>
    </xdr:to>
    <xdr:sp macro="" textlink="">
      <xdr:nvSpPr>
        <xdr:cNvPr id="3" name="Rectangle 2">
          <a:extLst>
            <a:ext uri="{FF2B5EF4-FFF2-40B4-BE49-F238E27FC236}">
              <a16:creationId xmlns:a16="http://schemas.microsoft.com/office/drawing/2014/main" id="{15916DA8-EA18-4440-8AEE-CA125B10FD0B}"/>
            </a:ext>
          </a:extLst>
        </xdr:cNvPr>
        <xdr:cNvSpPr/>
      </xdr:nvSpPr>
      <xdr:spPr>
        <a:xfrm>
          <a:off x="456860" y="5894156"/>
          <a:ext cx="3784030" cy="2304142"/>
        </a:xfrm>
        <a:prstGeom prst="rect">
          <a:avLst/>
        </a:prstGeom>
        <a:solidFill>
          <a:schemeClr val="bg1"/>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ysClr val="windowText" lastClr="000000"/>
            </a:solidFill>
          </a:endParaRPr>
        </a:p>
        <a:p>
          <a:pPr algn="l"/>
          <a:r>
            <a:rPr lang="en-US" sz="1200">
              <a:solidFill>
                <a:sysClr val="windowText" lastClr="000000"/>
              </a:solidFill>
            </a:rPr>
            <a:t>1. total</a:t>
          </a:r>
          <a:r>
            <a:rPr lang="en-US" sz="1200" baseline="0">
              <a:solidFill>
                <a:sysClr val="windowText" lastClr="000000"/>
              </a:solidFill>
            </a:rPr>
            <a:t> sales are </a:t>
          </a:r>
          <a:r>
            <a:rPr lang="en-US" sz="1200" b="0" i="0">
              <a:solidFill>
                <a:sysClr val="windowText" lastClr="000000"/>
              </a:solidFill>
              <a:effectLst/>
              <a:latin typeface="+mn-lt"/>
              <a:ea typeface="+mn-ea"/>
              <a:cs typeface="+mn-cs"/>
            </a:rPr>
            <a:t>₹</a:t>
          </a:r>
          <a:r>
            <a:rPr lang="en-US" sz="1200" baseline="0">
              <a:solidFill>
                <a:sysClr val="windowText" lastClr="000000"/>
              </a:solidFill>
            </a:rPr>
            <a:t>1.54M with an average transaction value of </a:t>
          </a:r>
          <a:r>
            <a:rPr lang="en-US" sz="1200" b="0" i="0">
              <a:solidFill>
                <a:sysClr val="windowText" lastClr="000000"/>
              </a:solidFill>
              <a:effectLst/>
              <a:latin typeface="+mn-lt"/>
              <a:ea typeface="+mn-ea"/>
              <a:cs typeface="+mn-cs"/>
            </a:rPr>
            <a:t>₹</a:t>
          </a:r>
          <a:r>
            <a:rPr lang="en-US" sz="1200" baseline="0">
              <a:solidFill>
                <a:sysClr val="windowText" lastClr="000000"/>
              </a:solidFill>
            </a:rPr>
            <a:t>773 </a:t>
          </a:r>
        </a:p>
        <a:p>
          <a:pPr algn="l"/>
          <a:endParaRPr lang="en-US" sz="1200" baseline="0">
            <a:solidFill>
              <a:sysClr val="windowText" lastClr="000000"/>
            </a:solidFill>
          </a:endParaRPr>
        </a:p>
        <a:p>
          <a:pPr algn="l"/>
          <a:r>
            <a:rPr lang="en-US" sz="1200" baseline="0">
              <a:solidFill>
                <a:sysClr val="windowText" lastClr="000000"/>
              </a:solidFill>
            </a:rPr>
            <a:t>2. Clothing is the highest-selling category</a:t>
          </a:r>
        </a:p>
        <a:p>
          <a:pPr algn="l"/>
          <a:endParaRPr lang="en-US" sz="1200" baseline="0">
            <a:solidFill>
              <a:sysClr val="windowText" lastClr="000000"/>
            </a:solidFill>
          </a:endParaRPr>
        </a:p>
        <a:p>
          <a:pPr algn="l"/>
          <a:r>
            <a:rPr lang="en-US" sz="1200" baseline="0">
              <a:solidFill>
                <a:sysClr val="windowText" lastClr="000000"/>
              </a:solidFill>
            </a:rPr>
            <a:t>3.  regular customers are more registerd here </a:t>
          </a:r>
        </a:p>
        <a:p>
          <a:pPr algn="l"/>
          <a:endParaRPr lang="en-US" sz="1200" baseline="0">
            <a:solidFill>
              <a:sysClr val="windowText" lastClr="000000"/>
            </a:solidFill>
          </a:endParaRPr>
        </a:p>
        <a:p>
          <a:pPr algn="l"/>
          <a:r>
            <a:rPr lang="en-US" sz="1200" baseline="0">
              <a:solidFill>
                <a:sysClr val="windowText" lastClr="000000"/>
              </a:solidFill>
            </a:rPr>
            <a:t>4. Beauty and personal care have the lowest sales</a:t>
          </a:r>
        </a:p>
        <a:p>
          <a:pPr algn="l"/>
          <a:endParaRPr lang="en-US" sz="1200" baseline="0">
            <a:solidFill>
              <a:sysClr val="windowText" lastClr="000000"/>
            </a:solidFill>
          </a:endParaRPr>
        </a:p>
        <a:p>
          <a:pPr algn="l"/>
          <a:r>
            <a:rPr lang="en-US" sz="1200" baseline="0">
              <a:solidFill>
                <a:sysClr val="windowText" lastClr="000000"/>
              </a:solidFill>
            </a:rPr>
            <a:t>5. total quantity sold :- 6023</a:t>
          </a:r>
        </a:p>
        <a:p>
          <a:pPr algn="l"/>
          <a:endParaRPr lang="en-US" sz="1400" baseline="0">
            <a:solidFill>
              <a:sysClr val="windowText" lastClr="000000"/>
            </a:solidFill>
          </a:endParaRPr>
        </a:p>
        <a:p>
          <a:pPr algn="l"/>
          <a:endParaRPr lang="en-US" sz="1200" baseline="0">
            <a:solidFill>
              <a:sysClr val="windowText" lastClr="000000"/>
            </a:solidFill>
          </a:endParaRPr>
        </a:p>
      </xdr:txBody>
    </xdr:sp>
    <xdr:clientData/>
  </xdr:twoCellAnchor>
  <xdr:twoCellAnchor>
    <xdr:from>
      <xdr:col>7</xdr:col>
      <xdr:colOff>381000</xdr:colOff>
      <xdr:row>30</xdr:row>
      <xdr:rowOff>47625</xdr:rowOff>
    </xdr:from>
    <xdr:to>
      <xdr:col>14</xdr:col>
      <xdr:colOff>127000</xdr:colOff>
      <xdr:row>43</xdr:row>
      <xdr:rowOff>140815</xdr:rowOff>
    </xdr:to>
    <xdr:sp macro="" textlink="">
      <xdr:nvSpPr>
        <xdr:cNvPr id="27" name="Rectangle 26">
          <a:extLst>
            <a:ext uri="{FF2B5EF4-FFF2-40B4-BE49-F238E27FC236}">
              <a16:creationId xmlns:a16="http://schemas.microsoft.com/office/drawing/2014/main" id="{ABB85829-4D15-4A03-AB93-48E00362710B}"/>
            </a:ext>
          </a:extLst>
        </xdr:cNvPr>
        <xdr:cNvSpPr/>
      </xdr:nvSpPr>
      <xdr:spPr>
        <a:xfrm>
          <a:off x="4603750" y="5762625"/>
          <a:ext cx="3968750" cy="2569690"/>
        </a:xfrm>
        <a:prstGeom prst="rect">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520322</xdr:colOff>
      <xdr:row>30</xdr:row>
      <xdr:rowOff>158750</xdr:rowOff>
    </xdr:from>
    <xdr:to>
      <xdr:col>14</xdr:col>
      <xdr:colOff>4535</xdr:colOff>
      <xdr:row>43</xdr:row>
      <xdr:rowOff>38148</xdr:rowOff>
    </xdr:to>
    <xdr:graphicFrame macro="">
      <xdr:nvGraphicFramePr>
        <xdr:cNvPr id="22" name="Chart 21">
          <a:extLst>
            <a:ext uri="{FF2B5EF4-FFF2-40B4-BE49-F238E27FC236}">
              <a16:creationId xmlns:a16="http://schemas.microsoft.com/office/drawing/2014/main" id="{FF03A0A3-7748-409B-B3AF-7A718610C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537934</xdr:colOff>
      <xdr:row>12</xdr:row>
      <xdr:rowOff>121227</xdr:rowOff>
    </xdr:from>
    <xdr:to>
      <xdr:col>14</xdr:col>
      <xdr:colOff>34025</xdr:colOff>
      <xdr:row>25</xdr:row>
      <xdr:rowOff>34635</xdr:rowOff>
    </xdr:to>
    <xdr:graphicFrame macro="">
      <xdr:nvGraphicFramePr>
        <xdr:cNvPr id="21" name="Chart 20">
          <a:extLst>
            <a:ext uri="{FF2B5EF4-FFF2-40B4-BE49-F238E27FC236}">
              <a16:creationId xmlns:a16="http://schemas.microsoft.com/office/drawing/2014/main" id="{DE0E3FE1-AAE2-4A86-AF40-862899263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00.451150115739" createdVersion="6" refreshedVersion="6" minRefreshableVersion="3" recordCount="1999" xr:uid="{00000000-000A-0000-FFFF-FFFF0C000000}">
  <cacheSource type="worksheet">
    <worksheetSource ref="A1:H2000" sheet="data cleaning"/>
  </cacheSource>
  <cacheFields count="10">
    <cacheField name="Date" numFmtId="14">
      <sharedItems containsSemiMixedTypes="0" containsNonDate="0" containsDate="1" containsString="0" minDate="2023-01-01T01:55:00" maxDate="2025-01-09T15:44:00" count="1996">
        <d v="2023-12-31T15:41:00"/>
        <d v="2024-01-07T22:19:00"/>
        <d v="2024-01-10T02:09:00"/>
        <d v="2023-06-01T10:46:00"/>
        <d v="2024-05-23T22:07:00"/>
        <d v="2024-02-16T19:41:00"/>
        <d v="2023-11-30T03:36:00"/>
        <d v="2024-06-05T05:21:00"/>
        <d v="2024-06-07T21:40:00"/>
        <d v="2023-12-29T04:35:00"/>
        <d v="2024-12-13T15:25:00"/>
        <d v="2023-03-30T21:54:00"/>
        <d v="2023-06-02T14:06:00"/>
        <d v="2023-10-27T11:33:00"/>
        <d v="2024-12-07T13:54:00"/>
        <d v="2023-12-30T06:34:00"/>
        <d v="2023-07-23T01:20:00"/>
        <d v="2023-12-11T17:08:00"/>
        <d v="2024-11-13T10:46:00"/>
        <d v="2024-09-03T01:02:00"/>
        <d v="2024-08-07T20:13:00"/>
        <d v="2024-10-14T12:31:00"/>
        <d v="2024-07-14T04:06:00"/>
        <d v="2024-09-29T13:31:00"/>
        <d v="2024-12-25T12:03:00"/>
        <d v="2024-01-08T20:11:00"/>
        <d v="2024-02-27T17:13:00"/>
        <d v="2023-03-18T07:07:00"/>
        <d v="2023-09-11T20:02:00"/>
        <d v="2023-11-28T09:54:00"/>
        <d v="2024-01-12T04:51:00"/>
        <d v="2023-05-31T23:07:00"/>
        <d v="2024-11-17T22:46:00"/>
        <d v="2024-02-12T04:08:00"/>
        <d v="2023-11-15T12:58:00"/>
        <d v="2023-07-19T11:17:00"/>
        <d v="2024-04-07T19:52:00"/>
        <d v="2024-07-03T10:12:00"/>
        <d v="2023-03-04T03:26:00"/>
        <d v="2024-06-21T08:07:00"/>
        <d v="2023-06-28T03:29:00"/>
        <d v="2024-10-15T17:51:00"/>
        <d v="2024-07-30T10:19:00"/>
        <d v="2024-01-02T23:18:00"/>
        <d v="2023-09-26T12:48:00"/>
        <d v="2023-08-20T03:48:00"/>
        <d v="2023-03-07T11:43:00"/>
        <d v="2023-08-18T03:28:00"/>
        <d v="2023-10-03T19:55:00"/>
        <d v="2023-09-05T07:05:00"/>
        <d v="2023-02-06T15:19:00"/>
        <d v="2023-11-26T20:22:00"/>
        <d v="2024-05-18T22:03:00"/>
        <d v="2023-07-12T00:30:00"/>
        <d v="2024-08-18T23:16:00"/>
        <d v="2023-04-26T05:33:00"/>
        <d v="2024-06-26T18:03:00"/>
        <d v="2023-10-04T01:50:00"/>
        <d v="2024-08-23T13:36:00"/>
        <d v="2023-10-02T02:29:00"/>
        <d v="2023-12-26T07:30:00"/>
        <d v="2023-05-14T01:15:00"/>
        <d v="2024-04-12T18:03:00"/>
        <d v="2024-02-12T10:32:00"/>
        <d v="2023-06-23T00:46:00"/>
        <d v="2023-02-05T04:45:00"/>
        <d v="2023-09-06T04:09:00"/>
        <d v="2024-04-21T03:18:00"/>
        <d v="2023-01-01T01:55:00"/>
        <d v="2023-08-02T11:14:00"/>
        <d v="2023-08-14T23:56:00"/>
        <d v="2024-10-11T21:28:00"/>
        <d v="2023-02-02T09:57:00"/>
        <d v="2023-03-22T19:57:00"/>
        <d v="2024-12-05T09:35:00"/>
        <d v="2023-08-15T10:12:00"/>
        <d v="2023-06-18T06:50:00"/>
        <d v="2023-07-21T19:09:00"/>
        <d v="2023-12-10T05:55:00"/>
        <d v="2024-09-07T03:09:00"/>
        <d v="2024-10-29T12:50:00"/>
        <d v="2024-08-10T15:15:00"/>
        <d v="2024-12-06T13:59:00"/>
        <d v="2024-06-17T08:43:00"/>
        <d v="2024-05-07T06:57:00"/>
        <d v="2024-05-13T17:07:00"/>
        <d v="2024-09-06T15:24:00"/>
        <d v="2023-07-18T22:09:00"/>
        <d v="2023-04-28T06:27:00"/>
        <d v="2024-05-05T12:20:00"/>
        <d v="2024-09-22T21:51:00"/>
        <d v="2024-04-17T01:17:00"/>
        <d v="2024-01-23T17:08:00"/>
        <d v="2023-10-25T14:09:00"/>
        <d v="2023-07-19T23:26:00"/>
        <d v="2023-09-08T03:30:00"/>
        <d v="2023-12-19T21:47:00"/>
        <d v="2023-10-16T09:26:00"/>
        <d v="2023-08-29T00:30:00"/>
        <d v="2024-11-18T18:36:00"/>
        <d v="2023-04-03T15:17:00"/>
        <d v="2023-09-12T12:58:00"/>
        <d v="2024-10-03T07:48:00"/>
        <d v="2024-09-18T12:44:00"/>
        <d v="2023-09-16T12:21:00"/>
        <d v="2024-08-27T21:14:00"/>
        <d v="2024-03-19T16:35:00"/>
        <d v="2023-09-12T13:18:00"/>
        <d v="2023-09-16T21:57:00"/>
        <d v="2023-04-30T22:02:00"/>
        <d v="2024-03-02T19:47:00"/>
        <d v="2023-10-22T18:56:00"/>
        <d v="2023-09-23T05:40:00"/>
        <d v="2023-03-08T07:46:00"/>
        <d v="2023-05-19T03:33:00"/>
        <d v="2024-10-14T17:38:00"/>
        <d v="2023-07-30T15:37:00"/>
        <d v="2023-01-05T13:17:00"/>
        <d v="2023-04-23T13:56:00"/>
        <d v="2024-07-22T23:22:00"/>
        <d v="2023-04-21T11:13:00"/>
        <d v="2023-01-14T14:13:00"/>
        <d v="2023-10-29T15:44:00"/>
        <d v="2024-04-22T11:29:00"/>
        <d v="2024-01-31T20:37:00"/>
        <d v="2024-04-06T20:25:00"/>
        <d v="2024-11-02T06:13:00"/>
        <d v="2024-01-24T07:41:00"/>
        <d v="2023-11-13T18:39:00"/>
        <d v="2024-12-13T19:25:00"/>
        <d v="2023-02-19T21:32:00"/>
        <d v="2024-06-25T20:11:00"/>
        <d v="2024-05-28T05:56:00"/>
        <d v="2023-08-09T04:08:00"/>
        <d v="2024-02-09T10:56:00"/>
        <d v="2024-10-17T23:45:00"/>
        <d v="2023-04-20T17:56:00"/>
        <d v="2023-01-05T03:28:00"/>
        <d v="2024-10-28T08:44:00"/>
        <d v="2024-12-17T17:38:00"/>
        <d v="2024-11-23T23:27:00"/>
        <d v="2024-03-29T15:19:00"/>
        <d v="2023-01-03T16:47:00"/>
        <d v="2023-01-23T23:30:00"/>
        <d v="2023-02-04T16:49:00"/>
        <d v="2023-09-20T04:17:00"/>
        <d v="2023-05-12T18:35:00"/>
        <d v="2024-05-10T16:13:00"/>
        <d v="2023-06-19T14:14:00"/>
        <d v="2023-05-31T07:14:00"/>
        <d v="2023-04-01T16:36:00"/>
        <d v="2024-07-10T03:30:00"/>
        <d v="2025-01-08T10:56:00"/>
        <d v="2023-08-27T22:23:00"/>
        <d v="2023-06-30T10:51:00"/>
        <d v="2023-02-03T22:56:00"/>
        <d v="2023-05-03T11:57:00"/>
        <d v="2023-06-29T07:45:00"/>
        <d v="2024-01-26T09:25:00"/>
        <d v="2023-05-13T08:31:00"/>
        <d v="2024-10-04T14:42:00"/>
        <d v="2024-05-12T12:14:00"/>
        <d v="2024-11-02T01:58:00"/>
        <d v="2024-10-31T08:31:00"/>
        <d v="2024-05-19T12:23:00"/>
        <d v="2024-05-12T03:17:00"/>
        <d v="2023-01-22T09:42:00"/>
        <d v="2024-06-15T09:33:00"/>
        <d v="2024-05-09T05:57:00"/>
        <d v="2024-05-16T11:50:00"/>
        <d v="2023-12-04T15:42:00"/>
        <d v="2023-05-05T13:08:00"/>
        <d v="2024-12-02T03:14:00"/>
        <d v="2024-04-15T04:16:00"/>
        <d v="2024-11-27T14:18:00"/>
        <d v="2024-03-07T13:36:00"/>
        <d v="2023-09-19T21:35:00"/>
        <d v="2024-03-12T06:39:00"/>
        <d v="2023-06-29T20:31:00"/>
        <d v="2023-08-11T12:53:00"/>
        <d v="2023-10-16T04:27:00"/>
        <d v="2024-09-11T14:20:00"/>
        <d v="2023-09-08T12:14:00"/>
        <d v="2023-12-15T01:55:00"/>
        <d v="2023-08-23T05:16:00"/>
        <d v="2023-05-31T17:21:00"/>
        <d v="2024-03-15T16:57:00"/>
        <d v="2024-08-02T05:07:00"/>
        <d v="2023-05-25T11:23:00"/>
        <d v="2024-02-12T14:56:00"/>
        <d v="2024-10-26T14:37:00"/>
        <d v="2024-09-13T06:48:00"/>
        <d v="2023-01-25T18:58:00"/>
        <d v="2023-03-23T09:54:00"/>
        <d v="2023-08-09T03:58:00"/>
        <d v="2023-10-31T21:43:00"/>
        <d v="2024-11-04T07:22:00"/>
        <d v="2023-10-05T07:02:00"/>
        <d v="2023-06-30T12:28:00"/>
        <d v="2024-05-30T18:39:00"/>
        <d v="2024-12-05T18:35:00"/>
        <d v="2024-02-13T00:34:00"/>
        <d v="2023-03-27T12:40:00"/>
        <d v="2024-07-07T19:26:00"/>
        <d v="2024-11-02T02:20:00"/>
        <d v="2024-10-11T12:07:00"/>
        <d v="2023-08-22T04:33:00"/>
        <d v="2023-08-27T08:31:00"/>
        <d v="2023-08-27T23:36:00"/>
        <d v="2023-04-15T00:52:00"/>
        <d v="2024-07-18T15:38:00"/>
        <d v="2023-12-13T23:32:00"/>
        <d v="2023-02-03T00:09:00"/>
        <d v="2024-02-03T20:42:00"/>
        <d v="2024-09-09T17:47:00"/>
        <d v="2023-09-25T08:45:00"/>
        <d v="2023-05-02T18:09:00"/>
        <d v="2023-10-05T06:32:00"/>
        <d v="2024-05-01T03:34:00"/>
        <d v="2023-02-08T14:57:00"/>
        <d v="2023-03-18T14:41:00"/>
        <d v="2023-02-16T21:49:00"/>
        <d v="2023-06-04T12:28:00"/>
        <d v="2024-01-25T19:28:00"/>
        <d v="2024-07-04T23:07:00"/>
        <d v="2024-05-25T22:22:00"/>
        <d v="2024-12-28T11:02:00"/>
        <d v="2024-07-14T21:23:00"/>
        <d v="2024-03-06T18:20:00"/>
        <d v="2023-11-12T21:59:00"/>
        <d v="2024-10-17T23:40:00"/>
        <d v="2024-12-21T10:35:00"/>
        <d v="2023-03-09T00:25:00"/>
        <d v="2024-03-24T05:02:00"/>
        <d v="2024-04-13T18:04:00"/>
        <d v="2023-07-12T18:56:00"/>
        <d v="2023-07-29T14:17:00"/>
        <d v="2024-09-29T07:49:00"/>
        <d v="2023-02-19T21:27:00"/>
        <d v="2024-09-30T17:50:00"/>
        <d v="2024-09-12T05:42:00"/>
        <d v="2024-08-09T17:28:00"/>
        <d v="2024-03-27T14:47:00"/>
        <d v="2023-12-29T23:33:00"/>
        <d v="2024-12-06T07:09:00"/>
        <d v="2024-09-21T01:57:00"/>
        <d v="2023-11-23T07:07:00"/>
        <d v="2024-09-16T17:00:00"/>
        <d v="2024-08-09T08:57:00"/>
        <d v="2024-05-04T09:21:00"/>
        <d v="2023-07-19T17:13:00"/>
        <d v="2023-07-21T21:19:00"/>
        <d v="2024-10-27T12:38:00"/>
        <d v="2024-08-30T00:55:00"/>
        <d v="2024-06-14T16:21:00"/>
        <d v="2024-10-26T16:25:00"/>
        <d v="2023-04-11T11:55:00"/>
        <d v="2024-07-10T16:40:00"/>
        <d v="2023-09-25T02:31:00"/>
        <d v="2024-07-20T12:53:00"/>
        <d v="2024-10-19T08:30:00"/>
        <d v="2024-03-21T14:06:00"/>
        <d v="2024-02-10T16:41:00"/>
        <d v="2023-05-06T23:05:00"/>
        <d v="2024-12-25T09:39:00"/>
        <d v="2023-12-24T05:37:00"/>
        <d v="2024-12-24T22:45:00"/>
        <d v="2024-05-23T05:55:00"/>
        <d v="2024-02-18T17:31:00"/>
        <d v="2024-10-29T02:02:00"/>
        <d v="2023-04-24T19:36:00"/>
        <d v="2024-02-27T13:10:00"/>
        <d v="2023-02-21T23:19:00"/>
        <d v="2024-12-20T18:30:00"/>
        <d v="2024-07-08T20:10:00"/>
        <d v="2024-10-25T00:35:00"/>
        <d v="2024-03-19T06:00:00"/>
        <d v="2023-11-30T00:43:00"/>
        <d v="2024-05-13T19:43:00"/>
        <d v="2025-01-04T12:11:00"/>
        <d v="2024-08-26T22:32:00"/>
        <d v="2024-10-24T02:18:00"/>
        <d v="2023-12-16T01:20:00"/>
        <d v="2023-04-02T20:38:00"/>
        <d v="2023-08-12T14:56:00"/>
        <d v="2024-02-23T04:29:00"/>
        <d v="2024-01-05T00:37:00"/>
        <d v="2024-08-26T12:29:00"/>
        <d v="2023-04-24T03:23:00"/>
        <d v="2024-02-21T05:51:00"/>
        <d v="2023-05-24T22:59:00"/>
        <d v="2023-02-04T02:09:00"/>
        <d v="2024-11-21T13:28:00"/>
        <d v="2023-04-02T13:32:00"/>
        <d v="2023-09-14T16:30:00"/>
        <d v="2024-07-11T09:39:00"/>
        <d v="2023-09-05T03:39:00"/>
        <d v="2024-10-28T20:05:00"/>
        <d v="2023-01-18T06:15:00"/>
        <d v="2024-11-11T20:49:00"/>
        <d v="2023-01-24T01:42:00"/>
        <d v="2023-03-19T09:00:00"/>
        <d v="2023-04-02T20:41:00"/>
        <d v="2023-03-04T09:47:00"/>
        <d v="2023-11-08T13:38:00"/>
        <d v="2024-03-01T09:02:00"/>
        <d v="2023-04-24T02:45:00"/>
        <d v="2024-05-03T01:37:00"/>
        <d v="2024-06-19T19:59:00"/>
        <d v="2024-02-01T14:51:00"/>
        <d v="2024-03-26T08:13:00"/>
        <d v="2023-05-06T14:14:00"/>
        <d v="2023-04-17T11:34:00"/>
        <d v="2023-01-27T05:10:00"/>
        <d v="2023-07-26T16:58:00"/>
        <d v="2023-09-14T16:35:00"/>
        <d v="2024-11-01T08:53:00"/>
        <d v="2024-07-05T20:49:00"/>
        <d v="2023-11-01T15:06:00"/>
        <d v="2024-03-05T09:30:00"/>
        <d v="2024-04-26T10:44:00"/>
        <d v="2023-03-04T08:24:00"/>
        <d v="2023-01-08T00:20:00"/>
        <d v="2025-01-01T21:57:00"/>
        <d v="2023-03-19T16:23:00"/>
        <d v="2023-03-27T04:30:00"/>
        <d v="2023-07-14T01:17:00"/>
        <d v="2023-05-25T08:02:00"/>
        <d v="2024-02-01T02:03:00"/>
        <d v="2024-09-08T09:48:00"/>
        <d v="2024-05-09T18:31:00"/>
        <d v="2025-01-04T01:13:00"/>
        <d v="2023-08-09T18:00:00"/>
        <d v="2023-09-25T06:54:00"/>
        <d v="2023-01-02T23:24:00"/>
        <d v="2023-06-26T04:11:00"/>
        <d v="2023-02-03T06:16:00"/>
        <d v="2023-05-21T09:30:00"/>
        <d v="2024-09-28T00:36:00"/>
        <d v="2023-07-27T22:12:00"/>
        <d v="2023-02-13T01:34:00"/>
        <d v="2023-09-07T22:35:00"/>
        <d v="2023-02-23T08:48:00"/>
        <d v="2023-04-10T12:42:00"/>
        <d v="2024-06-27T22:50:00"/>
        <d v="2023-03-02T17:35:00"/>
        <d v="2024-06-13T19:35:00"/>
        <d v="2024-05-01T05:14:00"/>
        <d v="2024-06-22T07:20:00"/>
        <d v="2023-03-02T23:28:00"/>
        <d v="2023-01-18T17:55:00"/>
        <d v="2024-12-11T22:52:00"/>
        <d v="2023-07-22T07:53:00"/>
        <d v="2024-07-10T09:05:00"/>
        <d v="2023-09-04T16:28:00"/>
        <d v="2023-12-24T10:59:00"/>
        <d v="2024-02-21T14:27:00"/>
        <d v="2023-08-31T05:16:00"/>
        <d v="2024-06-24T11:18:00"/>
        <d v="2024-12-14T10:53:00"/>
        <d v="2024-08-05T22:59:00"/>
        <d v="2024-11-23T10:17:00"/>
        <d v="2024-07-20T12:59:00"/>
        <d v="2024-09-27T13:26:00"/>
        <d v="2024-01-11T03:30:00"/>
        <d v="2023-05-25T13:10:00"/>
        <d v="2024-12-07T21:19:00"/>
        <d v="2023-09-27T13:30:00"/>
        <d v="2024-08-19T00:06:00"/>
        <d v="2024-12-21T20:42:00"/>
        <d v="2024-06-22T15:26:00"/>
        <d v="2023-07-28T06:12:00"/>
        <d v="2024-10-13T02:07:00"/>
        <d v="2023-11-27T08:28:00"/>
        <d v="2023-09-25T22:57:00"/>
        <d v="2023-05-16T00:36:00"/>
        <d v="2024-05-07T21:54:00"/>
        <d v="2024-10-31T09:21:00"/>
        <d v="2023-02-14T21:33:00"/>
        <d v="2024-03-08T23:12:00"/>
        <d v="2024-10-09T20:00:00"/>
        <d v="2025-01-03T09:42:00"/>
        <d v="2023-08-24T22:13:00"/>
        <d v="2024-01-09T21:07:00"/>
        <d v="2024-11-27T12:48:00"/>
        <d v="2024-03-01T05:59:00"/>
        <d v="2023-02-10T12:06:00"/>
        <d v="2023-09-30T21:15:00"/>
        <d v="2023-10-20T10:14:00"/>
        <d v="2023-06-05T04:05:00"/>
        <d v="2023-05-25T21:45:00"/>
        <d v="2023-04-27T10:46:00"/>
        <d v="2024-10-09T10:44:00"/>
        <d v="2023-05-19T23:43:00"/>
        <d v="2024-07-26T18:00:00"/>
        <d v="2023-07-21T02:54:00"/>
        <d v="2023-04-16T20:35:00"/>
        <d v="2024-04-23T16:43:00"/>
        <d v="2023-09-18T21:53:00"/>
        <d v="2024-03-06T06:39:00"/>
        <d v="2023-07-12T09:24:00"/>
        <d v="2024-10-20T10:08:00"/>
        <d v="2024-06-18T18:26:00"/>
        <d v="2024-10-06T02:12:00"/>
        <d v="2023-03-25T05:32:00"/>
        <d v="2023-08-15T03:48:00"/>
        <d v="2023-01-21T17:56:00"/>
        <d v="2024-10-16T23:20:00"/>
        <d v="2023-07-31T11:12:00"/>
        <d v="2024-06-16T00:31:00"/>
        <d v="2023-01-13T12:35:00"/>
        <d v="2024-11-22T09:54:00"/>
        <d v="2024-10-30T19:08:00"/>
        <d v="2024-11-12T18:27:00"/>
        <d v="2024-08-11T14:58:00"/>
        <d v="2023-03-29T02:23:00"/>
        <d v="2023-12-20T20:33:00"/>
        <d v="2024-03-19T03:33:00"/>
        <d v="2023-08-01T18:19:00"/>
        <d v="2023-03-08T08:29:00"/>
        <d v="2023-07-21T09:14:00"/>
        <d v="2023-09-14T10:46:00"/>
        <d v="2024-12-15T14:12:00"/>
        <d v="2023-03-10T02:30:00"/>
        <d v="2023-10-30T18:01:00"/>
        <d v="2023-03-31T17:17:00"/>
        <d v="2023-08-27T05:07:00"/>
        <d v="2024-07-08T02:29:00"/>
        <d v="2023-06-18T06:55:00"/>
        <d v="2024-05-22T16:56:00"/>
        <d v="2023-11-01T02:03:00"/>
        <d v="2024-09-07T13:48:00"/>
        <d v="2023-12-23T09:57:00"/>
        <d v="2024-01-24T08:57:00"/>
        <d v="2023-08-17T13:57:00"/>
        <d v="2023-04-02T11:52:00"/>
        <d v="2024-04-27T03:45:00"/>
        <d v="2023-10-30T17:15:00"/>
        <d v="2023-07-08T14:47:00"/>
        <d v="2023-05-24T00:32:00"/>
        <d v="2023-03-03T15:49:00"/>
        <d v="2024-04-01T08:22:00"/>
        <d v="2023-02-02T03:14:00"/>
        <d v="2023-12-15T19:16:00"/>
        <d v="2023-09-13T17:09:00"/>
        <d v="2024-10-28T15:21:00"/>
        <d v="2025-01-06T18:44:00"/>
        <d v="2024-09-15T15:12:00"/>
        <d v="2025-01-02T03:00:00"/>
        <d v="2023-06-05T11:22:00"/>
        <d v="2023-07-07T03:37:00"/>
        <d v="2023-01-14T05:13:00"/>
        <d v="2023-09-05T01:32:00"/>
        <d v="2024-11-26T11:47:00"/>
        <d v="2023-06-22T16:21:00"/>
        <d v="2024-12-23T11:30:00"/>
        <d v="2023-07-28T19:23:00"/>
        <d v="2024-01-14T20:52:00"/>
        <d v="2023-02-03T00:59:00"/>
        <d v="2024-06-05T06:42:00"/>
        <d v="2024-10-31T13:45:00"/>
        <d v="2023-12-24T11:39:00"/>
        <d v="2023-02-18T00:26:00"/>
        <d v="2023-01-23T23:20:00"/>
        <d v="2024-07-17T02:08:00"/>
        <d v="2023-08-27T18:03:00"/>
        <d v="2024-07-02T10:29:00"/>
        <d v="2024-12-28T00:48:00"/>
        <d v="2024-04-23T23:58:00"/>
        <d v="2023-08-08T18:06:00"/>
        <d v="2024-12-02T18:51:00"/>
        <d v="2024-06-12T12:30:00"/>
        <d v="2023-04-21T22:37:00"/>
        <d v="2024-03-09T01:11:00"/>
        <d v="2023-10-05T05:05:00"/>
        <d v="2024-05-17T01:58:00"/>
        <d v="2024-01-21T23:37:00"/>
        <d v="2023-04-26T21:29:00"/>
        <d v="2024-09-19T12:01:00"/>
        <d v="2023-05-26T14:00:00"/>
        <d v="2024-12-02T23:19:00"/>
        <d v="2024-07-27T17:28:00"/>
        <d v="2023-07-18T21:45:00"/>
        <d v="2023-02-22T18:16:00"/>
        <d v="2023-04-01T08:03:00"/>
        <d v="2023-10-07T08:24:00"/>
        <d v="2023-11-14T18:13:00"/>
        <d v="2023-06-17T04:13:00"/>
        <d v="2024-11-11T08:33:00"/>
        <d v="2024-02-21T19:39:00"/>
        <d v="2023-11-05T18:05:00"/>
        <d v="2023-09-07T01:11:00"/>
        <d v="2024-07-19T22:23:00"/>
        <d v="2024-06-30T08:02:00"/>
        <d v="2024-10-17T00:38:00"/>
        <d v="2024-11-18T03:54:00"/>
        <d v="2024-01-31T21:54:00"/>
        <d v="2023-01-18T22:17:00"/>
        <d v="2023-06-12T01:13:00"/>
        <d v="2023-03-19T13:14:00"/>
        <d v="2023-03-25T01:25:00"/>
        <d v="2023-01-19T12:23:00"/>
        <d v="2023-06-12T22:44:00"/>
        <d v="2024-07-19T02:54:00"/>
        <d v="2023-06-06T23:48:00"/>
        <d v="2024-07-11T17:59:00"/>
        <d v="2024-05-16T16:34:00"/>
        <d v="2024-04-13T05:39:00"/>
        <d v="2023-04-18T16:36:00"/>
        <d v="2023-06-09T17:16:00"/>
        <d v="2023-06-05T12:13:00"/>
        <d v="2024-08-30T23:01:00"/>
        <d v="2024-09-17T15:04:00"/>
        <d v="2023-12-04T22:03:00"/>
        <d v="2023-01-14T02:35:00"/>
        <d v="2023-06-27T05:08:00"/>
        <d v="2024-11-27T14:16:00"/>
        <d v="2023-08-15T14:33:00"/>
        <d v="2024-06-26T12:54:00"/>
        <d v="2024-04-24T20:20:00"/>
        <d v="2023-12-29T12:47:00"/>
        <d v="2024-05-22T04:21:00"/>
        <d v="2023-10-05T18:04:00"/>
        <d v="2024-12-20T03:35:00"/>
        <d v="2023-11-01T14:14:00"/>
        <d v="2023-01-31T02:04:00"/>
        <d v="2023-07-25T18:05:00"/>
        <d v="2024-05-22T21:52:00"/>
        <d v="2023-03-14T14:54:00"/>
        <d v="2024-03-13T13:27:00"/>
        <d v="2025-01-06T05:56:00"/>
        <d v="2025-01-08T22:58:00"/>
        <d v="2024-08-05T02:20:00"/>
        <d v="2023-06-19T00:05:00"/>
        <d v="2024-08-27T14:24:00"/>
        <d v="2023-12-10T23:28:00"/>
        <d v="2024-07-05T02:06:00"/>
        <d v="2024-09-15T07:05:00"/>
        <d v="2023-12-23T08:15:00"/>
        <d v="2024-12-08T03:15:00"/>
        <d v="2024-01-24T03:11:00"/>
        <d v="2024-01-21T04:04:00"/>
        <d v="2024-12-11T11:47:00"/>
        <d v="2024-06-26T10:22:00"/>
        <d v="2024-06-20T03:43:00"/>
        <d v="2024-07-18T02:19:00"/>
        <d v="2024-04-12T13:16:00"/>
        <d v="2024-07-04T19:09:00"/>
        <d v="2023-05-05T09:53:00"/>
        <d v="2023-06-01T22:17:00"/>
        <d v="2024-08-06T13:52:00"/>
        <d v="2023-02-23T03:57:00"/>
        <d v="2023-08-01T03:42:00"/>
        <d v="2023-01-16T06:57:00"/>
        <d v="2023-05-21T21:51:00"/>
        <d v="2023-08-24T23:11:00"/>
        <d v="2024-05-02T04:03:00"/>
        <d v="2023-04-14T06:41:00"/>
        <d v="2023-11-08T14:41:00"/>
        <d v="2023-08-19T08:26:00"/>
        <d v="2024-11-16T17:55:00"/>
        <d v="2023-04-05T09:58:00"/>
        <d v="2023-03-03T19:01:00"/>
        <d v="2023-11-15T22:11:00"/>
        <d v="2023-01-22T14:02:00"/>
        <d v="2024-07-18T09:43:00"/>
        <d v="2024-07-18T22:35:00"/>
        <d v="2024-11-27T15:13:00"/>
        <d v="2023-07-10T10:53:00"/>
        <d v="2024-03-21T07:58:00"/>
        <d v="2024-12-21T12:47:00"/>
        <d v="2023-01-20T19:14:00"/>
        <d v="2024-08-13T12:21:00"/>
        <d v="2024-05-29T11:05:00"/>
        <d v="2023-01-21T16:34:00"/>
        <d v="2024-07-20T20:37:00"/>
        <d v="2023-12-21T23:43:00"/>
        <d v="2024-05-06T23:21:00"/>
        <d v="2023-06-23T16:54:00"/>
        <d v="2024-02-01T15:32:00"/>
        <d v="2024-04-02T03:18:00"/>
        <d v="2023-07-23T20:48:00"/>
        <d v="2023-12-01T10:38:00"/>
        <d v="2023-07-31T10:07:00"/>
        <d v="2023-05-10T18:59:00"/>
        <d v="2023-08-10T15:52:00"/>
        <d v="2024-10-23T02:26:00"/>
        <d v="2023-04-05T17:50:00"/>
        <d v="2024-12-25T22:18:00"/>
        <d v="2024-12-19T11:14:00"/>
        <d v="2024-03-22T11:45:00"/>
        <d v="2023-02-05T06:28:00"/>
        <d v="2023-10-24T14:44:00"/>
        <d v="2023-06-16T05:21:00"/>
        <d v="2024-11-05T08:21:00"/>
        <d v="2024-12-29T09:05:00"/>
        <d v="2023-08-23T04:48:00"/>
        <d v="2024-07-18T09:52:00"/>
        <d v="2024-02-07T00:59:00"/>
        <d v="2023-03-11T19:55:00"/>
        <d v="2024-04-13T06:52:00"/>
        <d v="2023-08-27T12:15:00"/>
        <d v="2023-10-15T16:53:00"/>
        <d v="2024-02-20T15:08:00"/>
        <d v="2023-06-23T22:19:00"/>
        <d v="2023-07-09T23:49:00"/>
        <d v="2023-11-21T01:18:00"/>
        <d v="2024-07-23T09:40:00"/>
        <d v="2024-06-21T07:26:00"/>
        <d v="2023-12-31T06:31:00"/>
        <d v="2023-04-02T07:30:00"/>
        <d v="2024-05-26T21:25:00"/>
        <d v="2024-01-17T09:31:00"/>
        <d v="2023-02-18T04:34:00"/>
        <d v="2023-04-24T04:45:00"/>
        <d v="2023-04-23T23:15:00"/>
        <d v="2024-05-06T08:11:00"/>
        <d v="2024-11-22T15:06:00"/>
        <d v="2023-08-28T09:18:00"/>
        <d v="2023-10-15T22:19:00"/>
        <d v="2024-09-15T21:07:00"/>
        <d v="2024-10-10T03:21:00"/>
        <d v="2024-11-21T21:13:00"/>
        <d v="2024-01-31T00:48:00"/>
        <d v="2024-09-23T21:51:00"/>
        <d v="2024-08-09T12:38:00"/>
        <d v="2023-05-13T07:37:00"/>
        <d v="2024-10-12T09:57:00"/>
        <d v="2023-12-19T20:39:00"/>
        <d v="2023-04-28T16:59:00"/>
        <d v="2024-02-22T21:31:00"/>
        <d v="2024-04-16T07:20:00"/>
        <d v="2023-04-15T10:13:00"/>
        <d v="2024-10-12T05:03:00"/>
        <d v="2023-10-28T05:01:00"/>
        <d v="2024-05-21T07:09:00"/>
        <d v="2023-09-11T17:48:00"/>
        <d v="2024-08-08T09:47:00"/>
        <d v="2023-03-29T03:31:00"/>
        <d v="2023-07-13T15:35:00"/>
        <d v="2024-11-28T14:59:00"/>
        <d v="2024-11-27T09:12:00"/>
        <d v="2024-04-13T03:43:00"/>
        <d v="2023-05-25T20:53:00"/>
        <d v="2024-06-06T09:04:00"/>
        <d v="2024-07-25T05:37:00"/>
        <d v="2024-04-25T17:24:00"/>
        <d v="2024-04-12T19:30:00"/>
        <d v="2023-10-09T13:01:00"/>
        <d v="2023-11-30T01:32:00"/>
        <d v="2023-06-09T22:01:00"/>
        <d v="2023-10-21T14:28:00"/>
        <d v="2024-01-25T11:21:00"/>
        <d v="2024-05-21T03:18:00"/>
        <d v="2023-09-08T16:15:00"/>
        <d v="2024-06-05T15:02:00"/>
        <d v="2024-12-05T13:21:00"/>
        <d v="2023-05-31T22:31:00"/>
        <d v="2023-03-07T03:24:00"/>
        <d v="2023-11-10T18:24:00"/>
        <d v="2023-12-26T08:49:00"/>
        <d v="2023-07-09T22:16:00"/>
        <d v="2024-03-13T04:40:00"/>
        <d v="2023-06-15T03:35:00"/>
        <d v="2024-11-04T08:53:00"/>
        <d v="2024-12-14T20:43:00"/>
        <d v="2024-11-28T05:40:00"/>
        <d v="2024-07-12T01:56:00"/>
        <d v="2024-08-23T00:26:00"/>
        <d v="2023-08-24T16:59:00"/>
        <d v="2023-11-18T12:55:00"/>
        <d v="2023-09-19T04:20:00"/>
        <d v="2024-07-29T15:55:00"/>
        <d v="2023-10-19T15:40:00"/>
        <d v="2024-11-02T05:09:00"/>
        <d v="2024-05-20T00:44:00"/>
        <d v="2024-04-06T03:02:00"/>
        <d v="2024-12-03T09:00:00"/>
        <d v="2024-10-27T08:34:00"/>
        <d v="2023-05-18T16:10:00"/>
        <d v="2023-12-21T16:36:00"/>
        <d v="2024-12-14T23:55:00"/>
        <d v="2024-05-13T10:13:00"/>
        <d v="2024-05-10T00:06:00"/>
        <d v="2024-01-11T08:43:00"/>
        <d v="2023-07-15T03:31:00"/>
        <d v="2023-01-15T05:15:00"/>
        <d v="2023-09-30T12:25:00"/>
        <d v="2025-01-04T15:08:00"/>
        <d v="2024-02-11T01:35:00"/>
        <d v="2024-05-12T23:17:00"/>
        <d v="2023-06-05T09:47:00"/>
        <d v="2024-04-19T23:59:00"/>
        <d v="2024-05-17T18:10:00"/>
        <d v="2023-01-17T21:37:00"/>
        <d v="2023-05-15T04:43:00"/>
        <d v="2024-12-21T07:31:00"/>
        <d v="2023-11-29T17:51:00"/>
        <d v="2023-07-19T02:29:00"/>
        <d v="2024-01-13T15:07:00"/>
        <d v="2024-08-02T05:51:00"/>
        <d v="2023-04-19T17:23:00"/>
        <d v="2024-01-13T05:38:00"/>
        <d v="2025-01-02T00:33:00"/>
        <d v="2024-03-07T04:37:00"/>
        <d v="2024-01-13T13:59:00"/>
        <d v="2023-03-01T17:00:00"/>
        <d v="2024-06-06T18:24:00"/>
        <d v="2023-06-10T16:25:00"/>
        <d v="2024-07-16T21:10:00"/>
        <d v="2023-01-05T07:39:00"/>
        <d v="2023-07-14T07:27:00"/>
        <d v="2023-10-08T02:15:00"/>
        <d v="2023-03-02T19:28:00"/>
        <d v="2024-11-08T21:25:00"/>
        <d v="2023-03-24T14:48:00"/>
        <d v="2024-08-01T09:20:00"/>
        <d v="2023-09-21T06:23:00"/>
        <d v="2024-11-05T21:05:00"/>
        <d v="2024-11-16T06:42:00"/>
        <d v="2023-11-08T03:16:00"/>
        <d v="2023-12-12T21:59:00"/>
        <d v="2024-09-09T21:18:00"/>
        <d v="2024-09-26T21:16:00"/>
        <d v="2023-07-18T22:36:00"/>
        <d v="2024-11-07T13:33:00"/>
        <d v="2024-03-09T11:09:00"/>
        <d v="2024-07-07T00:57:00"/>
        <d v="2023-11-19T20:36:00"/>
        <d v="2024-02-13T15:28:00"/>
        <d v="2023-06-25T01:37:00"/>
        <d v="2024-06-25T00:55:00"/>
        <d v="2024-10-21T09:44:00"/>
        <d v="2023-12-06T06:25:00"/>
        <d v="2023-03-19T14:48:00"/>
        <d v="2024-09-05T15:38:00"/>
        <d v="2023-02-24T22:23:00"/>
        <d v="2023-04-22T02:58:00"/>
        <d v="2023-12-01T22:47:00"/>
        <d v="2023-07-12T00:39:00"/>
        <d v="2024-05-13T13:47:00"/>
        <d v="2023-01-19T07:22:00"/>
        <d v="2024-03-10T23:53:00"/>
        <d v="2024-10-29T09:12:00"/>
        <d v="2024-12-18T03:46:00"/>
        <d v="2024-11-07T20:28:00"/>
        <d v="2024-03-17T00:02:00"/>
        <d v="2024-09-18T16:03:00"/>
        <d v="2023-10-16T09:38:00"/>
        <d v="2024-02-19T07:44:00"/>
        <d v="2023-05-12T17:14:00"/>
        <d v="2023-12-13T11:53:00"/>
        <d v="2023-11-18T08:33:00"/>
        <d v="2024-10-11T13:50:00"/>
        <d v="2024-05-02T22:56:00"/>
        <d v="2023-12-28T03:32:00"/>
        <d v="2024-10-21T08:08:00"/>
        <d v="2024-03-30T19:29:00"/>
        <d v="2023-12-27T20:03:00"/>
        <d v="2023-01-28T13:02:00"/>
        <d v="2023-03-08T09:59:00"/>
        <d v="2024-04-03T16:13:00"/>
        <d v="2024-10-30T14:07:00"/>
        <d v="2023-09-20T13:26:00"/>
        <d v="2023-10-14T09:43:00"/>
        <d v="2024-01-18T07:16:00"/>
        <d v="2024-12-08T20:29:00"/>
        <d v="2023-06-05T14:33:00"/>
        <d v="2024-04-29T03:55:00"/>
        <d v="2024-08-31T13:41:00"/>
        <d v="2024-09-08T16:21:00"/>
        <d v="2023-09-23T08:51:00"/>
        <d v="2023-09-13T09:53:00"/>
        <d v="2023-07-22T18:34:00"/>
        <d v="2023-11-27T07:03:00"/>
        <d v="2024-07-24T10:32:00"/>
        <d v="2024-01-27T00:31:00"/>
        <d v="2024-01-12T06:43:00"/>
        <d v="2024-04-07T13:48:00"/>
        <d v="2023-08-05T16:01:00"/>
        <d v="2023-08-09T23:11:00"/>
        <d v="2023-12-31T00:43:00"/>
        <d v="2024-10-17T15:50:00"/>
        <d v="2025-01-07T01:35:00"/>
        <d v="2024-05-04T13:06:00"/>
        <d v="2023-11-09T22:12:00"/>
        <d v="2024-05-14T05:40:00"/>
        <d v="2023-01-15T09:30:00"/>
        <d v="2023-04-24T20:54:00"/>
        <d v="2023-06-13T21:09:00"/>
        <d v="2023-05-18T11:27:00"/>
        <d v="2023-02-21T11:45:00"/>
        <d v="2024-09-26T20:05:00"/>
        <d v="2024-04-30T06:50:00"/>
        <d v="2023-10-10T08:05:00"/>
        <d v="2024-03-22T22:28:00"/>
        <d v="2023-03-30T13:08:00"/>
        <d v="2024-11-14T21:40:00"/>
        <d v="2023-02-03T00:58:00"/>
        <d v="2023-09-05T11:48:00"/>
        <d v="2024-04-17T15:44:00"/>
        <d v="2023-02-13T19:18:00"/>
        <d v="2023-07-05T11:13:00"/>
        <d v="2024-10-18T14:00:00"/>
        <d v="2023-10-02T12:45:00"/>
        <d v="2023-07-22T23:28:00"/>
        <d v="2023-05-22T12:23:00"/>
        <d v="2024-09-12T20:16:00"/>
        <d v="2023-01-21T23:29:00"/>
        <d v="2023-09-02T18:49:00"/>
        <d v="2023-08-19T12:22:00"/>
        <d v="2024-10-21T05:59:00"/>
        <d v="2023-07-27T03:56:00"/>
        <d v="2023-08-28T20:53:00"/>
        <d v="2024-02-22T21:15:00"/>
        <d v="2023-04-20T09:11:00"/>
        <d v="2024-10-07T21:38:00"/>
        <d v="2025-01-04T11:13:00"/>
        <d v="2024-03-30T21:24:00"/>
        <d v="2023-02-17T02:45:00"/>
        <d v="2023-10-03T17:57:00"/>
        <d v="2023-01-09T19:44:00"/>
        <d v="2023-10-09T22:04:00"/>
        <d v="2024-08-08T03:10:00"/>
        <d v="2023-03-03T03:51:00"/>
        <d v="2023-08-11T05:02:00"/>
        <d v="2024-03-06T04:26:00"/>
        <d v="2023-09-12T01:32:00"/>
        <d v="2024-04-16T22:02:00"/>
        <d v="2023-02-01T19:04:00"/>
        <d v="2023-02-13T09:26:00"/>
        <d v="2023-10-30T08:51:00"/>
        <d v="2023-09-08T19:44:00"/>
        <d v="2024-03-29T09:05:00"/>
        <d v="2023-12-30T06:23:00"/>
        <d v="2023-11-06T10:40:00"/>
        <d v="2023-06-28T15:29:00"/>
        <d v="2023-03-20T17:25:00"/>
        <d v="2025-01-04T17:38:00"/>
        <d v="2023-09-13T10:54:00"/>
        <d v="2024-12-06T12:40:00"/>
        <d v="2024-12-28T11:27:00"/>
        <d v="2023-04-25T22:18:00"/>
        <d v="2023-11-12T23:58:00"/>
        <d v="2023-06-25T15:41:00"/>
        <d v="2024-08-16T08:11:00"/>
        <d v="2024-03-13T12:50:00"/>
        <d v="2024-10-30T22:43:00"/>
        <d v="2023-05-11T04:37:00"/>
        <d v="2024-09-27T18:53:00"/>
        <d v="2025-01-06T20:24:00"/>
        <d v="2023-02-23T20:15:00"/>
        <d v="2024-01-13T10:08:00"/>
        <d v="2024-08-14T22:38:00"/>
        <d v="2023-08-09T13:08:00"/>
        <d v="2023-09-02T19:55:00"/>
        <d v="2024-11-28T11:29:00"/>
        <d v="2023-01-24T17:40:00"/>
        <d v="2023-07-07T18:58:00"/>
        <d v="2024-02-26T08:52:00"/>
        <d v="2023-04-29T01:35:00"/>
        <d v="2023-03-21T23:56:00"/>
        <d v="2024-01-10T18:55:00"/>
        <d v="2023-12-09T07:33:00"/>
        <d v="2024-12-18T12:28:00"/>
        <d v="2024-06-29T13:32:00"/>
        <d v="2023-06-08T14:43:00"/>
        <d v="2023-12-24T21:39:00"/>
        <d v="2024-08-18T16:02:00"/>
        <d v="2024-06-14T12:56:00"/>
        <d v="2024-03-01T07:22:00"/>
        <d v="2024-09-21T02:44:00"/>
        <d v="2023-08-22T00:44:00"/>
        <d v="2024-06-18T14:38:00"/>
        <d v="2024-11-05T02:14:00"/>
        <d v="2023-08-07T01:33:00"/>
        <d v="2023-06-11T14:08:00"/>
        <d v="2024-02-26T19:32:00"/>
        <d v="2023-01-18T05:06:00"/>
        <d v="2023-05-28T02:13:00"/>
        <d v="2024-07-03T01:55:00"/>
        <d v="2023-04-18T14:03:00"/>
        <d v="2023-04-28T05:14:00"/>
        <d v="2023-02-23T02:39:00"/>
        <d v="2024-02-08T07:02:00"/>
        <d v="2023-02-19T16:09:00"/>
        <d v="2023-05-11T21:53:00"/>
        <d v="2023-03-16T08:01:00"/>
        <d v="2023-02-21T11:50:00"/>
        <d v="2024-12-18T16:11:00"/>
        <d v="2023-06-08T21:43:00"/>
        <d v="2024-10-30T06:51:00"/>
        <d v="2024-12-28T02:19:00"/>
        <d v="2025-01-07T01:20:00"/>
        <d v="2024-03-27T21:49:00"/>
        <d v="2024-11-16T01:21:00"/>
        <d v="2023-07-06T17:11:00"/>
        <d v="2023-12-15T06:32:00"/>
        <d v="2023-08-16T20:28:00"/>
        <d v="2024-11-15T16:18:00"/>
        <d v="2023-03-31T08:14:00"/>
        <d v="2024-02-02T21:52:00"/>
        <d v="2024-11-07T11:22:00"/>
        <d v="2024-11-24T06:38:00"/>
        <d v="2023-11-06T12:54:00"/>
        <d v="2023-10-07T20:38:00"/>
        <d v="2023-07-26T23:43:00"/>
        <d v="2024-12-28T23:17:00"/>
        <d v="2024-08-21T19:39:00"/>
        <d v="2024-08-13T14:14:00"/>
        <d v="2023-05-27T18:11:00"/>
        <d v="2023-04-02T06:30:00"/>
        <d v="2023-03-06T05:09:00"/>
        <d v="2024-10-04T01:04:00"/>
        <d v="2023-03-08T05:47:00"/>
        <d v="2023-01-16T11:26:00"/>
        <d v="2023-12-14T16:13:00"/>
        <d v="2023-04-15T16:23:00"/>
        <d v="2024-01-23T03:45:00"/>
        <d v="2023-09-24T07:38:00"/>
        <d v="2024-07-04T02:13:00"/>
        <d v="2023-06-03T18:01:00"/>
        <d v="2023-07-13T10:35:00"/>
        <d v="2023-09-08T20:54:00"/>
        <d v="2023-01-06T01:20:00"/>
        <d v="2024-10-07T04:26:00"/>
        <d v="2024-10-13T03:33:00"/>
        <d v="2023-06-18T16:59:00"/>
        <d v="2024-01-09T10:15:00"/>
        <d v="2023-10-02T17:41:00"/>
        <d v="2024-10-20T22:02:00"/>
        <d v="2023-05-05T10:24:00"/>
        <d v="2023-12-07T17:15:00"/>
        <d v="2023-11-16T14:10:00"/>
        <d v="2024-03-15T17:04:00"/>
        <d v="2025-01-04T13:49:00"/>
        <d v="2024-04-28T02:11:00"/>
        <d v="2023-12-07T06:50:00"/>
        <d v="2023-04-07T15:55:00"/>
        <d v="2024-10-07T00:15:00"/>
        <d v="2024-08-30T05:09:00"/>
        <d v="2024-10-04T09:09:00"/>
        <d v="2023-03-23T20:14:00"/>
        <d v="2023-10-21T06:24:00"/>
        <d v="2023-10-14T14:07:00"/>
        <d v="2024-12-07T03:29:00"/>
        <d v="2023-08-08T08:10:00"/>
        <d v="2024-02-01T12:03:00"/>
        <d v="2023-11-03T14:46:00"/>
        <d v="2024-10-12T00:02:00"/>
        <d v="2024-12-11T04:57:00"/>
        <d v="2024-03-31T09:37:00"/>
        <d v="2023-04-28T05:24:00"/>
        <d v="2024-12-08T14:21:00"/>
        <d v="2023-06-12T02:53:00"/>
        <d v="2023-05-03T14:49:00"/>
        <d v="2024-11-13T12:54:00"/>
        <d v="2023-10-16T12:15:00"/>
        <d v="2023-06-29T18:15:00"/>
        <d v="2024-03-28T15:43:00"/>
        <d v="2024-01-03T21:10:00"/>
        <d v="2023-12-12T03:30:00"/>
        <d v="2023-12-01T20:53:00"/>
        <d v="2024-08-10T06:57:00"/>
        <d v="2023-08-11T23:12:00"/>
        <d v="2024-02-28T16:58:00"/>
        <d v="2023-07-09T12:18:00"/>
        <d v="2023-10-27T03:53:00"/>
        <d v="2023-04-05T02:25:00"/>
        <d v="2024-05-31T05:39:00"/>
        <d v="2024-07-13T13:27:00"/>
        <d v="2024-07-13T07:33:00"/>
        <d v="2023-12-15T08:07:00"/>
        <d v="2023-03-25T14:25:00"/>
        <d v="2023-05-16T08:20:00"/>
        <d v="2023-09-26T05:06:00"/>
        <d v="2024-08-25T20:09:00"/>
        <d v="2024-09-17T22:03:00"/>
        <d v="2024-04-30T08:48:00"/>
        <d v="2023-08-12T20:56:00"/>
        <d v="2024-10-31T20:32:00"/>
        <d v="2024-01-22T01:10:00"/>
        <d v="2023-11-18T11:00:00"/>
        <d v="2024-11-05T03:50:00"/>
        <d v="2023-05-28T21:15:00"/>
        <d v="2023-10-03T08:49:00"/>
        <d v="2023-03-11T22:32:00"/>
        <d v="2023-02-15T01:04:00"/>
        <d v="2024-03-17T16:21:00"/>
        <d v="2024-01-04T20:25:00"/>
        <d v="2024-02-02T04:15:00"/>
        <d v="2023-07-08T05:28:00"/>
        <d v="2023-05-13T21:43:00"/>
        <d v="2023-07-28T06:14:00"/>
        <d v="2024-01-21T00:03:00"/>
        <d v="2024-05-16T14:13:00"/>
        <d v="2024-08-09T09:21:00"/>
        <d v="2024-05-19T19:21:00"/>
        <d v="2023-02-20T22:42:00"/>
        <d v="2024-05-11T11:56:00"/>
        <d v="2023-06-07T19:58:00"/>
        <d v="2025-01-02T01:58:00"/>
        <d v="2024-01-04T09:24:00"/>
        <d v="2023-04-25T07:25:00"/>
        <d v="2024-11-16T00:16:00"/>
        <d v="2024-08-30T01:57:00"/>
        <d v="2023-11-04T05:50:00"/>
        <d v="2024-11-23T23:25:00"/>
        <d v="2023-11-11T20:32:00"/>
        <d v="2023-09-08T18:55:00"/>
        <d v="2023-09-14T17:00:00"/>
        <d v="2023-10-31T11:44:00"/>
        <d v="2024-11-19T08:15:00"/>
        <d v="2023-04-02T21:29:00"/>
        <d v="2024-09-05T20:25:00"/>
        <d v="2023-04-03T12:56:00"/>
        <d v="2024-12-03T04:00:00"/>
        <d v="2023-06-25T06:37:00"/>
        <d v="2024-04-11T21:28:00"/>
        <d v="2023-05-28T20:49:00"/>
        <d v="2024-08-23T20:25:00"/>
        <d v="2024-04-18T16:47:00"/>
        <d v="2024-06-25T05:52:00"/>
        <d v="2024-01-10T14:21:00"/>
        <d v="2023-09-25T22:07:00"/>
        <d v="2023-04-14T22:41:00"/>
        <d v="2023-09-18T01:52:00"/>
        <d v="2023-05-21T13:30:00"/>
        <d v="2023-06-04T05:02:00"/>
        <d v="2024-03-17T00:13:00"/>
        <d v="2024-11-22T21:36:00"/>
        <d v="2024-02-02T23:42:00"/>
        <d v="2024-06-28T19:34:00"/>
        <d v="2024-10-18T05:54:00"/>
        <d v="2024-10-13T23:40:00"/>
        <d v="2024-10-19T17:00:00"/>
        <d v="2023-11-04T11:23:00"/>
        <d v="2024-07-25T20:25:00"/>
        <d v="2023-09-16T05:57:00"/>
        <d v="2024-11-09T06:30:00"/>
        <d v="2024-10-27T16:05:00"/>
        <d v="2023-09-15T11:36:00"/>
        <d v="2023-10-31T15:41:00"/>
        <d v="2023-11-05T00:59:00"/>
        <d v="2023-09-25T17:33:00"/>
        <d v="2023-12-31T09:13:00"/>
        <d v="2024-08-21T05:12:00"/>
        <d v="2023-04-13T11:28:00"/>
        <d v="2024-02-16T19:28:00"/>
        <d v="2024-07-26T21:18:00"/>
        <d v="2024-06-11T19:15:00"/>
        <d v="2023-11-14T04:14:00"/>
        <d v="2024-05-30T17:43:00"/>
        <d v="2024-04-05T07:56:00"/>
        <d v="2023-06-13T22:00:00"/>
        <d v="2023-04-21T01:00:00"/>
        <d v="2023-08-18T12:42:00"/>
        <d v="2023-12-15T04:38:00"/>
        <d v="2023-11-16T04:37:00"/>
        <d v="2023-05-25T06:37:00"/>
        <d v="2023-09-29T09:14:00"/>
        <d v="2023-01-02T04:18:00"/>
        <d v="2024-03-03T18:06:00"/>
        <d v="2024-10-16T04:57:00"/>
        <d v="2023-03-05T09:09:00"/>
        <d v="2024-10-14T15:08:00"/>
        <d v="2024-03-14T01:28:00"/>
        <d v="2024-07-29T09:02:00"/>
        <d v="2023-12-06T19:21:00"/>
        <d v="2024-08-23T15:39:00"/>
        <d v="2024-03-23T15:29:00"/>
        <d v="2024-05-04T14:44:00"/>
        <d v="2023-03-27T17:01:00"/>
        <d v="2024-03-10T01:33:00"/>
        <d v="2023-11-11T17:10:00"/>
        <d v="2024-09-26T00:31:00"/>
        <d v="2023-11-02T00:45:00"/>
        <d v="2023-08-26T16:37:00"/>
        <d v="2024-05-03T13:30:00"/>
        <d v="2024-12-13T06:28:00"/>
        <d v="2023-11-26T03:55:00"/>
        <d v="2023-01-31T14:27:00"/>
        <d v="2023-12-12T03:07:00"/>
        <d v="2023-02-16T14:00:00"/>
        <d v="2024-08-04T16:58:00"/>
        <d v="2024-11-14T12:29:00"/>
        <d v="2024-05-12T18:44:00"/>
        <d v="2024-04-05T00:22:00"/>
        <d v="2024-09-12T09:16:00"/>
        <d v="2023-09-10T07:37:00"/>
        <d v="2024-10-27T10:58:00"/>
        <d v="2024-10-02T03:40:00"/>
        <d v="2023-12-13T02:17:00"/>
        <d v="2023-02-01T22:44:00"/>
        <d v="2023-02-24T13:13:00"/>
        <d v="2023-10-23T06:43:00"/>
        <d v="2023-04-28T00:10:00"/>
        <d v="2023-08-18T17:15:00"/>
        <d v="2023-01-28T03:18:00"/>
        <d v="2024-05-15T21:26:00"/>
        <d v="2023-06-26T05:18:00"/>
        <d v="2023-03-05T02:45:00"/>
        <d v="2024-12-28T11:29:00"/>
        <d v="2023-02-20T13:55:00"/>
        <d v="2024-03-30T17:10:00"/>
        <d v="2024-12-03T05:32:00"/>
        <d v="2024-08-09T05:27:00"/>
        <d v="2023-05-27T23:15:00"/>
        <d v="2023-08-20T06:21:00"/>
        <d v="2024-11-23T12:53:00"/>
        <d v="2023-10-07T00:08:00"/>
        <d v="2023-07-23T06:52:00"/>
        <d v="2024-07-17T04:02:00"/>
        <d v="2024-04-11T18:51:00"/>
        <d v="2023-03-04T17:26:00"/>
        <d v="2024-03-12T09:06:00"/>
        <d v="2024-06-16T07:27:00"/>
        <d v="2023-08-18T20:10:00"/>
        <d v="2024-07-13T03:08:00"/>
        <d v="2024-11-22T16:22:00"/>
        <d v="2024-06-03T18:47:00"/>
        <d v="2023-09-21T07:16:00"/>
        <d v="2024-10-15T00:16:00"/>
        <d v="2023-03-10T09:31:00"/>
        <d v="2024-06-18T23:07:00"/>
        <d v="2023-01-14T15:33:00"/>
        <d v="2023-11-27T06:32:00"/>
        <d v="2023-02-19T21:42:00"/>
        <d v="2023-02-02T08:04:00"/>
        <d v="2024-03-19T06:22:00"/>
        <d v="2023-11-29T23:22:00"/>
        <d v="2023-02-08T11:44:00"/>
        <d v="2024-12-02T00:55:00"/>
        <d v="2023-09-25T08:01:00"/>
        <d v="2023-10-19T06:48:00"/>
        <d v="2023-12-04T06:48:00"/>
        <d v="2024-06-26T07:00:00"/>
        <d v="2024-03-18T10:14:00"/>
        <d v="2024-09-17T20:40:00"/>
        <d v="2025-01-02T02:33:00"/>
        <d v="2024-10-26T21:22:00"/>
        <d v="2023-05-28T21:00:00"/>
        <d v="2023-05-16T05:01:00"/>
        <d v="2023-01-30T23:59:00"/>
        <d v="2023-09-12T08:40:00"/>
        <d v="2024-12-03T13:35:00"/>
        <d v="2023-01-03T02:38:00"/>
        <d v="2023-03-27T10:47:00"/>
        <d v="2023-09-08T18:33:00"/>
        <d v="2024-11-11T17:22:00"/>
        <d v="2023-12-18T03:44:00"/>
        <d v="2023-08-22T04:28:00"/>
        <d v="2023-07-03T00:05:00"/>
        <d v="2024-01-13T17:55:00"/>
        <d v="2023-09-03T08:49:00"/>
        <d v="2023-05-01T05:09:00"/>
        <d v="2023-10-28T22:57:00"/>
        <d v="2023-02-23T12:27:00"/>
        <d v="2024-03-26T05:43:00"/>
        <d v="2024-02-22T04:00:00"/>
        <d v="2024-06-12T22:40:00"/>
        <d v="2024-12-13T12:03:00"/>
        <d v="2024-05-12T22:46:00"/>
        <d v="2024-05-06T05:17:00"/>
        <d v="2023-02-22T11:28:00"/>
        <d v="2024-11-21T08:32:00"/>
        <d v="2024-07-05T17:23:00"/>
        <d v="2023-10-13T12:52:00"/>
        <d v="2024-03-28T10:29:00"/>
        <d v="2024-10-17T07:41:00"/>
        <d v="2023-08-10T13:00:00"/>
        <d v="2024-06-13T09:06:00"/>
        <d v="2023-05-18T06:12:00"/>
        <d v="2024-03-14T08:40:00"/>
        <d v="2023-03-04T07:33:00"/>
        <d v="2023-11-21T12:51:00"/>
        <d v="2023-08-23T03:21:00"/>
        <d v="2023-10-17T19:58:00"/>
        <d v="2023-01-24T17:26:00"/>
        <d v="2023-06-10T10:23:00"/>
        <d v="2023-01-02T03:02:00"/>
        <d v="2024-05-19T00:16:00"/>
        <d v="2024-01-30T05:53:00"/>
        <d v="2024-10-26T12:58:00"/>
        <d v="2023-09-23T08:48:00"/>
        <d v="2024-06-24T07:54:00"/>
        <d v="2024-07-24T18:00:00"/>
        <d v="2024-03-11T22:13:00"/>
        <d v="2023-03-11T20:39:00"/>
        <d v="2023-10-04T09:05:00"/>
        <d v="2024-08-23T22:17:00"/>
        <d v="2024-10-22T05:31:00"/>
        <d v="2024-02-27T12:31:00"/>
        <d v="2023-03-29T12:37:00"/>
        <d v="2024-01-29T18:50:00"/>
        <d v="2023-02-19T10:28:00"/>
        <d v="2024-12-26T14:57:00"/>
        <d v="2023-09-11T07:38:00"/>
        <d v="2023-05-27T10:57:00"/>
        <d v="2024-10-23T06:28:00"/>
        <d v="2023-04-17T17:04:00"/>
        <d v="2024-10-15T16:52:00"/>
        <d v="2024-02-14T04:44:00"/>
        <d v="2023-10-27T21:30:00"/>
        <d v="2023-04-05T19:31:00"/>
        <d v="2023-12-06T12:17:00"/>
        <d v="2023-04-16T11:44:00"/>
        <d v="2024-01-22T02:12:00"/>
        <d v="2023-03-19T14:49:00"/>
        <d v="2024-01-23T23:45:00"/>
        <d v="2024-10-23T02:24:00"/>
        <d v="2023-01-19T06:53:00"/>
        <d v="2023-12-07T16:13:00"/>
        <d v="2023-01-27T01:54:00"/>
        <d v="2024-08-01T13:00:00"/>
        <d v="2023-09-27T12:49:00"/>
        <d v="2023-04-08T23:21:00"/>
        <d v="2023-07-02T02:33:00"/>
        <d v="2023-08-22T04:55:00"/>
        <d v="2024-05-01T02:10:00"/>
        <d v="2024-09-08T19:27:00"/>
        <d v="2024-05-14T20:21:00"/>
        <d v="2023-03-07T05:42:00"/>
        <d v="2024-08-10T06:03:00"/>
        <d v="2024-08-20T06:55:00"/>
        <d v="2023-12-17T13:01:00"/>
        <d v="2024-11-07T16:15:00"/>
        <d v="2023-07-27T09:10:00"/>
        <d v="2024-10-30T13:26:00"/>
        <d v="2023-01-06T21:15:00"/>
        <d v="2024-06-30T03:40:00"/>
        <d v="2024-06-05T16:37:00"/>
        <d v="2023-06-15T13:15:00"/>
        <d v="2024-09-14T17:19:00"/>
        <d v="2023-12-07T23:03:00"/>
        <d v="2024-05-29T07:48:00"/>
        <d v="2023-08-08T03:41:00"/>
        <d v="2024-12-10T06:08:00"/>
        <d v="2023-08-26T15:34:00"/>
        <d v="2023-01-11T12:51:00"/>
        <d v="2023-09-14T19:52:00"/>
        <d v="2024-10-23T20:55:00"/>
        <d v="2024-08-31T07:24:00"/>
        <d v="2024-12-12T12:35:00"/>
        <d v="2023-01-22T08:25:00"/>
        <d v="2024-04-02T19:56:00"/>
        <d v="2023-06-11T13:05:00"/>
        <d v="2024-08-23T04:32:00"/>
        <d v="2024-04-12T20:29:00"/>
        <d v="2023-08-29T16:19:00"/>
        <d v="2024-06-08T20:36:00"/>
        <d v="2023-10-08T22:03:00"/>
        <d v="2024-10-18T13:56:00"/>
        <d v="2024-08-23T08:53:00"/>
        <d v="2024-07-03T00:07:00"/>
        <d v="2024-05-13T15:34:00"/>
        <d v="2023-09-11T23:20:00"/>
        <d v="2023-10-31T11:53:00"/>
        <d v="2023-12-18T03:42:00"/>
        <d v="2023-01-27T03:44:00"/>
        <d v="2024-02-28T18:41:00"/>
        <d v="2024-03-08T19:57:00"/>
        <d v="2024-03-13T10:45:00"/>
        <d v="2023-09-12T11:01:00"/>
        <d v="2024-05-31T17:37:00"/>
        <d v="2023-08-09T09:41:00"/>
        <d v="2023-04-09T02:04:00"/>
        <d v="2023-10-09T03:40:00"/>
        <d v="2023-09-23T03:55:00"/>
        <d v="2023-08-18T12:01:00"/>
        <d v="2023-01-12T16:22:00"/>
        <d v="2024-12-12T19:13:00"/>
        <d v="2025-01-05T07:14:00"/>
        <d v="2023-03-19T17:44:00"/>
        <d v="2024-03-11T20:34:00"/>
        <d v="2023-12-04T10:58:00"/>
        <d v="2023-10-10T01:26:00"/>
        <d v="2024-10-05T22:04:00"/>
        <d v="2024-03-14T11:16:00"/>
        <d v="2023-03-16T18:03:00"/>
        <d v="2023-07-05T08:00:00"/>
        <d v="2024-03-01T08:45:00"/>
        <d v="2023-11-21T08:20:00"/>
        <d v="2023-05-29T03:52:00"/>
        <d v="2024-03-09T05:44:00"/>
        <d v="2024-07-20T10:24:00"/>
        <d v="2023-05-08T02:43:00"/>
        <d v="2023-08-28T12:41:00"/>
        <d v="2023-08-03T07:00:00"/>
        <d v="2024-09-30T21:58:00"/>
        <d v="2023-08-03T23:13:00"/>
        <d v="2024-08-22T15:58:00"/>
        <d v="2024-06-25T18:58:00"/>
        <d v="2023-07-30T06:19:00"/>
        <d v="2024-10-16T19:00:00"/>
        <d v="2023-04-30T17:58:00"/>
        <d v="2024-09-05T10:44:00"/>
        <d v="2023-06-22T14:16:00"/>
        <d v="2024-04-15T10:47:00"/>
        <d v="2023-12-10T20:52:00"/>
        <d v="2023-02-18T13:23:00"/>
        <d v="2023-09-11T12:38:00"/>
        <d v="2024-12-31T02:40:00"/>
        <d v="2023-12-31T10:18:00"/>
        <d v="2023-12-14T18:46:00"/>
        <d v="2024-06-11T20:30:00"/>
        <d v="2023-04-17T12:46:00"/>
        <d v="2023-02-13T16:34:00"/>
        <d v="2023-06-17T20:07:00"/>
        <d v="2024-03-11T15:55:00"/>
        <d v="2023-08-24T15:14:00"/>
        <d v="2023-05-29T18:53:00"/>
        <d v="2023-01-09T13:08:00"/>
        <d v="2024-02-08T17:02:00"/>
        <d v="2024-11-14T04:17:00"/>
        <d v="2024-04-29T06:18:00"/>
        <d v="2023-04-21T00:25:00"/>
        <d v="2023-03-25T02:09:00"/>
        <d v="2023-04-13T19:20:00"/>
        <d v="2023-10-20T05:25:00"/>
        <d v="2024-08-27T03:41:00"/>
        <d v="2024-09-25T19:13:00"/>
        <d v="2024-03-12T00:10:00"/>
        <d v="2024-03-29T19:08:00"/>
        <d v="2023-11-22T16:03:00"/>
        <d v="2024-05-09T00:42:00"/>
        <d v="2023-09-23T23:24:00"/>
        <d v="2023-08-08T11:09:00"/>
        <d v="2024-10-05T18:24:00"/>
        <d v="2024-02-24T03:49:00"/>
        <d v="2024-08-22T16:25:00"/>
        <d v="2023-10-07T10:54:00"/>
        <d v="2023-02-10T02:46:00"/>
        <d v="2024-03-27T02:10:00"/>
        <d v="2024-07-31T09:36:00"/>
        <d v="2023-07-25T13:00:00"/>
        <d v="2023-01-01T11:11:00"/>
        <d v="2024-04-08T09:10:00"/>
        <d v="2023-01-04T19:24:00"/>
        <d v="2023-08-02T22:58:00"/>
        <d v="2024-06-30T12:53:00"/>
        <d v="2024-11-16T01:07:00"/>
        <d v="2024-06-02T22:20:00"/>
        <d v="2023-09-19T22:32:00"/>
        <d v="2024-09-22T11:46:00"/>
        <d v="2025-01-08T10:07:00"/>
        <d v="2023-06-16T11:42:00"/>
        <d v="2024-07-21T06:07:00"/>
        <d v="2023-09-21T21:51:00"/>
        <d v="2023-02-18T10:29:00"/>
        <d v="2024-04-15T19:37:00"/>
        <d v="2023-06-21T01:58:00"/>
        <d v="2024-11-27T12:51:00"/>
        <d v="2023-07-24T09:01:00"/>
        <d v="2023-09-01T10:01:00"/>
        <d v="2023-01-25T08:20:00"/>
        <d v="2024-08-24T11:08:00"/>
        <d v="2023-02-06T11:18:00"/>
        <d v="2023-04-13T00:58:00"/>
        <d v="2023-06-11T05:04:00"/>
        <d v="2024-05-13T08:23:00"/>
        <d v="2023-10-29T14:38:00"/>
        <d v="2024-11-27T21:24:00"/>
        <d v="2023-03-19T15:51:00"/>
        <d v="2024-12-29T18:52:00"/>
        <d v="2023-04-29T14:17:00"/>
        <d v="2024-05-05T06:29:00"/>
        <d v="2024-01-11T23:17:00"/>
        <d v="2023-09-23T14:27:00"/>
        <d v="2023-10-25T02:01:00"/>
        <d v="2023-05-14T18:39:00"/>
        <d v="2023-11-04T00:57:00"/>
        <d v="2023-08-14T18:37:00"/>
        <d v="2023-03-01T18:07:00"/>
        <d v="2024-06-17T12:35:00"/>
        <d v="2024-02-23T17:03:00"/>
        <d v="2024-11-13T19:34:00"/>
        <d v="2024-12-30T22:49:00"/>
        <d v="2024-05-25T07:51:00"/>
        <d v="2023-04-19T18:21:00"/>
        <d v="2023-08-17T18:43:00"/>
        <d v="2023-01-16T15:41:00"/>
        <d v="2024-03-14T22:04:00"/>
        <d v="2024-04-21T01:33:00"/>
        <d v="2024-01-16T22:05:00"/>
        <d v="2024-07-19T23:23:00"/>
        <d v="2023-11-05T03:11:00"/>
        <d v="2024-02-29T02:57:00"/>
        <d v="2023-06-21T10:53:00"/>
        <d v="2023-07-30T07:29:00"/>
        <d v="2024-05-08T03:37:00"/>
        <d v="2023-08-08T03:15:00"/>
        <d v="2023-06-17T06:11:00"/>
        <d v="2023-11-04T04:35:00"/>
        <d v="2023-02-01T21:30:00"/>
        <d v="2024-08-13T00:36:00"/>
        <d v="2024-12-08T07:23:00"/>
        <d v="2024-01-22T06:14:00"/>
        <d v="2023-07-05T10:28:00"/>
        <d v="2023-12-30T10:24:00"/>
        <d v="2023-06-17T06:38:00"/>
        <d v="2023-05-16T17:12:00"/>
        <d v="2024-07-01T10:48:00"/>
        <d v="2024-06-26T07:14:00"/>
        <d v="2024-08-03T13:33:00"/>
        <d v="2023-07-20T11:13:00"/>
        <d v="2024-01-26T01:37:00"/>
        <d v="2023-01-06T06:01:00"/>
        <d v="2024-10-08T03:54:00"/>
        <d v="2023-06-09T21:46:00"/>
        <d v="2024-07-05T13:24:00"/>
        <d v="2024-12-29T20:46:00"/>
        <d v="2023-08-12T16:29:00"/>
        <d v="2024-07-05T17:22:00"/>
        <d v="2023-11-10T12:05:00"/>
        <d v="2023-11-01T18:03:00"/>
        <d v="2023-10-03T19:10:00"/>
        <d v="2023-03-10T16:24:00"/>
        <d v="2024-12-19T23:16:00"/>
        <d v="2024-03-09T22:22:00"/>
        <d v="2023-05-28T19:25:00"/>
        <d v="2023-02-19T10:33:00"/>
        <d v="2023-05-25T01:28:00"/>
        <d v="2023-02-11T03:11:00"/>
        <d v="2024-01-13T10:13:00"/>
        <d v="2023-01-28T19:35:00"/>
        <d v="2024-02-13T17:57:00"/>
        <d v="2023-09-30T22:29:00"/>
        <d v="2023-05-18T04:37:00"/>
        <d v="2023-02-24T20:44:00"/>
        <d v="2024-10-12T04:10:00"/>
        <d v="2023-06-28T18:54:00"/>
        <d v="2024-02-03T05:50:00"/>
        <d v="2023-08-09T10:39:00"/>
        <d v="2023-09-05T11:33:00"/>
        <d v="2024-05-10T00:22:00"/>
        <d v="2023-08-13T19:10:00"/>
        <d v="2024-04-22T22:10:00"/>
        <d v="2024-11-13T07:59:00"/>
        <d v="2023-07-18T02:33:00"/>
        <d v="2024-02-15T04:39:00"/>
        <d v="2024-12-27T15:52:00"/>
        <d v="2023-06-22T15:34:00"/>
        <d v="2023-10-04T15:11:00"/>
        <d v="2023-03-26T03:59:00"/>
        <d v="2023-11-07T22:31:00"/>
        <d v="2024-11-01T08:42:00"/>
        <d v="2023-01-16T06:03:00"/>
        <d v="2024-07-27T10:43:00"/>
        <d v="2023-08-06T15:23:00"/>
        <d v="2024-04-10T20:26:00"/>
        <d v="2023-08-29T00:45:00"/>
        <d v="2024-05-02T10:52:00"/>
        <d v="2024-02-03T14:19:00"/>
        <d v="2023-04-22T13:15:00"/>
        <d v="2024-02-08T08:52:00"/>
        <d v="2024-01-28T15:17:00"/>
        <d v="2024-08-28T18:57:00"/>
        <d v="2024-10-28T10:22:00"/>
        <d v="2024-06-01T11:53:00"/>
        <d v="2023-09-10T08:49:00"/>
        <d v="2023-09-09T01:23:00"/>
        <d v="2023-12-28T13:52:00"/>
        <d v="2023-09-02T18:00:00"/>
        <d v="2023-07-08T16:47:00"/>
        <d v="2023-07-11T01:54:00"/>
        <d v="2024-04-01T23:16:00"/>
        <d v="2024-01-18T14:02:00"/>
        <d v="2024-12-05T15:07:00"/>
        <d v="2023-05-23T19:11:00"/>
        <d v="2023-09-17T03:01:00"/>
        <d v="2023-05-25T06:41:00"/>
        <d v="2023-06-08T08:57:00"/>
        <d v="2023-11-20T18:20:00"/>
        <d v="2024-06-29T11:00:00"/>
        <d v="2025-01-01T00:37:00"/>
        <d v="2023-02-04T00:19:00"/>
        <d v="2024-07-13T10:36:00"/>
        <d v="2024-02-21T04:39:00"/>
        <d v="2023-08-23T21:52:00"/>
        <d v="2023-07-18T14:36:00"/>
        <d v="2024-03-07T20:31:00"/>
        <d v="2024-06-15T04:17:00"/>
        <d v="2024-02-05T21:16:00"/>
        <d v="2023-10-18T03:36:00"/>
        <d v="2023-04-05T21:01:00"/>
        <d v="2023-11-03T14:37:00"/>
        <d v="2024-12-13T20:41:00"/>
        <d v="2024-01-25T22:06:00"/>
        <d v="2023-06-29T00:13:00"/>
        <d v="2023-03-03T08:36:00"/>
        <d v="2023-07-03T15:09:00"/>
        <d v="2024-01-04T07:09:00"/>
        <d v="2023-12-24T08:40:00"/>
        <d v="2024-12-05T21:08:00"/>
        <d v="2023-12-22T02:50:00"/>
        <d v="2024-02-17T08:15:00"/>
        <d v="2024-01-24T10:08:00"/>
        <d v="2023-05-23T18:06:00"/>
        <d v="2023-02-11T19:08:00"/>
        <d v="2023-12-06T04:21:00"/>
        <d v="2024-01-10T16:45:00"/>
        <d v="2024-07-28T04:09:00"/>
        <d v="2024-07-25T14:11:00"/>
        <d v="2023-08-20T03:00:00"/>
        <d v="2024-10-21T08:29:00"/>
        <d v="2024-03-31T04:28:00"/>
        <d v="2023-06-15T10:34:00"/>
        <d v="2024-09-11T19:58:00"/>
        <d v="2023-12-20T18:03:00"/>
        <d v="2023-06-26T08:14:00"/>
        <d v="2023-04-27T00:18:00"/>
        <d v="2023-07-27T04:32:00"/>
        <d v="2023-01-05T02:40:00"/>
        <d v="2023-10-10T10:12:00"/>
        <d v="2023-10-15T09:02:00"/>
        <d v="2023-04-01T15:02:00"/>
        <d v="2024-09-14T19:36:00"/>
        <d v="2024-10-31T07:26:00"/>
        <d v="2024-06-14T22:30:00"/>
        <d v="2023-02-08T12:17:00"/>
        <d v="2023-05-11T01:13:00"/>
        <d v="2024-01-26T19:59:00"/>
        <d v="2024-11-18T00:37:00"/>
        <d v="2024-04-09T17:22:00"/>
        <d v="2023-10-18T10:37:00"/>
        <d v="2024-04-05T20:38:00"/>
        <d v="2023-09-29T21:49:00"/>
        <d v="2023-01-04T11:23:00"/>
        <d v="2023-08-31T15:17:00"/>
        <d v="2024-12-22T21:43:00"/>
        <d v="2023-09-14T05:10:00"/>
        <d v="2024-05-07T23:10:00"/>
        <d v="2023-03-11T08:14:00"/>
        <d v="2023-04-22T13:24:00"/>
        <d v="2023-07-01T03:24:00"/>
        <d v="2024-12-30T16:18:00"/>
        <d v="2023-09-17T13:31:00"/>
        <d v="2023-11-17T19:24:00"/>
        <d v="2023-09-30T18:25:00"/>
        <d v="2023-05-10T10:11:00"/>
        <d v="2023-01-22T15:45:00"/>
        <d v="2023-09-25T01:40:00"/>
        <d v="2024-07-18T20:49:00"/>
        <d v="2023-07-20T23:12:00"/>
        <d v="2023-01-21T22:49:00"/>
        <d v="2023-01-29T17:05:00"/>
        <d v="2023-12-13T08:41:00"/>
        <d v="2023-04-30T07:08:00"/>
        <d v="2023-02-03T07:56:00"/>
        <d v="2024-06-23T08:38:00"/>
        <d v="2023-09-13T08:02:00"/>
        <d v="2023-01-08T10:45:00"/>
        <d v="2023-08-29T19:21:00"/>
        <d v="2024-09-18T17:21:00"/>
        <d v="2024-05-14T23:15:00"/>
        <d v="2024-03-24T14:07:00"/>
        <d v="2024-07-25T22:45:00"/>
        <d v="2024-04-06T06:56:00"/>
        <d v="2024-12-03T21:22:00"/>
        <d v="2023-02-12T07:55:00"/>
        <d v="2023-09-28T23:28:00"/>
        <d v="2024-10-18T10:53:00"/>
        <d v="2023-03-20T17:20:00"/>
        <d v="2023-03-05T15:08:00"/>
        <d v="2023-03-20T19:54:00"/>
        <d v="2024-07-01T15:37:00"/>
        <d v="2024-04-12T11:39:00"/>
        <d v="2023-04-09T16:28:00"/>
        <d v="2023-04-17T20:58:00"/>
        <d v="2023-04-23T04:37:00"/>
        <d v="2023-01-22T11:06:00"/>
        <d v="2023-04-14T11:17:00"/>
        <d v="2024-10-14T09:02:00"/>
        <d v="2023-05-26T10:40:00"/>
        <d v="2023-07-03T09:28:00"/>
        <d v="2024-07-05T22:26:00"/>
        <d v="2023-07-18T03:13:00"/>
        <d v="2023-04-20T18:17:00"/>
        <d v="2025-01-09T04:00:00"/>
        <d v="2024-09-10T16:56:00"/>
        <d v="2024-10-26T11:40:00"/>
        <d v="2023-04-30T17:30:00"/>
        <d v="2024-09-14T06:02:00"/>
        <d v="2023-06-19T21:30:00"/>
        <d v="2024-10-07T06:16:00"/>
        <d v="2024-10-05T18:18:00"/>
        <d v="2024-03-27T13:42:00"/>
        <d v="2023-03-22T07:33:00"/>
        <d v="2023-05-04T22:09:00"/>
        <d v="2023-04-11T05:54:00"/>
        <d v="2023-08-04T01:37:00"/>
        <d v="2024-01-02T18:06:00"/>
        <d v="2024-09-30T20:40:00"/>
        <d v="2023-10-05T06:57:00"/>
        <d v="2024-08-11T21:32:00"/>
        <d v="2023-05-03T08:10:00"/>
        <d v="2024-03-06T20:01:00"/>
        <d v="2024-10-16T13:51:00"/>
        <d v="2024-06-14T14:59:00"/>
        <d v="2023-11-11T10:11:00"/>
        <d v="2023-07-14T03:46:00"/>
        <d v="2023-01-15T08:01:00"/>
        <d v="2023-11-10T06:09:00"/>
        <d v="2024-11-19T01:08:00"/>
        <d v="2023-09-05T21:58:00"/>
        <d v="2023-06-26T07:27:00"/>
        <d v="2023-01-17T01:36:00"/>
        <d v="2023-01-09T20:18:00"/>
        <d v="2024-06-30T05:50:00"/>
        <d v="2024-01-09T06:03:00"/>
        <d v="2024-11-27T09:50:00"/>
        <d v="2023-05-27T03:54:00"/>
        <d v="2023-04-27T15:57:00"/>
        <d v="2023-12-08T12:41:00"/>
        <d v="2023-05-21T20:18:00"/>
        <d v="2024-06-06T23:53:00"/>
        <d v="2023-01-17T18:50:00"/>
        <d v="2023-06-18T23:14:00"/>
        <d v="2024-01-07T02:03:00"/>
        <d v="2023-05-04T23:39:00"/>
        <d v="2023-08-29T23:46:00"/>
        <d v="2024-09-11T02:53:00"/>
        <d v="2023-05-07T03:15:00"/>
        <d v="2023-07-14T20:53:00"/>
        <d v="2024-05-28T09:32:00"/>
        <d v="2025-01-09T15:44:00"/>
        <d v="2024-07-03T10:58:00"/>
        <d v="2024-12-31T05:24:00"/>
        <d v="2024-10-30T06:17:00"/>
        <d v="2023-08-20T03:27:00"/>
        <d v="2023-01-12T15:46:00"/>
        <d v="2024-02-21T06:46:00"/>
        <d v="2024-07-22T20:52:00"/>
        <d v="2024-03-19T04:26:00"/>
        <d v="2023-02-16T17:28:00"/>
        <d v="2024-08-15T08:07:00"/>
        <d v="2024-12-06T08:13:00"/>
        <d v="2023-08-24T06:39:00"/>
        <d v="2024-08-12T00:55:00"/>
        <d v="2024-02-15T20:16:00"/>
        <d v="2023-10-21T23:13:00"/>
        <d v="2023-02-26T11:20:00"/>
        <d v="2024-03-21T12:42:00"/>
        <d v="2024-04-16T01:27:00"/>
        <d v="2023-10-30T16:56:00"/>
        <d v="2023-02-26T13:49:00"/>
        <d v="2023-10-02T17:10:00"/>
        <d v="2023-02-22T22:21:00"/>
        <d v="2023-09-12T04:01:00"/>
        <d v="2023-12-07T14:29:00"/>
        <d v="2023-08-30T00:18:00"/>
        <d v="2024-01-29T08:46:00"/>
        <d v="2023-06-23T17:15:00"/>
        <d v="2023-02-26T18:52:00"/>
        <d v="2023-05-30T05:25:00"/>
        <d v="2024-05-02T02:19:00"/>
        <d v="2023-12-23T06:47:00"/>
        <d v="2023-08-29T02:02:00"/>
        <d v="2023-08-03T20:29:00"/>
        <d v="2024-02-12T09:40:00"/>
        <d v="2023-01-28T09:02:00"/>
        <d v="2024-03-26T01:56:00"/>
        <d v="2023-02-16T23:09:00"/>
        <d v="2024-02-05T08:00:00"/>
        <d v="2024-03-02T19:32:00"/>
        <d v="2023-10-24T09:56:00"/>
        <d v="2023-11-04T23:01:00"/>
        <d v="2023-10-31T04:55:00"/>
        <d v="2024-01-14T21:08:00"/>
        <d v="2023-05-30T01:04:00"/>
        <d v="2024-11-08T07:46:00"/>
        <d v="2024-12-29T01:41:00"/>
        <d v="2024-09-21T00:37:00"/>
        <d v="2024-06-24T12:13:00"/>
        <d v="2024-08-09T18:18:00"/>
        <d v="2023-01-31T00:56:00"/>
        <d v="2023-05-17T19:33:00"/>
        <d v="2023-06-18T03:43:00"/>
        <d v="2023-05-20T21:59:00"/>
        <d v="2023-01-12T20:18:00"/>
        <d v="2024-09-24T11:01:00"/>
        <d v="2023-08-20T10:06:00"/>
        <d v="2023-02-25T11:00:00"/>
        <d v="2024-01-23T18:10:00"/>
        <d v="2024-11-28T21:42:00"/>
        <d v="2024-08-25T16:51:00"/>
        <d v="2024-11-24T16:58:00"/>
        <d v="2024-10-30T17:17:00"/>
        <d v="2023-09-10T01:43:00"/>
        <d v="2024-06-06T15:03:00"/>
        <d v="2024-01-07T23:33:00"/>
        <d v="2024-12-30T06:21:00"/>
        <d v="2024-02-23T16:25:00"/>
        <d v="2024-05-25T06:47:00"/>
        <d v="2023-12-01T21:02:00"/>
        <d v="2024-04-15T04:41:00"/>
        <d v="2024-04-06T20:59:00"/>
        <d v="2024-06-27T07:52:00"/>
        <d v="2024-07-06T11:58:00"/>
        <d v="2024-04-23T10:07:00"/>
        <d v="2023-01-18T00:25:00"/>
        <d v="2024-02-09T18:50:00"/>
        <d v="2024-12-22T14:18:00"/>
        <d v="2024-09-07T11:54:00"/>
        <d v="2023-02-27T14:48:00"/>
        <d v="2023-07-10T00:17:00"/>
        <d v="2023-09-02T05:46:00"/>
        <d v="2024-03-30T13:22:00"/>
        <d v="2024-12-15T16:37:00"/>
        <d v="2024-05-22T05:21:00"/>
        <d v="2023-08-18T07:47:00"/>
        <d v="2023-10-22T04:07:00"/>
        <d v="2024-02-28T12:22:00"/>
        <d v="2024-05-27T01:53:00"/>
        <d v="2024-11-14T02:13:00"/>
        <d v="2024-04-26T07:19:00"/>
        <d v="2024-02-11T18:21:00"/>
        <d v="2024-07-03T10:49:00"/>
        <d v="2024-02-11T15:45:00"/>
        <d v="2023-09-21T14:44:00"/>
        <d v="2023-10-03T01:22:00"/>
        <d v="2024-12-21T22:16:00"/>
        <d v="2023-12-24T01:32:00"/>
        <d v="2024-05-07T20:57:00"/>
        <d v="2024-06-23T16:23:00"/>
        <d v="2023-09-26T12:53:00"/>
        <d v="2024-06-21T08:56:00"/>
        <d v="2024-03-12T22:59:00"/>
        <d v="2023-01-15T23:28:00"/>
        <d v="2023-02-12T12:04:00"/>
        <d v="2024-03-11T15:28:00"/>
        <d v="2024-03-10T03:28:00"/>
        <d v="2023-01-22T06:23:00"/>
        <d v="2024-10-01T15:22:00"/>
        <d v="2023-11-16T16:21:00"/>
        <d v="2023-02-21T21:54:00"/>
        <d v="2024-06-08T22:56:00"/>
        <d v="2023-01-09T15:54:00"/>
        <d v="2023-07-28T21:43:00"/>
        <d v="2024-04-08T02:25:00"/>
        <d v="2024-02-19T03:12:00"/>
        <d v="2023-12-11T18:36:00"/>
        <d v="2024-11-06T15:39:00"/>
        <d v="2024-05-19T20:56:00"/>
        <d v="2023-02-13T00:09:00"/>
        <d v="2024-09-27T10:45:00"/>
        <d v="2024-05-28T18:59:00"/>
        <d v="2024-12-17T14:36:00"/>
        <d v="2024-10-01T20:10:00"/>
        <d v="2024-08-24T06:03:00"/>
        <d v="2023-01-31T15:49:00"/>
        <d v="2024-12-27T04:54:00"/>
        <d v="2024-11-28T21:51:00"/>
        <d v="2024-11-18T04:57:00"/>
        <d v="2024-10-31T09:59:00"/>
        <d v="2024-03-12T17:04:00"/>
        <d v="2023-11-03T03:49:00"/>
        <d v="2023-09-21T11:15:00"/>
        <d v="2024-05-15T06:22:00"/>
        <d v="2024-01-08T15:24:00"/>
        <d v="2024-11-06T06:58:00"/>
        <d v="2024-07-20T09:00:00"/>
        <d v="2023-06-07T18:28:00"/>
        <d v="2024-06-20T20:58:00"/>
        <d v="2023-10-01T13:52:00"/>
        <d v="2024-10-13T12:51:00"/>
        <d v="2024-08-17T02:23:00"/>
        <d v="2023-06-16T05:12:00"/>
        <d v="2024-12-05T10:16:00"/>
        <d v="2023-04-07T18:29:00"/>
        <d v="2023-12-03T00:08:00"/>
        <d v="2023-10-07T18:47:00"/>
        <d v="2023-09-15T06:33:00"/>
        <d v="2024-05-11T13:26:00"/>
        <d v="2024-11-22T11:17:00"/>
        <d v="2024-08-05T10:32:00"/>
        <d v="2023-01-05T08:51:00"/>
        <d v="2023-12-27T16:28:00"/>
        <d v="2023-12-05T13:45:00"/>
        <d v="2023-03-09T03:22:00"/>
        <d v="2024-09-29T23:08:00"/>
        <d v="2023-09-20T19:38:00"/>
        <d v="2024-03-17T03:13:00"/>
        <d v="2023-02-11T02:25:00"/>
        <d v="2024-01-10T09:13:00"/>
        <d v="2023-03-13T15:18:00"/>
        <d v="2023-09-22T05:59:00"/>
        <d v="2024-08-14T11:09:00"/>
        <d v="2023-11-01T08:47:00"/>
        <d v="2024-12-05T05:53:00"/>
        <d v="2024-07-12T06:55:00"/>
        <d v="2023-06-23T17:06:00"/>
        <d v="2024-08-23T16:35:00"/>
        <d v="2024-07-24T17:16:00"/>
        <d v="2023-03-19T18:55:00"/>
        <d v="2023-03-01T10:25:00"/>
        <d v="2024-02-26T02:10:00"/>
        <d v="2023-05-16T11:53:00"/>
        <d v="2024-07-07T22:06:00"/>
        <d v="2024-09-02T08:54:00"/>
        <d v="2024-12-22T01:29:00"/>
        <d v="2023-09-07T09:31:00"/>
        <d v="2024-07-16T20:11:00"/>
        <d v="2024-08-02T04:55:00"/>
        <d v="2023-06-03T16:33:00"/>
        <d v="2023-10-26T07:51:00"/>
        <d v="2024-03-03T04:28:00"/>
        <d v="2024-02-12T09:09:00"/>
        <d v="2023-10-27T13:06:00"/>
        <d v="2025-01-05T08:02:00"/>
        <d v="2023-10-09T23:28:00"/>
        <d v="2024-12-04T01:33:00"/>
        <d v="2023-07-24T14:10:00"/>
        <d v="2023-12-03T23:12:00"/>
        <d v="2023-10-03T18:37:00"/>
        <d v="2024-10-04T13:18:00"/>
        <d v="2023-04-14T11:34:00"/>
        <d v="2024-02-24T23:17:00"/>
        <d v="2023-10-04T20:36:00"/>
        <d v="2023-02-20T02:24:00"/>
        <d v="2023-12-19T20:34:00"/>
        <d v="2024-12-20T18:07:00"/>
        <d v="2023-07-15T00:37:00"/>
        <d v="2024-12-20T17:25:00"/>
        <d v="2023-03-07T19:50:00"/>
        <d v="2023-04-19T11:05:00"/>
        <d v="2024-02-27T22:30:00"/>
        <d v="2024-09-08T19:59:00"/>
        <d v="2024-10-08T16:51:00"/>
        <d v="2023-07-27T20:09:00"/>
        <d v="2024-03-16T11:18:00"/>
        <d v="2024-01-07T23:01:00"/>
        <d v="2024-09-01T13:38:00"/>
        <d v="2023-11-03T06:27:00"/>
        <d v="2023-02-20T10:53:00"/>
        <d v="2024-06-18T07:40:00"/>
        <d v="2023-12-26T23:42:00"/>
        <d v="2024-06-10T23:26:00"/>
        <d v="2023-06-12T14:34:00"/>
        <d v="2025-01-06T15:28:00"/>
        <d v="2023-07-11T01:03:00"/>
        <d v="2024-05-16T09:27:00"/>
        <d v="2023-01-27T11:28:00"/>
        <d v="2024-07-08T01:50:00"/>
        <d v="2024-05-30T05:46:00"/>
        <d v="2023-07-14T01:46:00"/>
        <d v="2024-03-29T19:09:00"/>
        <d v="2023-03-19T02:12:00"/>
        <d v="2024-03-19T09:11:00"/>
        <d v="2023-05-22T20:41:00"/>
        <d v="2024-09-03T05:05:00"/>
        <d v="2023-07-24T18:15:00"/>
        <d v="2023-01-25T10:39:00"/>
        <d v="2023-05-06T23:14:00"/>
        <d v="2024-10-07T03:37:00"/>
        <d v="2024-07-03T19:06:00"/>
        <d v="2024-06-25T01:37:00"/>
        <d v="2023-05-20T10:51:00"/>
        <d v="2024-10-15T09:13:00"/>
        <d v="2024-07-17T14:32:00"/>
        <d v="2025-01-06T11:32:00"/>
        <d v="2024-11-29T00:06:00"/>
        <d v="2023-07-05T10:04:00"/>
        <d v="2024-02-26T15:00:00"/>
        <d v="2023-11-17T15:24:00"/>
        <d v="2024-06-29T03:25:00"/>
        <d v="2023-06-21T04:18:00"/>
        <d v="2023-09-24T11:50:00"/>
        <d v="2024-12-05T22:21:00"/>
        <d v="2023-09-06T17:51:00"/>
        <d v="2024-04-02T12:29:00"/>
        <d v="2023-06-15T03:00:00"/>
        <d v="2023-02-18T03:19:00"/>
        <d v="2024-05-23T21:44:00"/>
        <d v="2023-05-08T09:39:00"/>
        <d v="2023-10-15T23:17:00"/>
        <d v="2023-10-31T12:38:00"/>
        <d v="2024-07-22T06:58:00"/>
        <d v="2024-11-25T18:18:00"/>
        <d v="2023-01-11T18:59:00"/>
        <d v="2023-01-27T21:16:00"/>
        <d v="2023-09-26T08:14:00"/>
        <d v="2024-11-06T00:44:00"/>
        <d v="2023-02-18T16:59:00"/>
        <d v="2024-08-16T18:00:00"/>
        <d v="2024-11-14T05:35:00"/>
        <d v="2024-03-23T18:20:00"/>
        <d v="2023-07-06T01:11:00"/>
        <d v="2024-06-17T15:47:00"/>
        <d v="2024-09-17T23:14:00"/>
        <d v="2024-06-02T11:59:00"/>
        <d v="2024-01-30T02:01:00"/>
        <d v="2023-11-16T16:16:00"/>
        <d v="2023-02-17T21:19:00"/>
        <d v="2024-12-02T20:10:00"/>
        <d v="2024-09-11T04:18:00"/>
        <d v="2024-09-30T14:37:00"/>
        <d v="2024-10-07T04:44:00"/>
        <d v="2023-01-30T01:25:00"/>
        <d v="2023-06-09T00:07:00"/>
        <d v="2023-04-06T18:17:00"/>
        <d v="2024-04-03T17:56:00"/>
        <d v="2024-06-03T09:48:00"/>
        <d v="2024-04-05T09:08:00"/>
        <d v="2024-03-05T11:54:00"/>
        <d v="2024-07-15T06:44:00"/>
        <d v="2024-01-01T05:50:00"/>
        <d v="2024-06-20T04:23:00"/>
        <d v="2023-06-04T11:29:00"/>
        <d v="2023-02-18T03:14:00"/>
        <d v="2023-01-19T20:21:00"/>
        <d v="2023-07-19T22:25:00"/>
        <d v="2024-10-26T04:36:00"/>
        <d v="2024-08-07T18:02:00"/>
        <d v="2024-05-22T23:24:00"/>
        <d v="2023-02-06T22:11:00"/>
        <d v="2025-01-01T00:53:00"/>
        <d v="2023-07-15T21:48:00"/>
        <d v="2024-05-01T04:47:00"/>
        <d v="2024-01-09T20:03:00"/>
        <d v="2024-03-15T12:55:00"/>
        <d v="2024-05-29T19:27:00"/>
        <d v="2024-08-30T10:10:00"/>
        <d v="2023-03-03T05:56:00"/>
        <d v="2024-05-06T19:43:00"/>
        <d v="2023-06-18T10:54:00"/>
        <d v="2024-09-03T04:17:00"/>
        <d v="2024-09-12T09:25:00"/>
        <d v="2023-07-07T05:01:00"/>
        <d v="2024-09-12T13:28:00"/>
        <d v="2023-12-12T22:19:00"/>
        <d v="2023-03-03T20:08:00"/>
        <d v="2023-02-11T08:59:00"/>
        <d v="2023-06-14T16:23:00"/>
        <d v="2024-10-26T18:32:00"/>
        <d v="2023-09-01T23:14:00"/>
        <d v="2023-11-06T19:11:00"/>
        <d v="2023-10-29T02:00:00"/>
        <d v="2024-12-29T13:33:00"/>
        <d v="2023-05-25T12:56:00"/>
        <d v="2024-11-19T08:37:00"/>
        <d v="2024-12-11T08:00:00"/>
        <d v="2023-08-02T17:35:00"/>
        <d v="2023-03-17T19:58:00"/>
        <d v="2023-09-21T08:56:00"/>
        <d v="2024-07-24T21:41:00"/>
        <d v="2023-03-18T18:10:00"/>
        <d v="2024-08-20T20:02:00"/>
        <d v="2023-10-15T20:33:00"/>
        <d v="2023-08-03T15:02:00"/>
        <d v="2023-05-18T23:53:00"/>
        <d v="2024-12-19T16:37:00"/>
        <d v="2023-09-23T17:30:00"/>
        <d v="2023-11-10T02:16:00"/>
        <d v="2023-02-25T06:06:00"/>
        <d v="2024-10-01T08:10:00"/>
        <d v="2024-01-15T00:35:00"/>
        <d v="2024-06-05T18:53:00"/>
        <d v="2023-11-21T21:32:00"/>
        <d v="2024-01-07T19:45:00"/>
        <d v="2024-11-05T21:24:00"/>
        <d v="2024-05-29T21:21:00"/>
        <d v="2023-05-02T02:38:00"/>
        <d v="2024-09-07T04:55:00"/>
        <d v="2023-04-13T13:01:00"/>
        <d v="2023-08-01T21:08:00"/>
        <d v="2023-10-05T10:24:00"/>
        <d v="2023-02-24T03:35:00"/>
        <d v="2024-04-12T11:35:00"/>
        <d v="2023-05-19T20:33:00"/>
        <d v="2023-09-15T00:03:00"/>
        <d v="2024-11-08T19:11:00"/>
        <d v="2023-05-16T04:37:00"/>
        <d v="2023-07-17T02:41:00"/>
        <d v="2024-06-16T06:01:00"/>
        <d v="2024-04-11T20:10:00"/>
        <d v="2024-03-19T15:54:00"/>
        <d v="2024-04-27T16:43:00"/>
        <d v="2024-11-16T22:32:00"/>
        <d v="2024-11-01T06:52:00"/>
        <d v="2024-09-04T07:06:00"/>
        <d v="2023-02-05T08:37:00"/>
        <d v="2024-12-06T17:33:00"/>
        <d v="2023-08-22T08:03:00"/>
        <d v="2023-09-12T06:01:00"/>
        <d v="2024-07-06T11:51:00"/>
        <d v="2024-04-27T15:48:00"/>
        <d v="2023-11-21T19:33:00"/>
        <d v="2024-02-12T09:21:00"/>
        <d v="2023-06-15T22:39:00"/>
        <d v="2023-02-03T10:59:00"/>
        <d v="2023-04-30T08:06:00"/>
        <d v="2023-04-13T09:52:00"/>
        <d v="2024-05-17T15:09:00"/>
        <d v="2023-07-29T15:47:00"/>
      </sharedItems>
      <fieldGroup par="9" base="0">
        <rangePr groupBy="months" startDate="2023-01-01T01:55:00" endDate="2025-01-09T15:44:00"/>
        <groupItems count="14">
          <s v="&lt;01-01-23"/>
          <s v="Jan"/>
          <s v="Feb"/>
          <s v="Mar"/>
          <s v="Apr"/>
          <s v="May"/>
          <s v="Jun"/>
          <s v="Jul"/>
          <s v="Aug"/>
          <s v="Sep"/>
          <s v="Oct"/>
          <s v="Nov"/>
          <s v="Dec"/>
          <s v="&gt;09-01-25"/>
        </groupItems>
      </fieldGroup>
    </cacheField>
    <cacheField name="Time" numFmtId="164">
      <sharedItems containsSemiMixedTypes="0" containsNonDate="0" containsDate="1" containsString="0" minDate="1899-12-30T00:00:00" maxDate="1899-12-30T23:59:43" count="1976">
        <d v="1899-12-30T06:04:28"/>
        <d v="1899-12-30T01:05:18"/>
        <d v="1899-12-30T17:31:43"/>
        <d v="1899-12-30T01:50:16"/>
        <d v="1899-12-30T10:37:06"/>
        <d v="1899-12-30T22:41:47"/>
        <d v="1899-12-30T09:36:45"/>
        <d v="1899-12-30T20:02:39"/>
        <d v="1899-12-30T21:07:44"/>
        <d v="1899-12-30T17:53:54"/>
        <d v="1899-12-30T21:08:19"/>
        <d v="1899-12-30T00:21:31"/>
        <d v="1899-12-30T18:22:19"/>
        <d v="1899-12-30T11:26:47"/>
        <d v="1899-12-30T01:24:43"/>
        <d v="1899-12-30T20:28:06"/>
        <d v="1899-12-30T13:37:30"/>
        <d v="1899-12-30T05:36:15"/>
        <d v="1899-12-30T06:33:07"/>
        <d v="1899-12-30T09:43:42"/>
        <d v="1899-12-30T13:51:08"/>
        <d v="1899-12-30T11:18:52"/>
        <d v="1899-12-30T14:31:32"/>
        <d v="1899-12-30T14:20:47"/>
        <d v="1899-12-30T14:05:50"/>
        <d v="1899-12-30T11:56:23"/>
        <d v="1899-12-30T20:01:56"/>
        <d v="1899-12-30T00:07:21"/>
        <d v="1899-12-30T20:07:15"/>
        <d v="1899-12-30T09:13:49"/>
        <d v="1899-12-30T08:19:27"/>
        <d v="1899-12-30T15:48:38"/>
        <d v="1899-12-30T05:46:39"/>
        <d v="1899-12-30T13:15:10"/>
        <d v="1899-12-30T00:11:51"/>
        <d v="1899-12-30T13:11:39"/>
        <d v="1899-12-30T14:00:12"/>
        <d v="1899-12-30T13:04:04"/>
        <d v="1899-12-30T11:20:00"/>
        <d v="1899-12-30T12:18:47"/>
        <d v="1899-12-30T02:12:39"/>
        <d v="1899-12-30T07:51:35"/>
        <d v="1899-12-30T13:53:22"/>
        <d v="1899-12-30T01:58:39"/>
        <d v="1899-12-30T12:32:36"/>
        <d v="1899-12-30T21:48:59"/>
        <d v="1899-12-30T16:00:03"/>
        <d v="1899-12-30T06:18:47"/>
        <d v="1899-12-30T15:24:15"/>
        <d v="1899-12-30T23:01:49"/>
        <d v="1899-12-30T01:43:56"/>
        <d v="1899-12-30T22:01:41"/>
        <d v="1899-12-30T00:01:48"/>
        <d v="1899-12-30T16:20:08"/>
        <d v="1899-12-30T07:45:13"/>
        <d v="1899-12-30T13:41:19"/>
        <d v="1899-12-30T20:21:18"/>
        <d v="1899-12-30T11:37:00"/>
        <d v="1899-12-30T13:43:01"/>
        <d v="1899-12-30T07:50:15"/>
        <d v="1899-12-30T23:33:35"/>
        <d v="1899-12-30T13:50:05"/>
        <d v="1899-12-30T17:48:18"/>
        <d v="1899-12-30T23:48:33"/>
        <d v="1899-12-30T23:32:12"/>
        <d v="1899-12-30T19:19:30"/>
        <d v="1899-12-30T14:22:02"/>
        <d v="1899-12-30T21:15:35"/>
        <d v="1899-12-30T23:58:24"/>
        <d v="1899-12-30T17:44:17"/>
        <d v="1899-12-30T21:25:59"/>
        <d v="1899-12-30T21:55:03"/>
        <d v="1899-12-30T06:59:32"/>
        <d v="1899-12-30T05:43:39"/>
        <d v="1899-12-30T14:10:29"/>
        <d v="1899-12-30T23:17:33"/>
        <d v="1899-12-30T02:20:05"/>
        <d v="1899-12-30T04:14:24"/>
        <d v="1899-12-30T19:01:55"/>
        <d v="1899-12-30T12:16:44"/>
        <d v="1899-12-30T16:58:52"/>
        <d v="1899-12-30T07:08:11"/>
        <d v="1899-12-30T02:37:17"/>
        <d v="1899-12-30T01:00:06"/>
        <d v="1899-12-30T11:52:08"/>
        <d v="1899-12-30T07:13:33"/>
        <d v="1899-12-30T06:28:42"/>
        <d v="1899-12-30T07:38:14"/>
        <d v="1899-12-30T19:14:10"/>
        <d v="1899-12-30T03:31:28"/>
        <d v="1899-12-30T12:33:57"/>
        <d v="1899-12-30T14:10:56"/>
        <d v="1899-12-30T13:20:21"/>
        <d v="1899-12-30T02:57:13"/>
        <d v="1899-12-30T11:59:42"/>
        <d v="1899-12-30T14:24:58"/>
        <d v="1899-12-30T04:54:25"/>
        <d v="1899-12-30T02:57:42"/>
        <d v="1899-12-30T07:14:01"/>
        <d v="1899-12-30T16:47:27"/>
        <d v="1899-12-30T21:04:47"/>
        <d v="1899-12-30T19:54:20"/>
        <d v="1899-12-30T14:13:40"/>
        <d v="1899-12-30T23:13:20"/>
        <d v="1899-12-30T14:29:19"/>
        <d v="1899-12-30T18:17:50"/>
        <d v="1899-12-30T08:43:28"/>
        <d v="1899-12-30T10:33:12"/>
        <d v="1899-12-30T11:36:50"/>
        <d v="1899-12-30T14:22:06"/>
        <d v="1899-12-30T01:36:18"/>
        <d v="1899-12-30T23:23:36"/>
        <d v="1899-12-30T00:24:47"/>
        <d v="1899-12-30T11:58:57"/>
        <d v="1899-12-30T04:16:35"/>
        <d v="1899-12-30T15:45:54"/>
        <d v="1899-12-30T01:05:11"/>
        <d v="1899-12-30T16:18:07"/>
        <d v="1899-12-30T02:06:59"/>
        <d v="1899-12-30T00:49:01"/>
        <d v="1899-12-30T13:55:16"/>
        <d v="1899-12-30T05:30:41"/>
        <d v="1899-12-30T19:09:08"/>
        <d v="1899-12-30T02:39:22"/>
        <d v="1899-12-30T20:14:25"/>
        <d v="1899-12-30T17:35:09"/>
        <d v="1899-12-30T13:11:02"/>
        <d v="1899-12-30T19:18:20"/>
        <d v="1899-12-30T03:55:36"/>
        <d v="1899-12-30T22:41:33"/>
        <d v="1899-12-30T16:38:00"/>
        <d v="1899-12-30T09:28:34"/>
        <d v="1899-12-30T01:23:57"/>
        <d v="1899-12-30T03:16:54"/>
        <d v="1899-12-30T00:29:03"/>
        <d v="1899-12-30T21:40:05"/>
        <d v="1899-12-30T00:57:22"/>
        <d v="1899-12-30T13:49:53"/>
        <d v="1899-12-30T21:56:09"/>
        <d v="1899-12-30T04:46:58"/>
        <d v="1899-12-30T05:22:02"/>
        <d v="1899-12-30T21:06:02"/>
        <d v="1899-12-30T07:28:33"/>
        <d v="1899-12-30T16:52:44"/>
        <d v="1899-12-30T16:23:24"/>
        <d v="1899-12-30T12:19:37"/>
        <d v="1899-12-30T19:33:19"/>
        <d v="1899-12-30T15:11:13"/>
        <d v="1899-12-30T10:43:34"/>
        <d v="1899-12-30T04:44:40"/>
        <d v="1899-12-30T06:02:10"/>
        <d v="1899-12-30T01:52:28"/>
        <d v="1899-12-30T05:16:24"/>
        <d v="1899-12-30T05:13:31"/>
        <d v="1899-12-30T08:08:56"/>
        <d v="1899-12-30T10:32:53"/>
        <d v="1899-12-30T04:52:33"/>
        <d v="1899-12-30T22:33:27"/>
        <d v="1899-12-30T05:01:44"/>
        <d v="1899-12-30T08:23:49"/>
        <d v="1899-12-30T08:04:49"/>
        <d v="1899-12-30T08:09:40"/>
        <d v="1899-12-30T22:15:54"/>
        <d v="1899-12-30T17:37:17"/>
        <d v="1899-12-30T03:50:13"/>
        <d v="1899-12-30T12:42:36"/>
        <d v="1899-12-30T02:08:07"/>
        <d v="1899-12-30T18:09:37"/>
        <d v="1899-12-30T11:48:27"/>
        <d v="1899-12-30T01:17:44"/>
        <d v="1899-12-30T00:46:51"/>
        <d v="1899-12-30T16:31:56"/>
        <d v="1899-12-30T09:10:32"/>
        <d v="1899-12-30T13:01:04"/>
        <d v="1899-12-30T17:37:45"/>
        <d v="1899-12-30T04:47:42"/>
        <d v="1899-12-30T17:59:53"/>
        <d v="1899-12-30T16:49:59"/>
        <d v="1899-12-30T20:36:46"/>
        <d v="1899-12-30T10:48:20"/>
        <d v="1899-12-30T02:43:01"/>
        <d v="1899-12-30T03:11:31"/>
        <d v="1899-12-30T12:50:57"/>
        <d v="1899-12-30T23:14:15"/>
        <d v="1899-12-30T16:10:49"/>
        <d v="1899-12-30T15:22:43"/>
        <d v="1899-12-30T07:20:12"/>
        <d v="1899-12-30T02:27:26"/>
        <d v="1899-12-30T02:48:03"/>
        <d v="1899-12-30T14:40:56"/>
        <d v="1899-12-30T23:08:12"/>
        <d v="1899-12-30T23:51:24"/>
        <d v="1899-12-30T04:41:12"/>
        <d v="1899-12-30T01:02:31"/>
        <d v="1899-12-30T10:48:54"/>
        <d v="1899-12-30T15:25:00"/>
        <d v="1899-12-30T15:50:36"/>
        <d v="1899-12-30T19:15:25"/>
        <d v="1899-12-30T18:19:30"/>
        <d v="1899-12-30T06:39:06"/>
        <d v="1899-12-30T16:15:14"/>
        <d v="1899-12-30T17:42:10"/>
        <d v="1899-12-30T17:33:51"/>
        <d v="1899-12-30T17:21:36"/>
        <d v="1899-12-30T00:06:43"/>
        <d v="1899-12-30T14:47:49"/>
        <d v="1899-12-30T19:29:19"/>
        <d v="1899-12-30T05:50:12"/>
        <d v="1899-12-30T19:34:59"/>
        <d v="1899-12-30T13:58:02"/>
        <d v="1899-12-30T21:22:09"/>
        <d v="1899-12-30T19:54:21"/>
        <d v="1899-12-30T17:41:14"/>
        <d v="1899-12-30T16:12:19"/>
        <d v="1899-12-30T08:54:20"/>
        <d v="1899-12-30T06:12:30"/>
        <d v="1899-12-30T03:09:42"/>
        <d v="1899-12-30T02:54:39"/>
        <d v="1899-12-30T06:57:12"/>
        <d v="1899-12-30T16:34:19"/>
        <d v="1899-12-30T21:40:33"/>
        <d v="1899-12-30T03:54:07"/>
        <d v="1899-12-30T01:50:36"/>
        <d v="1899-12-30T15:49:24"/>
        <d v="1899-12-30T21:58:07"/>
        <d v="1899-12-30T10:13:25"/>
        <d v="1899-12-30T14:46:57"/>
        <d v="1899-12-30T12:02:12"/>
        <d v="1899-12-30T13:11:50"/>
        <d v="1899-12-30T06:38:13"/>
        <d v="1899-12-30T05:40:28"/>
        <d v="1899-12-30T07:51:45"/>
        <d v="1899-12-30T17:59:06"/>
        <d v="1899-12-30T17:01:20"/>
        <d v="1899-12-30T14:18:44"/>
        <d v="1899-12-30T19:42:51"/>
        <d v="1899-12-30T10:10:45"/>
        <d v="1899-12-30T09:35:02"/>
        <d v="1899-12-30T16:16:07"/>
        <d v="1899-12-30T06:31:22"/>
        <d v="1899-12-30T06:29:37"/>
        <d v="1899-12-30T13:49:56"/>
        <d v="1899-12-30T04:44:24"/>
        <d v="1899-12-30T09:13:47"/>
        <d v="1899-12-30T18:07:39"/>
        <d v="1899-12-30T10:22:12"/>
        <d v="1899-12-30T04:54:23"/>
        <d v="1899-12-30T04:31:48"/>
        <d v="1899-12-30T23:40:34"/>
        <d v="1899-12-30T21:29:52"/>
        <d v="1899-12-30T13:14:17"/>
        <d v="1899-12-30T14:38:42"/>
        <d v="1899-12-30T07:57:58"/>
        <d v="1899-12-30T02:40:02"/>
        <d v="1899-12-30T19:37:43"/>
        <d v="1899-12-30T01:28:28"/>
        <d v="1899-12-30T00:58:23"/>
        <d v="1899-12-30T06:34:38"/>
        <d v="1899-12-30T16:07:06"/>
        <d v="1899-12-30T20:39:14"/>
        <d v="1899-12-30T18:47:37"/>
        <d v="1899-12-30T13:23:14"/>
        <d v="1899-12-30T02:31:55"/>
        <d v="1899-12-30T09:43:27"/>
        <d v="1899-12-30T06:13:58"/>
        <d v="1899-12-30T10:44:48"/>
        <d v="1899-12-30T22:30:08"/>
        <d v="1899-12-30T15:26:55"/>
        <d v="1899-12-30T13:38:01"/>
        <d v="1899-12-30T16:27:45"/>
        <d v="1899-12-30T18:52:05"/>
        <d v="1899-12-30T14:21:38"/>
        <d v="1899-12-30T23:43:48"/>
        <d v="1899-12-30T09:15:15"/>
        <d v="1899-12-30T06:12:25"/>
        <d v="1899-12-30T15:51:51"/>
        <d v="1899-12-30T22:32:24"/>
        <d v="1899-12-30T04:44:38"/>
        <d v="1899-12-30T06:19:59"/>
        <d v="1899-12-30T04:19:22"/>
        <d v="1899-12-30T22:12:26"/>
        <d v="1899-12-30T05:32:44"/>
        <d v="1899-12-30T12:58:44"/>
        <d v="1899-12-30T03:55:56"/>
        <d v="1899-12-30T20:28:25"/>
        <d v="1899-12-30T09:12:18"/>
        <d v="1899-12-30T23:48:04"/>
        <d v="1899-12-30T12:51:27"/>
        <d v="1899-12-30T19:58:31"/>
        <d v="1899-12-30T00:29:11"/>
        <d v="1899-12-30T17:15:52"/>
        <d v="1899-12-30T13:59:05"/>
        <d v="1899-12-30T06:40:35"/>
        <d v="1899-12-30T18:16:58"/>
        <d v="1899-12-30T00:00:00"/>
        <d v="1899-12-30T17:15:31"/>
        <d v="1899-12-30T00:51:03"/>
        <d v="1899-12-30T11:04:53"/>
        <d v="1899-12-30T01:03:28"/>
        <d v="1899-12-30T03:05:27"/>
        <d v="1899-12-30T07:55:13"/>
        <d v="1899-12-30T05:52:46"/>
        <d v="1899-12-30T19:39:28"/>
        <d v="1899-12-30T11:07:33"/>
        <d v="1899-12-30T04:42:41"/>
        <d v="1899-12-30T23:18:22"/>
        <d v="1899-12-30T20:21:12"/>
        <d v="1899-12-30T16:17:43"/>
        <d v="1899-12-30T05:49:21"/>
        <d v="1899-12-30T00:36:36"/>
        <d v="1899-12-30T17:32:12"/>
        <d v="1899-12-30T14:42:39"/>
        <d v="1899-12-30T22:11:15"/>
        <d v="1899-12-30T22:25:18"/>
        <d v="1899-12-30T18:07:05"/>
        <d v="1899-12-30T01:14:33"/>
        <d v="1899-12-30T00:32:32"/>
        <d v="1899-12-30T17:20:19"/>
        <d v="1899-12-30T03:22:12"/>
        <d v="1899-12-30T03:30:12"/>
        <d v="1899-12-30T19:48:57"/>
        <d v="1899-12-30T04:42:07"/>
        <d v="1899-12-30T15:04:02"/>
        <d v="1899-12-30T15:18:45"/>
        <d v="1899-12-30T20:19:22"/>
        <d v="1899-12-30T11:44:43"/>
        <d v="1899-12-30T06:30:31"/>
        <d v="1899-12-30T03:15:27"/>
        <d v="1899-12-30T13:56:44"/>
        <d v="1899-12-30T23:39:25"/>
        <d v="1899-12-30T20:00:16"/>
        <d v="1899-12-30T18:12:22"/>
        <d v="1899-12-30T05:38:29"/>
        <d v="1899-12-30T02:08:25"/>
        <d v="1899-12-30T02:45:24"/>
        <d v="1899-12-30T06:03:16"/>
        <d v="1899-12-30T21:09:25"/>
        <d v="1899-12-30T07:47:58"/>
        <d v="1899-12-30T08:33:58"/>
        <d v="1899-12-30T03:07:51"/>
        <d v="1899-12-30T10:52:00"/>
        <d v="1899-12-30T03:54:14"/>
        <d v="1899-12-30T04:56:41"/>
        <d v="1899-12-30T21:55:41"/>
        <d v="1899-12-30T11:42:34"/>
        <d v="1899-12-30T08:40:16"/>
        <d v="1899-12-30T06:02:26"/>
        <d v="1899-12-30T15:03:57"/>
        <d v="1899-12-30T17:46:38"/>
        <d v="1899-12-30T05:06:19"/>
        <d v="1899-12-30T09:50:26"/>
        <d v="1899-12-30T04:34:50"/>
        <d v="1899-12-30T20:58:02"/>
        <d v="1899-12-30T13:46:39"/>
        <d v="1899-12-30T07:10:10"/>
        <d v="1899-12-30T00:15:23"/>
        <d v="1899-12-30T10:46:40"/>
        <d v="1899-12-30T12:17:06"/>
        <d v="1899-12-30T23:37:27"/>
        <d v="1899-12-30T00:16:19"/>
        <d v="1899-12-30T21:12:51"/>
        <d v="1899-12-30T09:37:42"/>
        <d v="1899-12-30T10:40:22"/>
        <d v="1899-12-30T06:42:37"/>
        <d v="1899-12-30T08:50:09"/>
        <d v="1899-12-30T14:10:30"/>
        <d v="1899-12-30T18:52:40"/>
        <d v="1899-12-30T04:31:10"/>
        <d v="1899-12-30T17:54:17"/>
        <d v="1899-12-30T12:26:59"/>
        <d v="1899-12-30T16:06:41"/>
        <d v="1899-12-30T18:09:35"/>
        <d v="1899-12-30T07:04:13"/>
        <d v="1899-12-30T09:24:55"/>
        <d v="1899-12-30T14:56:39"/>
        <d v="1899-12-30T08:56:23"/>
        <d v="1899-12-30T20:24:56"/>
        <d v="1899-12-30T20:35:48"/>
        <d v="1899-12-30T00:49:39"/>
        <d v="1899-12-30T14:49:51"/>
        <d v="1899-12-30T04:24:46"/>
        <d v="1899-12-30T04:56:37"/>
        <d v="1899-12-30T18:15:20"/>
        <d v="1899-12-30T04:26:02"/>
        <d v="1899-12-30T13:22:05"/>
        <d v="1899-12-30T20:05:59"/>
        <d v="1899-12-30T09:21:06"/>
        <d v="1899-12-30T05:15:59"/>
        <d v="1899-12-30T05:49:15"/>
        <d v="1899-12-30T03:51:08"/>
        <d v="1899-12-30T12:30:35"/>
        <d v="1899-12-30T03:24:09"/>
        <d v="1899-12-30T18:47:16"/>
        <d v="1899-12-30T05:27:20"/>
        <d v="1899-12-30T12:04:46"/>
        <d v="1899-12-30T06:11:38"/>
        <d v="1899-12-30T19:27:44"/>
        <d v="1899-12-30T02:21:36"/>
        <d v="1899-12-30T17:14:49"/>
        <d v="1899-12-30T04:11:25"/>
        <d v="1899-12-30T11:06:53"/>
        <d v="1899-12-30T21:16:39"/>
        <d v="1899-12-30T13:29:59"/>
        <d v="1899-12-30T14:43:15"/>
        <d v="1899-12-30T13:28:52"/>
        <d v="1899-12-30T07:41:43"/>
        <d v="1899-12-30T08:16:24"/>
        <d v="1899-12-30T09:05:51"/>
        <d v="1899-12-30T02:02:49"/>
        <d v="1899-12-30T02:47:31"/>
        <d v="1899-12-30T08:13:10"/>
        <d v="1899-12-30T15:11:09"/>
        <d v="1899-12-30T08:16:52"/>
        <d v="1899-12-30T21:39:54"/>
        <d v="1899-12-30T07:52:31"/>
        <d v="1899-12-30T04:11:32"/>
        <d v="1899-12-30T18:54:30"/>
        <d v="1899-12-30T05:21:02"/>
        <d v="1899-12-30T01:11:04"/>
        <d v="1899-12-30T05:08:29"/>
        <d v="1899-12-30T20:01:32"/>
        <d v="1899-12-30T04:44:03"/>
        <d v="1899-12-30T20:15:42"/>
        <d v="1899-12-30T16:38:39"/>
        <d v="1899-12-30T14:00:06"/>
        <d v="1899-12-30T11:04:52"/>
        <d v="1899-12-30T15:53:31"/>
        <d v="1899-12-30T00:30:25"/>
        <d v="1899-12-30T04:42:26"/>
        <d v="1899-12-30T22:12:46"/>
        <d v="1899-12-30T11:58:26"/>
        <d v="1899-12-30T16:38:30"/>
        <d v="1899-12-30T04:02:43"/>
        <d v="1899-12-30T17:47:08"/>
        <d v="1899-12-30T13:37:32"/>
        <d v="1899-12-30T20:22:58"/>
        <d v="1899-12-30T14:06:15"/>
        <d v="1899-12-30T03:14:14"/>
        <d v="1899-12-30T13:29:45"/>
        <d v="1899-12-30T10:37:57"/>
        <d v="1899-12-30T08:22:00"/>
        <d v="1899-12-30T09:37:20"/>
        <d v="1899-12-30T17:54:14"/>
        <d v="1899-12-30T05:45:18"/>
        <d v="1899-12-30T03:23:42"/>
        <d v="1899-12-30T15:48:27"/>
        <d v="1899-12-30T12:06:16"/>
        <d v="1899-12-30T08:05:26"/>
        <d v="1899-12-30T06:57:10"/>
        <d v="1899-12-30T10:51:18"/>
        <d v="1899-12-30T22:13:50"/>
        <d v="1899-12-30T15:28:40"/>
        <d v="1899-12-30T17:57:12"/>
        <d v="1899-12-30T07:12:48"/>
        <d v="1899-12-30T14:27:03"/>
        <d v="1899-12-30T07:37:24"/>
        <d v="1899-12-30T05:32:56"/>
        <d v="1899-12-30T19:14:37"/>
        <d v="1899-12-30T13:43:18"/>
        <d v="1899-12-30T11:50:22"/>
        <d v="1899-12-30T02:34:46"/>
        <d v="1899-12-30T02:57:37"/>
        <d v="1899-12-30T18:02:52"/>
        <d v="1899-12-30T03:56:55"/>
        <d v="1899-12-30T10:38:12"/>
        <d v="1899-12-30T06:39:08"/>
        <d v="1899-12-30T10:21:00"/>
        <d v="1899-12-30T13:25:24"/>
        <d v="1899-12-30T11:53:54"/>
        <d v="1899-12-30T05:12:24"/>
        <d v="1899-12-30T23:17:58"/>
        <d v="1899-12-30T09:18:24"/>
        <d v="1899-12-30T05:17:20"/>
        <d v="1899-12-30T09:15:34"/>
        <d v="1899-12-30T20:42:02"/>
        <d v="1899-12-30T02:44:26"/>
        <d v="1899-12-30T10:37:54"/>
        <d v="1899-12-30T11:15:20"/>
        <d v="1899-12-30T16:10:46"/>
        <d v="1899-12-30T08:10:12"/>
        <d v="1899-12-30T10:58:02"/>
        <d v="1899-12-30T11:02:34"/>
        <d v="1899-12-30T11:49:40"/>
        <d v="1899-12-30T05:25:41"/>
        <d v="1899-12-30T12:17:18"/>
        <d v="1899-12-30T12:38:18"/>
        <d v="1899-12-30T00:38:33"/>
        <d v="1899-12-30T00:49:16"/>
        <d v="1899-12-30T11:52:09"/>
        <d v="1899-12-30T21:55:53"/>
        <d v="1899-12-30T10:12:23"/>
        <d v="1899-12-30T02:50:15"/>
        <d v="1899-12-30T22:12:52"/>
        <d v="1899-12-30T09:48:50"/>
        <d v="1899-12-30T21:09:27"/>
        <d v="1899-12-30T16:17:27"/>
        <d v="1899-12-30T06:16:12"/>
        <d v="1899-12-30T00:22:32"/>
        <d v="1899-12-30T12:56:09"/>
        <d v="1899-12-30T23:57:30"/>
        <d v="1899-12-30T22:39:19"/>
        <d v="1899-12-30T15:59:58"/>
        <d v="1899-12-30T18:34:03"/>
        <d v="1899-12-30T15:16:17"/>
        <d v="1899-12-30T14:03:08"/>
        <d v="1899-12-30T08:51:57"/>
        <d v="1899-12-30T18:24:57"/>
        <d v="1899-12-30T01:46:18"/>
        <d v="1899-12-30T03:52:45"/>
        <d v="1899-12-30T12:35:08"/>
        <d v="1899-12-30T02:21:25"/>
        <d v="1899-12-30T00:18:39"/>
        <d v="1899-12-30T16:57:22"/>
        <d v="1899-12-30T09:34:25"/>
        <d v="1899-12-30T12:57:29"/>
        <d v="1899-12-30T09:41:05"/>
        <d v="1899-12-30T16:40:52"/>
        <d v="1899-12-30T17:56:18"/>
        <d v="1899-12-30T17:22:27"/>
        <d v="1899-12-30T17:51:15"/>
        <d v="1899-12-30T14:05:02"/>
        <d v="1899-12-30T06:05:59"/>
        <d v="1899-12-30T09:00:45"/>
        <d v="1899-12-30T12:19:32"/>
        <d v="1899-12-30T20:13:25"/>
        <d v="1899-12-30T12:28:27"/>
        <d v="1899-12-30T09:34:49"/>
        <d v="1899-12-30T23:13:56"/>
        <d v="1899-12-30T01:12:12"/>
        <d v="1899-12-30T18:34:15"/>
        <d v="1899-12-30T09:05:39"/>
        <d v="1899-12-30T20:38:36"/>
        <d v="1899-12-30T12:29:09"/>
        <d v="1899-12-30T22:03:33"/>
        <d v="1899-12-30T07:13:52"/>
        <d v="1899-12-30T22:19:03"/>
        <d v="1899-12-30T11:50:28"/>
        <d v="1899-12-30T17:54:38"/>
        <d v="1899-12-30T20:39:18"/>
        <d v="1899-12-30T16:19:52"/>
        <d v="1899-12-30T18:27:15"/>
        <d v="1899-12-30T19:45:15"/>
        <d v="1899-12-30T15:16:44"/>
        <d v="1899-12-30T16:26:40"/>
        <d v="1899-12-30T18:38:53"/>
        <d v="1899-12-30T21:55:10"/>
        <d v="1899-12-30T17:33:21"/>
        <d v="1899-12-30T03:06:11"/>
        <d v="1899-12-30T06:43:14"/>
        <d v="1899-12-30T11:45:58"/>
        <d v="1899-12-30T20:44:09"/>
        <d v="1899-12-30T00:19:21"/>
        <d v="1899-12-30T19:15:31"/>
        <d v="1899-12-30T05:09:04"/>
        <d v="1899-12-30T22:12:47"/>
        <d v="1899-12-30T00:04:19"/>
        <d v="1899-12-30T21:30:38"/>
        <d v="1899-12-30T07:32:32"/>
        <d v="1899-12-30T18:02:10"/>
        <d v="1899-12-30T16:06:01"/>
        <d v="1899-12-30T01:20:44"/>
        <d v="1899-12-30T08:41:49"/>
        <d v="1899-12-30T01:18:20"/>
        <d v="1899-12-30T02:55:15"/>
        <d v="1899-12-30T15:42:34"/>
        <d v="1899-12-30T08:34:03"/>
        <d v="1899-12-30T15:02:47"/>
        <d v="1899-12-30T07:56:41"/>
        <d v="1899-12-30T10:03:46"/>
        <d v="1899-12-30T03:47:32"/>
        <d v="1899-12-30T08:05:54"/>
        <d v="1899-12-30T02:52:53"/>
        <d v="1899-12-30T22:13:19"/>
        <d v="1899-12-30T09:53:06"/>
        <d v="1899-12-30T03:40:01"/>
        <d v="1899-12-30T22:43:03"/>
        <d v="1899-12-30T20:18:00"/>
        <d v="1899-12-30T20:40:51"/>
        <d v="1899-12-30T18:04:16"/>
        <d v="1899-12-30T08:32:18"/>
        <d v="1899-12-30T07:19:10"/>
        <d v="1899-12-30T21:31:44"/>
        <d v="1899-12-30T13:08:09"/>
        <d v="1899-12-30T19:20:35"/>
        <d v="1899-12-30T06:10:53"/>
        <d v="1899-12-30T16:19:38"/>
        <d v="1899-12-30T21:04:04"/>
        <d v="1899-12-30T16:52:26"/>
        <d v="1899-12-30T01:36:32"/>
        <d v="1899-12-30T04:33:55"/>
        <d v="1899-12-30T20:14:54"/>
        <d v="1899-12-30T19:15:27"/>
        <d v="1899-12-30T15:50:19"/>
        <d v="1899-12-30T04:12:54"/>
        <d v="1899-12-30T22:49:38"/>
        <d v="1899-12-30T22:08:32"/>
        <d v="1899-12-30T09:23:23"/>
        <d v="1899-12-30T23:49:16"/>
        <d v="1899-12-30T23:45:16"/>
        <d v="1899-12-30T04:06:00"/>
        <d v="1899-12-30T16:15:40"/>
        <d v="1899-12-30T08:26:12"/>
        <d v="1899-12-30T13:27:47"/>
        <d v="1899-12-30T10:27:02"/>
        <d v="1899-12-30T01:10:01"/>
        <d v="1899-12-30T21:17:24"/>
        <d v="1899-12-30T19:06:25"/>
        <d v="1899-12-30T08:57:28"/>
        <d v="1899-12-30T17:45:52"/>
        <d v="1899-12-30T07:41:48"/>
        <d v="1899-12-30T09:56:06"/>
        <d v="1899-12-30T19:47:59"/>
        <d v="1899-12-30T07:40:14"/>
        <d v="1899-12-30T23:52:56"/>
        <d v="1899-12-30T14:54:22"/>
        <d v="1899-12-30T00:17:26"/>
        <d v="1899-12-30T09:24:53"/>
        <d v="1899-12-30T20:26:22"/>
        <d v="1899-12-30T14:25:10"/>
        <d v="1899-12-30T07:01:44"/>
        <d v="1899-12-30T20:06:16"/>
        <d v="1899-12-30T04:12:39"/>
        <d v="1899-12-30T15:27:56"/>
        <d v="1899-12-30T05:36:11"/>
        <d v="1899-12-30T17:44:45"/>
        <d v="1899-12-30T16:25:02"/>
        <d v="1899-12-30T21:27:57"/>
        <d v="1899-12-30T19:25:25"/>
        <d v="1899-12-30T19:05:46"/>
        <d v="1899-12-30T16:20:24"/>
        <d v="1899-12-30T23:47:06"/>
        <d v="1899-12-30T01:44:08"/>
        <d v="1899-12-30T05:03:32"/>
        <d v="1899-12-30T22:29:33"/>
        <d v="1899-12-30T18:09:07"/>
        <d v="1899-12-30T19:51:26"/>
        <d v="1899-12-30T09:46:42"/>
        <d v="1899-12-30T09:10:17"/>
        <d v="1899-12-30T06:29:07"/>
        <d v="1899-12-30T21:36:19"/>
        <d v="1899-12-30T23:54:38"/>
        <d v="1899-12-30T21:38:17"/>
        <d v="1899-12-30T20:19:13"/>
        <d v="1899-12-30T04:51:11"/>
        <d v="1899-12-30T21:43:15"/>
        <d v="1899-12-30T19:08:46"/>
        <d v="1899-12-30T15:22:53"/>
        <d v="1899-12-30T01:29:19"/>
        <d v="1899-12-30T06:20:13"/>
        <d v="1899-12-30T06:36:42"/>
        <d v="1899-12-30T07:31:44"/>
        <d v="1899-12-30T09:18:44"/>
        <d v="1899-12-30T18:30:14"/>
        <d v="1899-12-30T05:43:40"/>
        <d v="1899-12-30T17:22:04"/>
        <d v="1899-12-30T06:55:24"/>
        <d v="1899-12-30T15:46:25"/>
        <d v="1899-12-30T19:41:54"/>
        <d v="1899-12-30T14:28:03"/>
        <d v="1899-12-30T06:12:03"/>
        <d v="1899-12-30T23:00:34"/>
        <d v="1899-12-30T13:06:15"/>
        <d v="1899-12-30T00:48:59"/>
        <d v="1899-12-30T14:38:51"/>
        <d v="1899-12-30T13:11:06"/>
        <d v="1899-12-30T06:06:01"/>
        <d v="1899-12-30T02:19:16"/>
        <d v="1899-12-30T05:55:48"/>
        <d v="1899-12-30T06:53:46"/>
        <d v="1899-12-30T14:42:13"/>
        <d v="1899-12-30T04:01:16"/>
        <d v="1899-12-30T00:33:26"/>
        <d v="1899-12-30T06:33:03"/>
        <d v="1899-12-30T11:43:39"/>
        <d v="1899-12-30T10:11:22"/>
        <d v="1899-12-30T12:16:00"/>
        <d v="1899-12-30T10:29:34"/>
        <d v="1899-12-30T06:26:44"/>
        <d v="1899-12-30T18:40:23"/>
        <d v="1899-12-30T16:30:19"/>
        <d v="1899-12-30T12:42:01"/>
        <d v="1899-12-30T19:13:11"/>
        <d v="1899-12-30T08:11:07"/>
        <d v="1899-12-30T00:17:58"/>
        <d v="1899-12-30T01:08:25"/>
        <d v="1899-12-30T08:09:48"/>
        <d v="1899-12-30T12:20:43"/>
        <d v="1899-12-30T10:54:02"/>
        <d v="1899-12-30T19:56:17"/>
        <d v="1899-12-30T21:15:48"/>
        <d v="1899-12-30T08:04:09"/>
        <d v="1899-12-30T19:01:28"/>
        <d v="1899-12-30T18:01:18"/>
        <d v="1899-12-30T14:10:15"/>
        <d v="1899-12-30T18:44:37"/>
        <d v="1899-12-30T02:39:37"/>
        <d v="1899-12-30T12:50:10"/>
        <d v="1899-12-30T14:17:08"/>
        <d v="1899-12-30T14:49:30"/>
        <d v="1899-12-30T19:03:12"/>
        <d v="1899-12-30T06:54:24"/>
        <d v="1899-12-30T02:41:00"/>
        <d v="1899-12-30T04:20:28"/>
        <d v="1899-12-30T18:53:06"/>
        <d v="1899-12-30T18:47:07"/>
        <d v="1899-12-30T06:01:04"/>
        <d v="1899-12-30T11:25:48"/>
        <d v="1899-12-30T04:50:32"/>
        <d v="1899-12-30T04:57:48"/>
        <d v="1899-12-30T06:45:04"/>
        <d v="1899-12-30T11:18:23"/>
        <d v="1899-12-30T11:27:26"/>
        <d v="1899-12-30T21:18:58"/>
        <d v="1899-12-30T00:08:32"/>
        <d v="1899-12-30T23:20:35"/>
        <d v="1899-12-30T23:18:25"/>
        <d v="1899-12-30T20:21:33"/>
        <d v="1899-12-30T01:34:31"/>
        <d v="1899-12-30T08:15:51"/>
        <d v="1899-12-30T06:39:19"/>
        <d v="1899-12-30T16:22:35"/>
        <d v="1899-12-30T07:45:36"/>
        <d v="1899-12-30T14:25:51"/>
        <d v="1899-12-30T13:53:46"/>
        <d v="1899-12-30T09:32:16"/>
        <d v="1899-12-30T11:18:19"/>
        <d v="1899-12-30T21:29:37"/>
        <d v="1899-12-30T01:05:19"/>
        <d v="1899-12-30T12:09:59"/>
        <d v="1899-12-30T06:17:04"/>
        <d v="1899-12-30T09:15:45"/>
        <d v="1899-12-30T22:59:37"/>
        <d v="1899-12-30T04:19:41"/>
        <d v="1899-12-30T12:21:12"/>
        <d v="1899-12-30T13:56:19"/>
        <d v="1899-12-30T07:02:28"/>
        <d v="1899-12-30T11:32:28"/>
        <d v="1899-12-30T05:37:57"/>
        <d v="1899-12-30T07:26:08"/>
        <d v="1899-12-30T06:56:54"/>
        <d v="1899-12-30T07:11:56"/>
        <d v="1899-12-30T23:08:45"/>
        <d v="1899-12-30T15:34:30"/>
        <d v="1899-12-30T01:53:58"/>
        <d v="1899-12-30T14:47:52"/>
        <d v="1899-12-30T12:47:16"/>
        <d v="1899-12-30T16:45:42"/>
        <d v="1899-12-30T03:08:23"/>
        <d v="1899-12-30T03:22:11"/>
        <d v="1899-12-30T07:52:10"/>
        <d v="1899-12-30T21:24:13"/>
        <d v="1899-12-30T16:06:18"/>
        <d v="1899-12-30T04:22:38"/>
        <d v="1899-12-30T13:13:58"/>
        <d v="1899-12-30T03:47:25"/>
        <d v="1899-12-30T22:32:16"/>
        <d v="1899-12-30T15:19:00"/>
        <d v="1899-12-30T19:14:18"/>
        <d v="1899-12-30T01:30:22"/>
        <d v="1899-12-30T00:24:23"/>
        <d v="1899-12-30T08:41:28"/>
        <d v="1899-12-30T22:58:35"/>
        <d v="1899-12-30T05:32:52"/>
        <d v="1899-12-30T06:48:53"/>
        <d v="1899-12-30T22:11:01"/>
        <d v="1899-12-30T08:14:23"/>
        <d v="1899-12-30T23:33:10"/>
        <d v="1899-12-30T06:32:05"/>
        <d v="1899-12-30T22:14:16"/>
        <d v="1899-12-30T21:32:47"/>
        <d v="1899-12-30T08:02:40"/>
        <d v="1899-12-30T20:51:34"/>
        <d v="1899-12-30T14:41:56"/>
        <d v="1899-12-30T16:21:52"/>
        <d v="1899-12-30T18:05:23"/>
        <d v="1899-12-30T13:40:34"/>
        <d v="1899-12-30T03:54:44"/>
        <d v="1899-12-30T09:46:49"/>
        <d v="1899-12-30T00:47:43"/>
        <d v="1899-12-30T11:27:24"/>
        <d v="1899-12-30T23:59:43"/>
        <d v="1899-12-30T04:59:09"/>
        <d v="1899-12-30T15:55:07"/>
        <d v="1899-12-30T15:50:56"/>
        <d v="1899-12-30T09:55:33"/>
        <d v="1899-12-30T04:53:22"/>
        <d v="1899-12-30T10:29:21"/>
        <d v="1899-12-30T04:50:50"/>
        <d v="1899-12-30T14:55:47"/>
        <d v="1899-12-30T12:37:53"/>
        <d v="1899-12-30T15:25:06"/>
        <d v="1899-12-30T04:41:54"/>
        <d v="1899-12-30T03:55:59"/>
        <d v="1899-12-30T06:49:43"/>
        <d v="1899-12-30T03:49:17"/>
        <d v="1899-12-30T01:21:24"/>
        <d v="1899-12-30T02:15:21"/>
        <d v="1899-12-30T13:58:35"/>
        <d v="1899-12-30T15:53:00"/>
        <d v="1899-12-30T11:28:32"/>
        <d v="1899-12-30T08:18:20"/>
        <d v="1899-12-30T15:27:25"/>
        <d v="1899-12-30T05:57:50"/>
        <d v="1899-12-30T06:51:30"/>
        <d v="1899-12-30T18:50:35"/>
        <d v="1899-12-30T13:10:43"/>
        <d v="1899-12-30T19:32:57"/>
        <d v="1899-12-30T09:35:43"/>
        <d v="1899-12-30T13:27:42"/>
        <d v="1899-12-30T22:40:21"/>
        <d v="1899-12-30T06:01:38"/>
        <d v="1899-12-30T05:26:16"/>
        <d v="1899-12-30T08:39:50"/>
        <d v="1899-12-30T21:07:25"/>
        <d v="1899-12-30T15:23:18"/>
        <d v="1899-12-30T01:59:58"/>
        <d v="1899-12-30T03:38:53"/>
        <d v="1899-12-30T20:42:22"/>
        <d v="1899-12-30T19:59:28"/>
        <d v="1899-12-30T16:23:38"/>
        <d v="1899-12-30T14:31:12"/>
        <d v="1899-12-30T13:34:10"/>
        <d v="1899-12-30T14:48:44"/>
        <d v="1899-12-30T12:52:16"/>
        <d v="1899-12-30T16:46:20"/>
        <d v="1899-12-30T15:45:55"/>
        <d v="1899-12-30T09:13:07"/>
        <d v="1899-12-30T05:29:14"/>
        <d v="1899-12-30T08:27:43"/>
        <d v="1899-12-30T20:13:31"/>
        <d v="1899-12-30T07:28:57"/>
        <d v="1899-12-30T01:53:34"/>
        <d v="1899-12-30T02:05:18"/>
        <d v="1899-12-30T21:47:57"/>
        <d v="1899-12-30T03:42:07"/>
        <d v="1899-12-30T22:34:30"/>
        <d v="1899-12-30T21:54:08"/>
        <d v="1899-12-30T23:15:07"/>
        <d v="1899-12-30T07:02:24"/>
        <d v="1899-12-30T12:23:37"/>
        <d v="1899-12-30T04:31:15"/>
        <d v="1899-12-30T01:17:39"/>
        <d v="1899-12-30T22:57:24"/>
        <d v="1899-12-30T05:42:55"/>
        <d v="1899-12-30T09:15:22"/>
        <d v="1899-12-30T16:34:46"/>
        <d v="1899-12-30T02:10:15"/>
        <d v="1899-12-30T09:38:28"/>
        <d v="1899-12-30T20:13:22"/>
        <d v="1899-12-30T03:22:38"/>
        <d v="1899-12-30T12:28:29"/>
        <d v="1899-12-30T09:33:35"/>
        <d v="1899-12-30T03:33:42"/>
        <d v="1899-12-30T15:35:43"/>
        <d v="1899-12-30T17:35:54"/>
        <d v="1899-12-30T02:22:36"/>
        <d v="1899-12-30T21:15:37"/>
        <d v="1899-12-30T06:28:12"/>
        <d v="1899-12-30T10:33:55"/>
        <d v="1899-12-30T03:13:49"/>
        <d v="1899-12-30T10:35:37"/>
        <d v="1899-12-30T05:40:17"/>
        <d v="1899-12-30T06:45:02"/>
        <d v="1899-12-30T17:51:12"/>
        <d v="1899-12-30T17:25:27"/>
        <d v="1899-12-30T01:52:46"/>
        <d v="1899-12-30T01:48:14"/>
        <d v="1899-12-30T09:47:26"/>
        <d v="1899-12-30T01:25:14"/>
        <d v="1899-12-30T12:53:45"/>
        <d v="1899-12-30T19:17:33"/>
        <d v="1899-12-30T10:59:57"/>
        <d v="1899-12-30T09:24:13"/>
        <d v="1899-12-30T21:28:43"/>
        <d v="1899-12-30T04:24:27"/>
        <d v="1899-12-30T06:34:22"/>
        <d v="1899-12-30T02:17:34"/>
        <d v="1899-12-30T21:14:11"/>
        <d v="1899-12-30T05:27:35"/>
        <d v="1899-12-30T08:07:46"/>
        <d v="1899-12-30T05:15:17"/>
        <d v="1899-12-30T00:44:38"/>
        <d v="1899-12-30T07:51:36"/>
        <d v="1899-12-30T02:52:11"/>
        <d v="1899-12-30T23:33:34"/>
        <d v="1899-12-30T20:55:25"/>
        <d v="1899-12-30T15:54:13"/>
        <d v="1899-12-30T03:58:05"/>
        <d v="1899-12-30T10:48:57"/>
        <d v="1899-12-30T19:20:10"/>
        <d v="1899-12-30T08:49:51"/>
        <d v="1899-12-30T08:04:18"/>
        <d v="1899-12-30T09:37:26"/>
        <d v="1899-12-30T10:13:28"/>
        <d v="1899-12-30T11:36:32"/>
        <d v="1899-12-30T18:06:05"/>
        <d v="1899-12-30T18:23:05"/>
        <d v="1899-12-30T01:47:36"/>
        <d v="1899-12-30T14:55:26"/>
        <d v="1899-12-30T16:35:36"/>
        <d v="1899-12-30T05:53:29"/>
        <d v="1899-12-30T10:17:38"/>
        <d v="1899-12-30T11:08:29"/>
        <d v="1899-12-30T06:10:24"/>
        <d v="1899-12-30T21:26:46"/>
        <d v="1899-12-30T21:55:40"/>
        <d v="1899-12-30T13:58:03"/>
        <d v="1899-12-30T01:22:36"/>
        <d v="1899-12-30T02:10:06"/>
        <d v="1899-12-30T08:01:18"/>
        <d v="1899-12-30T11:25:24"/>
        <d v="1899-12-30T19:34:05"/>
        <d v="1899-12-30T13:55:00"/>
        <d v="1899-12-30T23:22:01"/>
        <d v="1899-12-30T12:30:36"/>
        <d v="1899-12-30T19:25:53"/>
        <d v="1899-12-30T01:02:45"/>
        <d v="1899-12-30T11:03:17"/>
        <d v="1899-12-30T23:56:57"/>
        <d v="1899-12-30T09:49:57"/>
        <d v="1899-12-30T15:11:59"/>
        <d v="1899-12-30T19:32:08"/>
        <d v="1899-12-30T04:23:51"/>
        <d v="1899-12-30T17:36:52"/>
        <d v="1899-12-30T06:18:42"/>
        <d v="1899-12-30T04:11:45"/>
        <d v="1899-12-30T05:56:58"/>
        <d v="1899-12-30T23:08:06"/>
        <d v="1899-12-30T03:19:48"/>
        <d v="1899-12-30T17:12:15"/>
        <d v="1899-12-30T11:14:03"/>
        <d v="1899-12-30T06:06:51"/>
        <d v="1899-12-30T09:57:25"/>
        <d v="1899-12-30T10:56:32"/>
        <d v="1899-12-30T21:45:17"/>
        <d v="1899-12-30T10:25:30"/>
        <d v="1899-12-30T00:15:21"/>
        <d v="1899-12-30T23:29:24"/>
        <d v="1899-12-30T09:33:48"/>
        <d v="1899-12-30T17:37:24"/>
        <d v="1899-12-30T12:10:24"/>
        <d v="1899-12-30T15:27:12"/>
        <d v="1899-12-30T19:21:51"/>
        <d v="1899-12-30T19:48:41"/>
        <d v="1899-12-30T10:56:52"/>
        <d v="1899-12-30T02:55:54"/>
        <d v="1899-12-30T14:23:58"/>
        <d v="1899-12-30T13:55:22"/>
        <d v="1899-12-30T14:56:36"/>
        <d v="1899-12-30T02:13:54"/>
        <d v="1899-12-30T17:10:24"/>
        <d v="1899-12-30T16:27:35"/>
        <d v="1899-12-30T23:00:00"/>
        <d v="1899-12-30T11:31:15"/>
        <d v="1899-12-30T13:34:08"/>
        <d v="1899-12-30T14:24:13"/>
        <d v="1899-12-30T11:18:49"/>
        <d v="1899-12-30T01:14:11"/>
        <d v="1899-12-30T07:37:16"/>
        <d v="1899-12-30T10:37:10"/>
        <d v="1899-12-30T08:33:38"/>
        <d v="1899-12-30T01:50:17"/>
        <d v="1899-12-30T20:16:27"/>
        <d v="1899-12-30T15:22:11"/>
        <d v="1899-12-30T04:29:03"/>
        <d v="1899-12-30T18:16:28"/>
        <d v="1899-12-30T12:48:23"/>
        <d v="1899-12-30T09:31:41"/>
        <d v="1899-12-30T18:50:25"/>
        <d v="1899-12-30T21:10:20"/>
        <d v="1899-12-30T13:46:10"/>
        <d v="1899-12-30T19:06:32"/>
        <d v="1899-12-30T17:57:44"/>
        <d v="1899-12-30T10:05:35"/>
        <d v="1899-12-30T04:36:10"/>
        <d v="1899-12-30T21:41:59"/>
        <d v="1899-12-30T18:29:01"/>
        <d v="1899-12-30T09:59:33"/>
        <d v="1899-12-30T13:36:57"/>
        <d v="1899-12-30T11:20:22"/>
        <d v="1899-12-30T05:03:51"/>
        <d v="1899-12-30T13:50:10"/>
        <d v="1899-12-30T23:59:18"/>
        <d v="1899-12-30T22:00:34"/>
        <d v="1899-12-30T19:37:49"/>
        <d v="1899-12-30T22:51:15"/>
        <d v="1899-12-30T15:41:52"/>
        <d v="1899-12-30T16:11:23"/>
        <d v="1899-12-30T02:04:09"/>
        <d v="1899-12-30T23:09:54"/>
        <d v="1899-12-30T14:45:25"/>
        <d v="1899-12-30T09:41:15"/>
        <d v="1899-12-30T18:37:39"/>
        <d v="1899-12-30T02:48:55"/>
        <d v="1899-12-30T21:17:53"/>
        <d v="1899-12-30T07:53:59"/>
        <d v="1899-12-30T18:03:37"/>
        <d v="1899-12-30T07:15:01"/>
        <d v="1899-12-30T17:07:24"/>
        <d v="1899-12-30T11:49:43"/>
        <d v="1899-12-30T23:51:36"/>
        <d v="1899-12-30T22:45:39"/>
        <d v="1899-12-30T03:29:13"/>
        <d v="1899-12-30T06:06:00"/>
        <d v="1899-12-30T02:24:48"/>
        <d v="1899-12-30T03:13:32"/>
        <d v="1899-12-30T03:42:26"/>
        <d v="1899-12-30T09:52:10"/>
        <d v="1899-12-30T08:01:09"/>
        <d v="1899-12-30T18:48:04"/>
        <d v="1899-12-30T11:47:32"/>
        <d v="1899-12-30T22:24:14"/>
        <d v="1899-12-30T20:08:03"/>
        <d v="1899-12-30T15:35:50"/>
        <d v="1899-12-30T03:59:30"/>
        <d v="1899-12-30T09:47:22"/>
        <d v="1899-12-30T10:17:43"/>
        <d v="1899-12-30T12:35:50"/>
        <d v="1899-12-30T22:03:30"/>
        <d v="1899-12-30T11:01:46"/>
        <d v="1899-12-30T23:26:13"/>
        <d v="1899-12-30T01:46:22"/>
        <d v="1899-12-30T07:37:43"/>
        <d v="1899-12-30T12:13:02"/>
        <d v="1899-12-30T20:55:40"/>
        <d v="1899-12-30T20:53:23"/>
        <d v="1899-12-30T14:27:00"/>
        <d v="1899-12-30T16:40:38"/>
        <d v="1899-12-30T12:13:53"/>
        <d v="1899-12-30T13:44:50"/>
        <d v="1899-12-30T02:09:34"/>
        <d v="1899-12-30T21:08:08"/>
        <d v="1899-12-30T04:35:39"/>
        <d v="1899-12-30T01:06:47"/>
        <d v="1899-12-30T19:19:25"/>
        <d v="1899-12-30T09:25:35"/>
        <d v="1899-12-30T15:16:28"/>
        <d v="1899-12-30T23:37:12"/>
        <d v="1899-12-30T13:15:52"/>
        <d v="1899-12-30T14:22:09"/>
        <d v="1899-12-30T18:03:36"/>
        <d v="1899-12-30T17:08:22"/>
        <d v="1899-12-30T06:14:05"/>
        <d v="1899-12-30T22:57:25"/>
        <d v="1899-12-30T03:46:58"/>
        <d v="1899-12-30T11:20:47"/>
        <d v="1899-12-30T17:28:43"/>
        <d v="1899-12-30T06:48:09"/>
        <d v="1899-12-30T04:29:43"/>
        <d v="1899-12-30T13:05:18"/>
        <d v="1899-12-30T15:14:28"/>
        <d v="1899-12-30T19:55:59"/>
        <d v="1899-12-30T13:01:26"/>
        <d v="1899-12-30T03:58:59"/>
        <d v="1899-12-30T22:46:54"/>
        <d v="1899-12-30T10:39:51"/>
        <d v="1899-12-30T17:41:23"/>
        <d v="1899-12-30T19:36:06"/>
        <d v="1899-12-30T13:07:17"/>
        <d v="1899-12-30T04:16:14"/>
        <d v="1899-12-30T07:02:42"/>
        <d v="1899-12-30T21:17:34"/>
        <d v="1899-12-30T07:32:30"/>
        <d v="1899-12-30T15:27:21"/>
        <d v="1899-12-30T04:50:25"/>
        <d v="1899-12-30T18:41:44"/>
        <d v="1899-12-30T07:31:07"/>
        <d v="1899-12-30T11:20:39"/>
        <d v="1899-12-30T02:45:32"/>
        <d v="1899-12-30T11:18:12"/>
        <d v="1899-12-30T19:27:07"/>
        <d v="1899-12-30T16:36:48"/>
        <d v="1899-12-30T23:55:40"/>
        <d v="1899-12-30T03:50:45"/>
        <d v="1899-12-30T21:03:35"/>
        <d v="1899-12-30T00:11:05"/>
        <d v="1899-12-30T14:34:26"/>
        <d v="1899-12-30T09:44:26"/>
        <d v="1899-12-30T14:58:19"/>
        <d v="1899-12-30T00:24:04"/>
        <d v="1899-12-30T16:15:47"/>
        <d v="1899-12-30T03:56:34"/>
        <d v="1899-12-30T03:28:24"/>
        <d v="1899-12-30T23:20:43"/>
        <d v="1899-12-30T20:49:00"/>
        <d v="1899-12-30T12:09:31"/>
        <d v="1899-12-30T20:07:29"/>
        <d v="1899-12-30T19:21:55"/>
        <d v="1899-12-30T20:27:14"/>
        <d v="1899-12-30T15:41:46"/>
        <d v="1899-12-30T19:49:23"/>
        <d v="1899-12-30T00:35:34"/>
        <d v="1899-12-30T15:28:19"/>
        <d v="1899-12-30T07:35:17"/>
        <d v="1899-12-30T10:11:13"/>
        <d v="1899-12-30T03:46:50"/>
        <d v="1899-12-30T18:37:53"/>
        <d v="1899-12-30T21:26:55"/>
        <d v="1899-12-30T20:12:01"/>
        <d v="1899-12-30T09:05:33"/>
        <d v="1899-12-30T22:38:26"/>
        <d v="1899-12-30T09:21:03"/>
        <d v="1899-12-30T20:55:11"/>
        <d v="1899-12-30T23:09:22"/>
        <d v="1899-12-30T02:23:27"/>
        <d v="1899-12-30T22:02:39"/>
        <d v="1899-12-30T00:15:38"/>
        <d v="1899-12-30T14:42:18"/>
        <d v="1899-12-30T16:00:21"/>
        <d v="1899-12-30T06:21:39"/>
        <d v="1899-12-30T11:41:17"/>
        <d v="1899-12-30T19:53:35"/>
        <d v="1899-12-30T21:42:08"/>
        <d v="1899-12-30T23:15:49"/>
        <d v="1899-12-30T17:22:35"/>
        <d v="1899-12-30T06:36:59"/>
        <d v="1899-12-30T06:36:45"/>
        <d v="1899-12-30T06:15:16"/>
        <d v="1899-12-30T04:20:35"/>
        <d v="1899-12-30T07:22:18"/>
        <d v="1899-12-30T21:20:41"/>
        <d v="1899-12-30T23:11:51"/>
        <d v="1899-12-30T07:27:03"/>
        <d v="1899-12-30T21:04:36"/>
        <d v="1899-12-30T23:35:45"/>
        <d v="1899-12-30T07:49:35"/>
        <d v="1899-12-30T19:31:22"/>
        <d v="1899-12-30T12:50:24"/>
        <d v="1899-12-30T21:26:31"/>
        <d v="1899-12-30T17:50:22"/>
        <d v="1899-12-30T11:08:36"/>
        <d v="1899-12-30T10:11:48"/>
        <d v="1899-12-30T07:59:12"/>
        <d v="1899-12-30T05:45:55"/>
        <d v="1899-12-30T00:48:30"/>
        <d v="1899-12-30T17:01:17"/>
        <d v="1899-12-30T09:58:12"/>
        <d v="1899-12-30T10:40:34"/>
        <d v="1899-12-30T15:49:13"/>
        <d v="1899-12-30T19:40:54"/>
        <d v="1899-12-30T03:26:10"/>
        <d v="1899-12-30T05:16:02"/>
        <d v="1899-12-30T06:08:03"/>
        <d v="1899-12-30T12:37:18"/>
        <d v="1899-12-30T23:25:37"/>
        <d v="1899-12-30T05:17:42"/>
        <d v="1899-12-30T10:25:25"/>
        <d v="1899-12-30T20:25:04"/>
        <d v="1899-12-30T16:21:13"/>
        <d v="1899-12-30T01:00:48"/>
        <d v="1899-12-30T01:52:14"/>
        <d v="1899-12-30T05:54:08"/>
        <d v="1899-12-30T12:13:45"/>
        <d v="1899-12-30T23:50:41"/>
        <d v="1899-12-30T10:48:32"/>
        <d v="1899-12-30T10:47:40"/>
        <d v="1899-12-30T18:30:13"/>
        <d v="1899-12-30T21:19:15"/>
        <d v="1899-12-30T13:21:03"/>
        <d v="1899-12-30T19:48:22"/>
        <d v="1899-12-30T12:41:37"/>
        <d v="1899-12-30T04:27:05"/>
        <d v="1899-12-30T10:07:52"/>
        <d v="1899-12-30T18:38:13"/>
        <d v="1899-12-30T04:51:53"/>
        <d v="1899-12-30T03:17:57"/>
        <d v="1899-12-30T15:44:01"/>
        <d v="1899-12-30T13:18:52"/>
        <d v="1899-12-30T12:58:03"/>
        <d v="1899-12-30T08:05:10"/>
        <d v="1899-12-30T15:04:20"/>
        <d v="1899-12-30T10:58:24"/>
        <d v="1899-12-30T16:56:48"/>
        <d v="1899-12-30T10:07:07"/>
        <d v="1899-12-30T22:23:29"/>
        <d v="1899-12-30T12:57:52"/>
        <d v="1899-12-30T13:01:09"/>
        <d v="1899-12-30T10:09:46"/>
        <d v="1899-12-30T15:45:59"/>
        <d v="1899-12-30T05:22:01"/>
        <d v="1899-12-30T03:58:23"/>
        <d v="1899-12-30T07:43:31"/>
        <d v="1899-12-30T12:12:20"/>
        <d v="1899-12-30T00:48:21"/>
        <d v="1899-12-30T20:14:22"/>
        <d v="1899-12-30T01:02:32"/>
        <d v="1899-12-30T17:29:13"/>
        <d v="1899-12-30T16:21:18"/>
        <d v="1899-12-30T12:21:30"/>
        <d v="1899-12-30T03:56:57"/>
        <d v="1899-12-30T09:54:37"/>
        <d v="1899-12-30T22:58:03"/>
        <d v="1899-12-30T17:08:02"/>
        <d v="1899-12-30T05:20:35"/>
        <d v="1899-12-30T17:10:13"/>
        <d v="1899-12-30T17:12:27"/>
        <d v="1899-12-30T08:03:43"/>
        <d v="1899-12-30T13:51:32"/>
        <d v="1899-12-30T14:59:15"/>
        <d v="1899-12-30T09:05:15"/>
        <d v="1899-12-30T12:48:48"/>
        <d v="1899-12-30T18:43:19"/>
        <d v="1899-12-30T02:11:06"/>
        <d v="1899-12-30T06:15:02"/>
        <d v="1899-12-30T13:03:35"/>
        <d v="1899-12-30T13:49:43"/>
        <d v="1899-12-30T15:10:18"/>
        <d v="1899-12-30T18:18:25"/>
        <d v="1899-12-30T10:24:10"/>
        <d v="1899-12-30T04:45:54"/>
        <d v="1899-12-30T05:19:29"/>
        <d v="1899-12-30T11:31:34"/>
        <d v="1899-12-30T20:36:04"/>
        <d v="1899-12-30T20:26:07"/>
        <d v="1899-12-30T01:11:45"/>
        <d v="1899-12-30T01:59:50"/>
        <d v="1899-12-30T02:19:54"/>
        <d v="1899-12-30T20:33:29"/>
        <d v="1899-12-30T07:16:20"/>
        <d v="1899-12-30T06:06:23"/>
        <d v="1899-12-30T01:47:03"/>
        <d v="1899-12-30T22:28:53"/>
        <d v="1899-12-30T21:55:57"/>
        <d v="1899-12-30T08:39:42"/>
        <d v="1899-12-30T07:54:22"/>
        <d v="1899-12-30T22:24:53"/>
        <d v="1899-12-30T05:21:52"/>
        <d v="1899-12-30T09:58:39"/>
        <d v="1899-12-30T17:59:45"/>
        <d v="1899-12-30T16:59:25"/>
        <d v="1899-12-30T03:43:27"/>
        <d v="1899-12-30T12:09:17"/>
        <d v="1899-12-30T17:06:20"/>
        <d v="1899-12-30T08:08:52"/>
        <d v="1899-12-30T21:16:11"/>
        <d v="1899-12-30T17:26:33"/>
        <d v="1899-12-30T09:51:57"/>
        <d v="1899-12-30T15:07:03"/>
        <d v="1899-12-30T19:59:05"/>
        <d v="1899-12-30T10:12:27"/>
        <d v="1899-12-30T13:26:42"/>
        <d v="1899-12-30T02:38:31"/>
        <d v="1899-12-30T05:58:55"/>
        <d v="1899-12-30T20:15:29"/>
        <d v="1899-12-30T02:44:37"/>
        <d v="1899-12-30T18:15:58"/>
        <d v="1899-12-30T11:50:25"/>
        <d v="1899-12-30T16:53:04"/>
        <d v="1899-12-30T05:52:53"/>
        <d v="1899-12-30T04:03:37"/>
        <d v="1899-12-30T05:51:30"/>
        <d v="1899-12-30T07:06:21"/>
        <d v="1899-12-30T21:11:34"/>
        <d v="1899-12-30T20:20:51"/>
        <d v="1899-12-30T04:48:07"/>
        <d v="1899-12-30T05:27:29"/>
        <d v="1899-12-30T14:51:37"/>
        <d v="1899-12-30T19:25:34"/>
        <d v="1899-12-30T06:34:49"/>
        <d v="1899-12-30T04:03:51"/>
        <d v="1899-12-30T11:10:45"/>
        <d v="1899-12-30T13:22:25"/>
        <d v="1899-12-30T01:24:57"/>
        <d v="1899-12-30T14:21:46"/>
        <d v="1899-12-30T23:38:16"/>
        <d v="1899-12-30T23:33:49"/>
        <d v="1899-12-30T18:28:25"/>
        <d v="1899-12-30T15:41:36"/>
        <d v="1899-12-30T03:11:14"/>
        <d v="1899-12-30T12:56:28"/>
        <d v="1899-12-30T05:53:05"/>
        <d v="1899-12-30T11:57:44"/>
        <d v="1899-12-30T21:20:27"/>
        <d v="1899-12-30T21:38:32"/>
        <d v="1899-12-30T15:37:37"/>
        <d v="1899-12-30T07:48:00"/>
        <d v="1899-12-30T01:02:47"/>
        <d v="1899-12-30T01:36:06"/>
        <d v="1899-12-30T18:12:53"/>
        <d v="1899-12-30T02:02:46"/>
        <d v="1899-12-30T20:23:37"/>
        <d v="1899-12-30T00:01:59"/>
        <d v="1899-12-30T20:55:06"/>
        <d v="1899-12-30T08:09:14"/>
        <d v="1899-12-30T18:05:35"/>
        <d v="1899-12-30T16:28:33"/>
        <d v="1899-12-30T09:04:38"/>
        <d v="1899-12-30T05:47:40"/>
        <d v="1899-12-30T22:41:56"/>
        <d v="1899-12-30T19:43:49"/>
        <d v="1899-12-30T04:09:44"/>
        <d v="1899-12-30T15:21:46"/>
        <d v="1899-12-30T20:39:02"/>
        <d v="1899-12-30T06:10:43"/>
        <d v="1899-12-30T00:26:22"/>
        <d v="1899-12-30T08:11:47"/>
        <d v="1899-12-30T10:16:49"/>
        <d v="1899-12-30T17:47:35"/>
        <d v="1899-12-30T23:47:23"/>
        <d v="1899-12-30T13:53:25"/>
        <d v="1899-12-30T23:29:22"/>
        <d v="1899-12-30T14:43:13"/>
        <d v="1899-12-30T11:06:08"/>
        <d v="1899-12-30T07:23:01"/>
        <d v="1899-12-30T01:29:25"/>
        <d v="1899-12-30T14:38:00"/>
        <d v="1899-12-30T07:28:12"/>
        <d v="1899-12-30T21:43:18"/>
        <d v="1899-12-30T00:25:44"/>
        <d v="1899-12-30T11:21:03"/>
        <d v="1899-12-30T01:59:19"/>
        <d v="1899-12-30T18:33:26"/>
        <d v="1899-12-30T15:38:59"/>
        <d v="1899-12-30T11:29:38"/>
        <d v="1899-12-30T17:50:59"/>
        <d v="1899-12-30T04:59:19"/>
        <d v="1899-12-30T16:42:39"/>
        <d v="1899-12-30T14:14:34"/>
        <d v="1899-12-30T15:52:52"/>
        <d v="1899-12-30T03:44:59"/>
        <d v="1899-12-30T15:38:39"/>
        <d v="1899-12-30T10:08:02"/>
        <d v="1899-12-30T15:08:15"/>
        <d v="1899-12-30T07:27:36"/>
        <d v="1899-12-30T03:54:30"/>
        <d v="1899-12-30T14:49:13"/>
        <d v="1899-12-30T20:59:32"/>
        <d v="1899-12-30T17:31:17"/>
        <d v="1899-12-30T06:43:52"/>
        <d v="1899-12-30T18:03:18"/>
        <d v="1899-12-30T04:32:52"/>
        <d v="1899-12-30T17:01:02"/>
        <d v="1899-12-30T12:21:14"/>
        <d v="1899-12-30T02:56:06"/>
        <d v="1899-12-30T16:48:41"/>
        <d v="1899-12-30T16:00:01"/>
        <d v="1899-12-30T12:16:07"/>
        <d v="1899-12-30T06:30:50"/>
        <d v="1899-12-30T12:50:54"/>
        <d v="1899-12-30T00:45:41"/>
        <d v="1899-12-30T14:46:32"/>
        <d v="1899-12-30T15:59:47"/>
        <d v="1899-12-30T02:53:03"/>
        <d v="1899-12-30T07:13:36"/>
        <d v="1899-12-30T13:33:49"/>
        <d v="1899-12-30T22:17:11"/>
        <d v="1899-12-30T18:58:00"/>
        <d v="1899-12-30T02:43:06"/>
        <d v="1899-12-30T11:26:08"/>
        <d v="1899-12-30T12:55:41"/>
        <d v="1899-12-30T21:05:41"/>
        <d v="1899-12-30T04:23:43"/>
        <d v="1899-12-30T19:22:37"/>
        <d v="1899-12-30T21:53:36"/>
        <d v="1899-12-30T08:29:01"/>
        <d v="1899-12-30T05:38:39"/>
        <d v="1899-12-30T10:20:03"/>
        <d v="1899-12-30T12:39:49"/>
        <d v="1899-12-30T23:10:34"/>
        <d v="1899-12-30T14:56:40"/>
        <d v="1899-12-30T01:14:22"/>
        <d v="1899-12-30T20:39:35"/>
        <d v="1899-12-30T00:27:21"/>
        <d v="1899-12-30T05:27:05"/>
        <d v="1899-12-30T13:37:48"/>
        <d v="1899-12-30T09:08:43"/>
        <d v="1899-12-30T00:15:07"/>
        <d v="1899-12-30T08:08:12"/>
        <d v="1899-12-30T12:19:25"/>
        <d v="1899-12-30T03:37:18"/>
        <d v="1899-12-30T11:03:25"/>
        <d v="1899-12-30T18:20:58"/>
        <d v="1899-12-30T17:45:42"/>
        <d v="1899-12-30T02:48:41"/>
        <d v="1899-12-30T12:59:16"/>
        <d v="1899-12-30T04:26:04"/>
        <d v="1899-12-30T02:34:45"/>
        <d v="1899-12-30T01:09:39"/>
        <d v="1899-12-30T20:52:25"/>
        <d v="1899-12-30T19:37:14"/>
        <d v="1899-12-30T08:19:31"/>
        <d v="1899-12-30T08:17:54"/>
        <d v="1899-12-30T13:51:49"/>
        <d v="1899-12-30T06:14:07"/>
        <d v="1899-12-30T17:24:25"/>
        <d v="1899-12-30T06:12:05"/>
        <d v="1899-12-30T16:42:41"/>
        <d v="1899-12-30T13:15:03"/>
        <d v="1899-12-30T13:10:03"/>
        <d v="1899-12-30T11:37:01"/>
        <d v="1899-12-30T18:00:20"/>
        <d v="1899-12-30T15:16:45"/>
        <d v="1899-12-30T15:24:14"/>
        <d v="1899-12-30T05:33:07"/>
        <d v="1899-12-30T21:38:36"/>
        <d v="1899-12-30T03:55:40"/>
        <d v="1899-12-30T05:25:58"/>
        <d v="1899-12-30T20:14:36"/>
        <d v="1899-12-30T19:22:46"/>
        <d v="1899-12-30T00:43:58"/>
        <d v="1899-12-30T18:45:32"/>
        <d v="1899-12-30T22:33:40"/>
        <d v="1899-12-30T13:21:46"/>
        <d v="1899-12-30T08:05:30"/>
        <d v="1899-12-30T04:27:33"/>
        <d v="1899-12-30T09:32:50"/>
        <d v="1899-12-30T06:02:42"/>
        <d v="1899-12-30T05:16:58"/>
        <d v="1899-12-30T16:57:01"/>
        <d v="1899-12-30T02:20:44"/>
        <d v="1899-12-30T16:49:34"/>
        <d v="1899-12-30T07:26:46"/>
        <d v="1899-12-30T17:14:51"/>
        <d v="1899-12-30T14:36:47"/>
        <d v="1899-12-30T10:10:37"/>
        <d v="1899-12-30T22:10:54"/>
        <d v="1899-12-30T17:01:09"/>
        <d v="1899-12-30T18:36:38"/>
        <d v="1899-12-30T15:31:42"/>
        <d v="1899-12-30T17:34:22"/>
        <d v="1899-12-30T16:26:58"/>
        <d v="1899-12-30T10:26:06"/>
        <d v="1899-12-30T21:18:52"/>
        <d v="1899-12-30T08:11:16"/>
        <d v="1899-12-30T22:12:06"/>
        <d v="1899-12-30T21:49:02"/>
        <d v="1899-12-30T10:41:23"/>
        <d v="1899-12-30T05:27:08"/>
        <d v="1899-12-30T12:39:51"/>
        <d v="1899-12-30T15:02:19"/>
        <d v="1899-12-30T20:59:52"/>
        <d v="1899-12-30T02:47:47"/>
        <d v="1899-12-30T11:37:21"/>
        <d v="1899-12-30T14:45:26"/>
        <d v="1899-12-30T23:35:29"/>
        <d v="1899-12-30T10:11:07"/>
        <d v="1899-12-30T12:56:05"/>
        <d v="1899-12-30T13:01:32"/>
        <d v="1899-12-30T02:48:45"/>
        <d v="1899-12-30T21:02:00"/>
        <d v="1899-12-30T09:11:35"/>
        <d v="1899-12-30T09:39:15"/>
        <d v="1899-12-30T18:46:59"/>
        <d v="1899-12-30T15:59:34"/>
        <d v="1899-12-30T00:11:03"/>
        <d v="1899-12-30T04:01:45"/>
        <d v="1899-12-30T18:12:31"/>
        <d v="1899-12-30T20:49:25"/>
        <d v="1899-12-30T20:49:18"/>
        <d v="1899-12-30T02:20:59"/>
        <d v="1899-12-30T19:31:55"/>
        <d v="1899-12-30T03:33:37"/>
        <d v="1899-12-30T07:25:57"/>
        <d v="1899-12-30T01:14:52"/>
        <d v="1899-12-30T08:42:06"/>
        <d v="1899-12-30T11:25:58"/>
        <d v="1899-12-30T19:12:23"/>
        <d v="1899-12-30T12:55:14"/>
        <d v="1899-12-30T05:58:17"/>
        <d v="1899-12-30T21:01:36"/>
        <d v="1899-12-30T12:11:21"/>
        <d v="1899-12-30T19:03:53"/>
        <d v="1899-12-30T06:48:23"/>
        <d v="1899-12-30T20:54:45"/>
        <d v="1899-12-30T11:32:30"/>
        <d v="1899-12-30T21:17:47"/>
        <d v="1899-12-30T23:26:22"/>
        <d v="1899-12-30T13:03:24"/>
        <d v="1899-12-30T03:18:08"/>
        <d v="1899-12-30T04:28:20"/>
        <d v="1899-12-30T13:50:18"/>
        <d v="1899-12-30T13:00:37"/>
        <d v="1899-12-30T02:19:56"/>
        <d v="1899-12-30T18:23:02"/>
        <d v="1899-12-30T12:23:32"/>
        <d v="1899-12-30T17:57:28"/>
        <d v="1899-12-30T11:15:51"/>
        <d v="1899-12-30T13:20:49"/>
        <d v="1899-12-30T23:06:32"/>
        <d v="1899-12-30T15:51:05"/>
        <d v="1899-12-30T16:38:38"/>
        <d v="1899-12-30T10:01:26"/>
        <d v="1899-12-30T06:45:09"/>
        <d v="1899-12-30T07:46:29"/>
        <d v="1899-12-30T01:00:02"/>
        <d v="1899-12-30T08:17:55"/>
        <d v="1899-12-30T03:30:01"/>
        <d v="1899-12-30T10:43:27"/>
        <d v="1899-12-30T19:44:15"/>
        <d v="1899-12-30T11:14:57"/>
        <d v="1899-12-30T19:11:34"/>
        <d v="1899-12-30T20:36:48"/>
        <d v="1899-12-30T09:22:54"/>
        <d v="1899-12-30T04:18:04"/>
        <d v="1899-12-30T08:28:27"/>
        <d v="1899-12-30T17:44:30"/>
        <d v="1899-12-30T16:31:38"/>
        <d v="1899-12-30T00:56:26"/>
        <d v="1899-12-30T04:07:45"/>
        <d v="1899-12-30T03:51:17"/>
        <d v="1899-12-30T19:58:25"/>
        <d v="1899-12-30T03:47:53"/>
        <d v="1899-12-30T06:06:05"/>
        <d v="1899-12-30T17:18:25"/>
        <d v="1899-12-30T05:31:22"/>
        <d v="1899-12-30T06:26:23"/>
        <d v="1899-12-30T06:44:20"/>
        <d v="1899-12-30T08:34:07"/>
        <d v="1899-12-30T11:00:35"/>
        <d v="1899-12-30T08:49:58"/>
        <d v="1899-12-30T18:25:26"/>
        <d v="1899-12-30T00:48:16"/>
        <d v="1899-12-30T14:23:46"/>
        <d v="1899-12-30T22:56:15"/>
        <d v="1899-12-30T09:58:42"/>
        <d v="1899-12-30T13:11:41"/>
        <d v="1899-12-30T05:37:03"/>
        <d v="1899-12-30T05:15:55"/>
        <d v="1899-12-30T02:25:54"/>
        <d v="1899-12-30T20:15:11"/>
        <d v="1899-12-30T06:56:02"/>
        <d v="1899-12-30T19:06:37"/>
        <d v="1899-12-30T12:27:50"/>
        <d v="1899-12-30T15:36:20"/>
        <d v="1899-12-30T02:01:28"/>
        <d v="1899-12-30T03:35:38"/>
        <d v="1899-12-30T13:47:32"/>
        <d v="1899-12-30T21:48:51"/>
        <d v="1899-12-30T08:32:21"/>
        <d v="1899-12-30T02:11:56"/>
        <d v="1899-12-30T19:42:40"/>
        <d v="1899-12-30T21:06:30"/>
        <d v="1899-12-30T02:55:56"/>
        <d v="1899-12-30T06:14:17"/>
        <d v="1899-12-30T15:08:09"/>
        <d v="1899-12-30T18:41:17"/>
        <d v="1899-12-30T08:10:59"/>
        <d v="1899-12-30T10:27:19"/>
        <d v="1899-12-30T03:33:08"/>
        <d v="1899-12-30T01:39:24"/>
        <d v="1899-12-30T14:01:41"/>
        <d v="1899-12-30T04:55:36"/>
        <d v="1899-12-30T19:04:34"/>
        <d v="1899-12-30T23:31:36"/>
        <d v="1899-12-30T09:41:55"/>
        <d v="1899-12-30T11:34:49"/>
        <d v="1899-12-30T02:17:21"/>
        <d v="1899-12-30T11:23:29"/>
        <d v="1899-12-30T03:49:39"/>
        <d v="1899-12-30T22:39:25"/>
        <d v="1899-12-30T21:55:54"/>
        <d v="1899-12-30T10:47:08"/>
        <d v="1899-12-30T15:34:00"/>
        <d v="1899-12-30T03:57:09"/>
        <d v="1899-12-30T09:20:22"/>
        <d v="1899-12-30T03:03:00"/>
        <d v="1899-12-30T13:31:49"/>
        <d v="1899-12-30T14:21:35"/>
        <d v="1899-12-30T05:14:35"/>
        <d v="1899-12-30T14:29:50"/>
        <d v="1899-12-30T06:00:45"/>
        <d v="1899-12-30T00:49:42"/>
        <d v="1899-12-30T17:46:24"/>
        <d v="1899-12-30T19:45:47"/>
        <d v="1899-12-30T10:07:08"/>
        <d v="1899-12-30T13:18:58"/>
        <d v="1899-12-30T20:12:39"/>
        <d v="1899-12-30T00:03:44"/>
        <d v="1899-12-30T11:08:03"/>
        <d v="1899-12-30T05:33:35"/>
        <d v="1899-12-30T11:34:21"/>
        <d v="1899-12-30T02:24:02"/>
        <d v="1899-12-30T22:42:29"/>
        <d v="1899-12-30T23:39:46"/>
        <d v="1899-12-30T11:59:26"/>
        <d v="1899-12-30T04:08:18"/>
        <d v="1899-12-30T14:10:59"/>
        <d v="1899-12-30T20:04:28"/>
        <d v="1899-12-30T16:01:25"/>
        <d v="1899-12-30T15:56:25"/>
        <d v="1899-12-30T09:37:45"/>
        <d v="1899-12-30T19:10:01"/>
        <d v="1899-12-30T17:27:54"/>
        <d v="1899-12-30T23:35:50"/>
        <d v="1899-12-30T14:42:27"/>
        <d v="1899-12-30T08:33:53"/>
        <d v="1899-12-30T14:26:03"/>
        <d v="1899-12-30T04:45:36"/>
        <d v="1899-12-30T14:40:45"/>
        <d v="1899-12-30T23:05:57"/>
        <d v="1899-12-30T13:54:52"/>
        <d v="1899-12-30T14:00:10"/>
        <d v="1899-12-30T18:18:30"/>
        <d v="1899-12-30T21:51:40"/>
        <d v="1899-12-30T03:48:21"/>
        <d v="1899-12-30T02:07:53"/>
        <d v="1899-12-30T07:39:23"/>
        <d v="1899-12-30T20:29:21"/>
        <d v="1899-12-30T00:36:13"/>
        <d v="1899-12-30T14:32:48"/>
        <d v="1899-12-30T03:33:06"/>
        <d v="1899-12-30T22:32:01"/>
        <d v="1899-12-30T04:20:25"/>
        <d v="1899-12-30T04:38:44"/>
        <d v="1899-12-30T08:21:29"/>
        <d v="1899-12-30T10:45:34"/>
        <d v="1899-12-30T15:20:16"/>
        <d v="1899-12-30T14:18:21"/>
        <d v="1899-12-30T06:59:53"/>
        <d v="1899-12-30T18:26:05"/>
        <d v="1899-12-30T05:08:35"/>
        <d v="1899-12-30T10:25:13"/>
        <d v="1899-12-30T07:40:13"/>
        <d v="1899-12-30T21:50:50"/>
        <d v="1899-12-30T07:00:57"/>
        <d v="1899-12-30T11:05:01"/>
        <d v="1899-12-30T05:24:32"/>
        <d v="1899-12-30T01:06:39"/>
        <d v="1899-12-30T21:24:29"/>
        <d v="1899-12-30T07:25:08"/>
        <d v="1899-12-30T09:18:10"/>
        <d v="1899-12-30T01:28:17"/>
        <d v="1899-12-30T02:36:51"/>
        <d v="1899-12-30T22:45:46"/>
        <d v="1899-12-30T22:29:29"/>
        <d v="1899-12-30T18:59:28"/>
        <d v="1899-12-30T21:52:02"/>
        <d v="1899-12-30T08:55:42"/>
        <d v="1899-12-30T18:59:53"/>
        <d v="1899-12-30T17:42:29"/>
        <d v="1899-12-30T20:09:22"/>
        <d v="1899-12-30T09:07:22"/>
        <d v="1899-12-30T10:40:39"/>
        <d v="1899-12-30T10:02:02"/>
        <d v="1899-12-30T20:53:28"/>
        <d v="1899-12-30T12:21:17"/>
        <d v="1899-12-30T20:31:01"/>
        <d v="1899-12-30T12:57:14"/>
        <d v="1899-12-30T03:06:53"/>
        <d v="1899-12-30T14:05:46"/>
        <d v="1899-12-30T20:23:09"/>
        <d v="1899-12-30T04:51:22"/>
        <d v="1899-12-30T16:25:38"/>
        <d v="1899-12-30T01:24:51"/>
        <d v="1899-12-30T13:09:48"/>
        <d v="1899-12-30T05:38:14"/>
        <d v="1899-12-30T11:24:27"/>
        <d v="1899-12-30T19:34:20"/>
        <d v="1899-12-30T00:50:15"/>
        <d v="1899-12-30T17:48:07"/>
        <d v="1899-12-30T12:12:00"/>
        <d v="1899-12-30T19:33:17"/>
        <d v="1899-12-30T20:12:25"/>
        <d v="1899-12-30T10:20:48"/>
        <d v="1899-12-30T21:28:13"/>
        <d v="1899-12-30T03:00:23"/>
        <d v="1899-12-30T08:38:43"/>
        <d v="1899-12-30T11:41:47"/>
        <d v="1899-12-30T12:38:33"/>
        <d v="1899-12-30T21:07:19"/>
        <d v="1899-12-30T01:43:24"/>
        <d v="1899-12-30T07:17:43"/>
        <d v="1899-12-30T02:32:02"/>
        <d v="1899-12-30T04:27:04"/>
        <d v="1899-12-30T16:29:31"/>
        <d v="1899-12-30T12:09:07"/>
        <d v="1899-12-30T21:25:37"/>
        <d v="1899-12-30T22:42:12"/>
        <d v="1899-12-30T04:13:55"/>
        <d v="1899-12-30T23:45:15"/>
        <d v="1899-12-30T19:44:09"/>
        <d v="1899-12-30T08:12:57"/>
        <d v="1899-12-30T15:50:38"/>
        <d v="1899-12-30T04:11:47"/>
        <d v="1899-12-30T00:56:21"/>
        <d v="1899-12-30T03:09:02"/>
        <d v="1899-12-30T09:38:56"/>
        <d v="1899-12-30T19:41:32"/>
        <d v="1899-12-30T11:16:56"/>
        <d v="1899-12-30T00:39:39"/>
        <d v="1899-12-30T18:05:55"/>
        <d v="1899-12-30T03:56:13"/>
        <d v="1899-12-30T19:00:53"/>
        <d v="1899-12-30T20:56:58"/>
        <d v="1899-12-30T11:41:34"/>
        <d v="1899-12-30T17:52:24"/>
        <d v="1899-12-30T20:50:38"/>
        <d v="1899-12-30T18:21:02"/>
        <d v="1899-12-30T01:16:11"/>
        <d v="1899-12-30T21:12:46"/>
        <d v="1899-12-30T01:32:45"/>
        <d v="1899-12-30T20:41:33"/>
        <d v="1899-12-30T18:54:06"/>
        <d v="1899-12-30T05:07:20"/>
        <d v="1899-12-30T09:24:45"/>
        <d v="1899-12-30T13:04:52"/>
        <d v="1899-12-30T18:46:37"/>
        <d v="1899-12-30T04:06:10"/>
        <d v="1899-12-30T16:29:09"/>
        <d v="1899-12-30T21:50:23"/>
        <d v="1899-12-30T21:08:00"/>
        <d v="1899-12-30T17:11:40"/>
        <d v="1899-12-30T11:05:27"/>
        <d v="1899-12-30T04:00:27"/>
        <d v="1899-12-30T15:45:02"/>
        <d v="1899-12-30T06:07:17"/>
        <d v="1899-12-30T09:21:05"/>
        <d v="1899-12-30T00:54:39"/>
        <d v="1899-12-30T06:37:09"/>
        <d v="1899-12-30T19:29:06"/>
        <d v="1899-12-30T15:37:44"/>
        <d v="1899-12-30T06:47:13"/>
        <d v="1899-12-30T23:22:06"/>
        <d v="1899-12-30T07:27:06"/>
        <d v="1899-12-30T17:55:39"/>
        <d v="1899-12-30T08:55:36"/>
        <d v="1899-12-30T01:13:49"/>
        <d v="1899-12-30T19:00:35"/>
        <d v="1899-12-30T14:14:38"/>
        <d v="1899-12-30T07:23:22"/>
        <d v="1899-12-30T06:16:28"/>
        <d v="1899-12-30T20:08:43"/>
        <d v="1899-12-30T11:50:39"/>
        <d v="1899-12-30T05:20:43"/>
        <d v="1899-12-30T22:23:44"/>
        <d v="1899-12-30T21:39:45"/>
        <d v="1899-12-30T22:41:07"/>
        <d v="1899-12-30T11:16:50"/>
        <d v="1899-12-30T11:41:05"/>
        <d v="1899-12-30T22:39:01"/>
        <d v="1899-12-30T20:55:09"/>
        <d v="1899-12-30T11:50:35"/>
        <d v="1899-12-30T17:11:33"/>
        <d v="1899-12-30T22:39:31"/>
        <d v="1899-12-30T08:32:19"/>
        <d v="1899-12-30T17:48:20"/>
        <d v="1899-12-30T12:22:33"/>
        <d v="1899-12-30T05:39:52"/>
        <d v="1899-12-30T05:38:03"/>
        <d v="1899-12-30T06:11:22"/>
        <d v="1899-12-30T18:23:53"/>
        <d v="1899-12-30T05:47:41"/>
        <d v="1899-12-30T18:33:18"/>
        <d v="1899-12-30T20:32:21"/>
        <d v="1899-12-30T17:08:55"/>
        <d v="1899-12-30T08:47:06"/>
        <d v="1899-12-30T13:07:54"/>
        <d v="1899-12-30T04:00:06"/>
        <d v="1899-12-30T06:53:19"/>
        <d v="1899-12-30T09:23:24"/>
        <d v="1899-12-30T06:33:19"/>
        <d v="1899-12-30T02:31:28"/>
        <d v="1899-12-30T01:13:43"/>
        <d v="1899-12-30T18:15:01"/>
        <d v="1899-12-30T16:45:43"/>
        <d v="1899-12-30T15:55:34"/>
        <d v="1899-12-30T09:34:58"/>
        <d v="1899-12-30T21:11:28"/>
        <d v="1899-12-30T10:14:42"/>
        <d v="1899-12-30T10:01:04"/>
        <d v="1899-12-30T17:32:04"/>
        <d v="1899-12-30T15:23:07"/>
        <d v="1899-12-30T03:45:51"/>
        <d v="1899-12-30T02:49:53"/>
        <d v="1899-12-30T22:02:35"/>
        <d v="1899-12-30T10:52:54"/>
        <d v="1899-12-30T20:52:52"/>
        <d v="1899-12-30T16:46:42"/>
        <d v="1899-12-30T00:59:44"/>
        <d v="1899-12-30T17:30:57"/>
        <d v="1899-12-30T16:38:02"/>
        <d v="1899-12-30T13:09:25"/>
        <d v="1899-12-30T16:13:47"/>
        <d v="1899-12-30T11:33:33"/>
        <d v="1899-12-30T13:36:36"/>
        <d v="1899-12-30T09:43:38"/>
        <d v="1899-12-30T04:53:37"/>
        <d v="1899-12-30T18:58:42"/>
        <d v="1899-12-30T23:39:03"/>
        <d v="1899-12-30T11:44:39"/>
        <d v="1899-12-30T20:24:21"/>
        <d v="1899-12-30T02:37:10"/>
        <d v="1899-12-30T07:33:00"/>
        <d v="1899-12-30T10:55:04"/>
        <d v="1899-12-30T02:31:07"/>
        <d v="1899-12-30T04:35:41"/>
        <d v="1899-12-30T20:05:03"/>
        <d v="1899-12-30T04:49:39"/>
        <d v="1899-12-30T12:13:55"/>
        <d v="1899-12-30T18:15:07"/>
        <d v="1899-12-30T16:12:37"/>
        <d v="1899-12-30T17:28:22"/>
        <d v="1899-12-30T03:12:43"/>
        <d v="1899-12-30T18:39:54"/>
        <d v="1899-12-30T02:09:42"/>
        <d v="1899-12-30T08:41:43"/>
        <d v="1899-12-30T19:27:49"/>
        <d v="1899-12-30T05:13:24"/>
        <d v="1899-12-30T23:44:04"/>
        <d v="1899-12-30T16:35:57"/>
        <d v="1899-12-30T20:54:04"/>
        <d v="1899-12-30T16:52:04"/>
        <d v="1899-12-30T15:31:03"/>
        <d v="1899-12-30T17:28:13"/>
        <d v="1899-12-30T23:14:42"/>
        <d v="1899-12-30T01:33:23"/>
        <d v="1899-12-30T19:04:28"/>
        <d v="1899-12-30T19:38:31"/>
        <d v="1899-12-30T12:43:41"/>
        <d v="1899-12-30T08:06:50"/>
        <d v="1899-12-30T21:38:23"/>
        <d v="1899-12-30T20:41:20"/>
        <d v="1899-12-30T10:45:48"/>
        <d v="1899-12-30T23:14:25"/>
        <d v="1899-12-30T02:55:39"/>
        <d v="1899-12-30T05:10:32"/>
        <d v="1899-12-30T18:16:47"/>
        <d v="1899-12-30T19:15:21"/>
        <d v="1899-12-30T15:27:44"/>
        <d v="1899-12-30T06:11:14"/>
        <d v="1899-12-30T08:05:39"/>
        <d v="1899-12-30T03:03:46"/>
        <d v="1899-12-30T14:20:46"/>
        <d v="1899-12-30T12:07:31"/>
        <d v="1899-12-30T08:39:49"/>
        <d v="1899-12-30T10:52:43"/>
        <d v="1899-12-30T03:35:43"/>
        <d v="1899-12-30T04:37:50"/>
        <d v="1899-12-30T22:33:19"/>
        <d v="1899-12-30T03:12:42"/>
        <d v="1899-12-30T19:29:16"/>
        <d v="1899-12-30T01:14:46"/>
        <d v="1899-12-30T16:33:03"/>
        <d v="1899-12-30T16:52:30"/>
        <d v="1899-12-30T00:03:22"/>
        <d v="1899-12-30T21:54:11"/>
        <d v="1899-12-30T21:37:11"/>
        <d v="1899-12-30T00:03:47"/>
        <d v="1899-12-30T00:24:30"/>
        <d v="1899-12-30T08:43:58"/>
        <d v="1899-12-30T03:19:42"/>
        <d v="1899-12-30T22:49:25"/>
        <d v="1899-12-30T05:20:45"/>
        <d v="1899-12-30T18:12:19"/>
        <d v="1899-12-30T10:41:06"/>
        <d v="1899-12-30T21:49:59"/>
        <d v="1899-12-30T00:59:39"/>
        <d v="1899-12-30T10:33:45"/>
        <d v="1899-12-30T10:20:12"/>
        <d v="1899-12-30T04:24:40"/>
        <d v="1899-12-30T02:31:37"/>
        <d v="1899-12-30T12:52:21"/>
        <d v="1899-12-30T19:58:50"/>
        <d v="1899-12-30T06:55:37"/>
        <d v="1899-12-30T11:31:43"/>
        <d v="1899-12-30T08:17:15"/>
        <d v="1899-12-30T18:48:16"/>
        <d v="1899-12-30T03:59:29"/>
        <d v="1899-12-30T08:28:42"/>
        <d v="1899-12-30T20:38:32"/>
        <d v="1899-12-30T16:03:56"/>
        <d v="1899-12-30T19:36:55"/>
        <d v="1899-12-30T11:52:57"/>
        <d v="1899-12-30T12:03:20"/>
        <d v="1899-12-30T01:06:24"/>
        <d v="1899-12-30T14:45:40"/>
        <d v="1899-12-30T21:00:38"/>
        <d v="1899-12-30T09:31:19"/>
        <d v="1899-12-30T08:12:15"/>
        <d v="1899-12-30T01:43:52"/>
        <d v="1899-12-30T15:34:22"/>
        <d v="1899-12-30T02:00:33"/>
        <d v="1899-12-30T15:25:13"/>
        <d v="1899-12-30T05:36:23"/>
        <d v="1899-12-30T00:55:59"/>
        <d v="1899-12-30T08:12:26"/>
        <d v="1899-12-30T08:00:29"/>
        <d v="1899-12-30T18:39:39"/>
        <d v="1899-12-30T23:58:26"/>
        <d v="1899-12-30T12:43:10"/>
        <d v="1899-12-30T07:48:09"/>
        <d v="1899-12-30T17:00:34"/>
        <d v="1899-12-30T13:19:51"/>
        <d v="1899-12-30T23:44:35"/>
        <d v="1899-12-30T08:43:02"/>
        <d v="1899-12-30T00:32:15"/>
        <d v="1899-12-30T10:56:10"/>
        <d v="1899-12-30T00:45:37"/>
        <d v="1899-12-30T22:17:26"/>
        <d v="1899-12-30T22:21:14"/>
        <d v="1899-12-30T20:32:26"/>
        <d v="1899-12-30T16:17:24"/>
        <d v="1899-12-30T19:02:03"/>
        <d v="1899-12-30T01:21:22"/>
        <d v="1899-12-30T23:10:27"/>
        <d v="1899-12-30T12:59:35"/>
        <d v="1899-12-30T13:51:40"/>
        <d v="1899-12-30T08:43:08"/>
        <d v="1899-12-30T06:59:13"/>
        <d v="1899-12-30T23:11:04"/>
        <d v="1899-12-30T20:42:20"/>
        <d v="1899-12-30T14:05:10"/>
        <d v="1899-12-30T18:19:12"/>
        <d v="1899-12-30T11:32:22"/>
        <d v="1899-12-30T12:55:30"/>
        <d v="1899-12-30T15:07:17"/>
        <d v="1899-12-30T03:50:00"/>
        <d v="1899-12-30T04:02:28"/>
        <d v="1899-12-30T18:29:58"/>
        <d v="1899-12-30T21:09:45"/>
        <d v="1899-12-30T18:40:40"/>
        <d v="1899-12-30T07:33:48"/>
        <d v="1899-12-30T07:44:58"/>
        <d v="1899-12-30T20:01:14"/>
        <d v="1899-12-30T03:46:17"/>
        <d v="1899-12-30T16:01:52"/>
        <d v="1899-12-30T15:22:00"/>
        <d v="1899-12-30T00:27:02"/>
        <d v="1899-12-30T00:08:53"/>
        <d v="1899-12-30T18:19:46"/>
        <d v="1899-12-30T19:12:03"/>
        <d v="1899-12-30T18:22:47"/>
        <d v="1899-12-30T20:04:31"/>
        <d v="1899-12-30T11:12:26"/>
        <d v="1899-12-30T20:46:38"/>
        <d v="1899-12-30T14:30:03"/>
        <d v="1899-12-30T02:57:53"/>
        <d v="1899-12-30T00:41:34"/>
        <d v="1899-12-30T22:22:46"/>
        <d v="1899-12-30T23:25:20"/>
        <d v="1899-12-30T01:17:18"/>
        <d v="1899-12-30T19:05:23"/>
        <d v="1899-12-30T04:45:48"/>
        <d v="1899-12-30T04:40:44"/>
        <d v="1899-12-30T03:05:19"/>
        <d v="1899-12-30T12:47:19"/>
        <d v="1899-12-30T22:32:23"/>
        <d v="1899-12-30T20:56:07"/>
        <d v="1899-12-30T23:44:29"/>
        <d v="1899-12-30T19:30:17"/>
        <d v="1899-12-30T18:06:17"/>
        <d v="1899-12-30T19:35:09"/>
        <d v="1899-12-30T14:39:45"/>
        <d v="1899-12-30T02:40:00"/>
        <d v="1899-12-30T09:30:59"/>
        <d v="1899-12-30T14:40:41"/>
        <d v="1899-12-30T23:40:19"/>
        <d v="1899-12-30T05:26:04"/>
        <d v="1899-12-30T13:56:37"/>
        <d v="1899-12-30T21:49:55"/>
        <d v="1899-12-30T10:10:29"/>
        <d v="1899-12-30T14:04:27"/>
        <d v="1899-12-30T09:38:25"/>
        <d v="1899-12-30T19:40:51"/>
        <d v="1899-12-30T03:41:22"/>
        <d v="1899-12-30T23:20:50"/>
        <d v="1899-12-30T10:19:41"/>
        <d v="1899-12-30T14:37:07"/>
        <d v="1899-12-30T23:04:06"/>
        <d v="1899-12-30T07:31:17"/>
        <d v="1899-12-30T03:02:18"/>
        <d v="1899-12-30T13:45:10"/>
        <d v="1899-12-30T21:25:40"/>
        <d v="1899-12-30T16:47:57"/>
        <d v="1899-12-30T19:00:02"/>
        <d v="1899-12-30T12:05:02"/>
        <d v="1899-12-30T20:27:44"/>
        <d v="1899-12-30T01:37:43"/>
        <d v="1899-12-30T19:48:08"/>
        <d v="1899-12-30T15:46:50"/>
        <d v="1899-12-30T06:22:46"/>
        <d v="1899-12-30T02:27:16"/>
        <d v="1899-12-30T23:14:38"/>
        <d v="1899-12-30T15:11:44"/>
        <d v="1899-12-30T04:11:03"/>
        <d v="1899-12-30T15:27:20"/>
      </sharedItems>
    </cacheField>
    <cacheField name="CustomerType" numFmtId="0">
      <sharedItems count="3">
        <s v="Member"/>
        <s v="Premium"/>
        <s v="Regular"/>
      </sharedItems>
    </cacheField>
    <cacheField name="ProductCategory" numFmtId="0">
      <sharedItems count="5">
        <s v="Grocery"/>
        <s v="Home &amp; Kitchen"/>
        <s v="Electronics"/>
        <s v="Clothing"/>
        <s v="Beauty &amp; Personal Care"/>
      </sharedItems>
    </cacheField>
    <cacheField name="UnitPrice" numFmtId="165">
      <sharedItems containsSemiMixedTypes="0" containsString="0" containsNumber="1" minValue="10.06" maxValue="499.9"/>
    </cacheField>
    <cacheField name="Quantity" numFmtId="0">
      <sharedItems containsSemiMixedTypes="0" containsString="0" containsNumber="1" containsInteger="1" minValue="1" maxValue="5" count="5">
        <n v="4"/>
        <n v="3"/>
        <n v="5"/>
        <n v="2"/>
        <n v="1"/>
      </sharedItems>
    </cacheField>
    <cacheField name="Total" numFmtId="165">
      <sharedItems containsSemiMixedTypes="0" containsString="0" containsNumber="1" minValue="10.06" maxValue="2499.5"/>
    </cacheField>
    <cacheField name="FullName" numFmtId="0">
      <sharedItems count="397">
        <s v="Jai Bhatia"/>
        <s v="Ishaan Patel"/>
        <s v="Tanvi Iyer"/>
        <s v="Zara Xavier"/>
        <s v="Krishna Zutshi"/>
        <s v="Zara Singh"/>
        <s v="Eeshaan Xavier"/>
        <s v="Eeshaan Kumar"/>
        <s v="Mahesh Mehta"/>
        <s v="Ishaan Verma"/>
        <s v="Krishna Agarwal"/>
        <s v="Vaibhav Singh"/>
        <s v="Shreya Khanna"/>
        <s v="Rohan Mehta"/>
        <s v="Nandini Wadhwa"/>
        <s v="Bhavesh Verma"/>
        <s v="Zara Mehta"/>
        <s v="Diya Wadhwa"/>
        <s v="Vaibhav Xavier"/>
        <s v="Mahesh Zutshi"/>
        <s v="Diya Kumar"/>
        <s v="Priya Mehta"/>
        <s v="Mahesh Kumar"/>
        <s v="Yash Jain"/>
        <s v="Avani Iyer"/>
        <s v="Vaibhav Zutshi"/>
        <s v="Aakash Jain"/>
        <s v="Aakash Wadhwa"/>
        <s v="Vaibhav Sharma"/>
        <s v="Bhavesh Gupta"/>
        <s v="Bhavesh Desai"/>
        <s v="Yash Singh"/>
        <s v="Shreya Gupta"/>
        <s v="Avani Khanna"/>
        <s v="Aakash Mehta"/>
        <s v="Krishna Singh"/>
        <s v="Avani Singh"/>
        <s v="Aakash Bhatia"/>
        <s v="Vaibhav Iyer"/>
        <s v="Krishna Yadav"/>
        <s v="Tanvi Wadhwa"/>
        <s v="Krishna Jain"/>
        <s v="Diya Agarwal"/>
        <s v="Avani Agarwal"/>
        <s v="Tanvi Zutshi"/>
        <s v="Diya Jain"/>
        <s v="Mahesh Agarwal"/>
        <s v="Rohan Sharma"/>
        <s v="Jai Khanna"/>
        <s v="Uday Bhatia"/>
        <s v="Ishaan Singh"/>
        <s v="Jai Patel"/>
        <s v="Priya Verma"/>
        <s v="Zara Sharma"/>
        <s v="Diya Patel"/>
        <s v="Lakshmi Jain"/>
        <s v="Gaurav Wadhwa"/>
        <s v="Aakash Desai"/>
        <s v="Vaibhav Agarwal"/>
        <s v="Tanvi Verma"/>
        <s v="Uday Chauhan"/>
        <s v="Nandini Iyer"/>
        <s v="Mahesh Verma"/>
        <s v="Bhavesh Yadav"/>
        <s v="Eeshaan Wadhwa"/>
        <s v="Priya Gupta"/>
        <s v="Aakash Xavier"/>
        <s v="Tanvi Lal"/>
        <s v="Yash Mehta"/>
        <s v="Vaibhav Yadav"/>
        <s v="Krishna Rao"/>
        <s v="Rohan Agarwal"/>
        <s v="Priya Rao"/>
        <s v="Lakshmi Xavier"/>
        <s v="Shreya Sharma"/>
        <s v="Diya Yadav"/>
        <s v="Eeshaan Patel"/>
        <s v="Gaurav Agarwal"/>
        <s v="Bhavesh Jain"/>
        <s v="Aakash Rao"/>
        <s v="Yash Gupta"/>
        <s v="Uday Lal"/>
        <s v="Eeshaan Jain"/>
        <s v="Priya Iyer"/>
        <s v="Tanvi Agarwal"/>
        <s v="Priya Kumar"/>
        <s v="Aakash Khanna"/>
        <s v="Jai Gupta"/>
        <s v="Yash Iyer"/>
        <s v="Nandini Mehta"/>
        <s v="Diya Sharma"/>
        <s v="Tanvi Khanna"/>
        <s v="Shreya Verma"/>
        <s v="Eeshaan Sharma"/>
        <s v="Krishna Kumar"/>
        <s v="Krishna Chauhan"/>
        <s v="Diya Mehta"/>
        <s v="Rohan Wadhwa"/>
        <s v="Diya Lal"/>
        <s v="Krishna Wadhwa"/>
        <s v="Uday Wadhwa"/>
        <s v="Rohan Iyer"/>
        <s v="Priya Bhatia"/>
        <s v="Shreya Rao"/>
        <s v="Ishaan Lal"/>
        <s v="Ishaan Mehta"/>
        <s v="Bhavesh Iyer"/>
        <s v="Uday Yadav"/>
        <s v="Gaurav Iyer"/>
        <s v="Shreya Patel"/>
        <s v="Yash Verma"/>
        <s v="Krishna Mehta"/>
        <s v="Zara Desai"/>
        <s v="Nandini Xavier"/>
        <s v="Avani Yadav"/>
        <s v="Rohan Lal"/>
        <s v="Tanvi Yadav"/>
        <s v="Gaurav Patel"/>
        <s v="Zara Bhatia"/>
        <s v="Vaibhav Wadhwa"/>
        <s v="Avani Patel"/>
        <s v="Diya Gupta"/>
        <s v="Nandini Desai"/>
        <s v="Yash Chauhan"/>
        <s v="Lakshmi Sharma"/>
        <s v="Krishna Gupta"/>
        <s v="Uday Sharma"/>
        <s v="Tanvi Chauhan"/>
        <s v="Mahesh Sharma"/>
        <s v="Yash Lal"/>
        <s v="Rohan Gupta"/>
        <s v="Zara Verma"/>
        <s v="Gaurav Gupta"/>
        <s v="Uday Desai"/>
        <s v="Gaurav Jain"/>
        <s v="Tanvi Mehta"/>
        <s v="Nandini Sharma"/>
        <s v="Shreya Lal"/>
        <s v="Lakshmi Verma"/>
        <s v="Eeshaan Rao"/>
        <s v="Uday Iyer"/>
        <s v="Lakshmi Desai"/>
        <s v="Mahesh Rao"/>
        <s v="Yash Desai"/>
        <s v="Jai Sharma"/>
        <s v="Priya Lal"/>
        <s v="Ishaan Xavier"/>
        <s v="Nandini Yadav"/>
        <s v="Avani Lal"/>
        <s v="Rohan Bhatia"/>
        <s v="Aakash Chauhan"/>
        <s v="Diya Bhatia"/>
        <s v="Tanvi Kumar"/>
        <s v="Ishaan Gupta"/>
        <s v="Bhavesh Xavier"/>
        <s v="Diya Xavier"/>
        <s v="Priya Sharma"/>
        <s v="Krishna Desai"/>
        <s v="Tanvi Singh"/>
        <s v="Lakshmi Mehta"/>
        <s v="Aakash Gupta"/>
        <s v="Krishna Patel"/>
        <s v="Ishaan Kumar"/>
        <s v="Tanvi Patel"/>
        <s v="Priya Chauhan"/>
        <s v="Nandini Singh"/>
        <s v="Lakshmi Agarwal"/>
        <s v="Lakshmi Rao"/>
        <s v="Zara Chauhan"/>
        <s v="Nandini Jain"/>
        <s v="Jai Rao"/>
        <s v="Lakshmi Lal"/>
        <s v="Tanvi Sharma"/>
        <s v="Nandini Lal"/>
        <s v="Lakshmi Yadav"/>
        <s v="Rohan Khanna"/>
        <s v="Jai Mehta"/>
        <s v="Jai Desai"/>
        <s v="Bhavesh Mehta"/>
        <s v="Shreya Zutshi"/>
        <s v="Uday Mehta"/>
        <s v="Mahesh Chauhan"/>
        <s v="Ishaan Bhatia"/>
        <s v="Nandini Agarwal"/>
        <s v="Zara Gupta"/>
        <s v="Aakash Yadav"/>
        <s v="Uday Kumar"/>
        <s v="Rohan Yadav"/>
        <s v="Nandini Verma"/>
        <s v="Jai Zutshi"/>
        <s v="Rohan Desai"/>
        <s v="Bhavesh Zutshi"/>
        <s v="Bhavesh Bhatia"/>
        <s v="Shreya Desai"/>
        <s v="Zara Agarwal"/>
        <s v="Aakash Verma"/>
        <s v="Tanvi Xavier"/>
        <s v="Eeshaan Bhatia"/>
        <s v="Krishna Lal"/>
        <s v="Yash Wadhwa"/>
        <s v="Jai Singh"/>
        <s v="Ishaan Sharma"/>
        <s v="Gaurav Sharma"/>
        <s v="Jai Kumar"/>
        <s v="Mahesh Wadhwa"/>
        <s v="Bhavesh Lal"/>
        <s v="Shreya Wadhwa"/>
        <s v="Avani Kumar"/>
        <s v="Rohan Xavier"/>
        <s v="Lakshmi Chauhan"/>
        <s v="Avani Verma"/>
        <s v="Nandini Gupta"/>
        <s v="Zara Jain"/>
        <s v="Yash Khanna"/>
        <s v="Lakshmi Kumar"/>
        <s v="Avani Chauhan"/>
        <s v="Diya Khanna"/>
        <s v="Avani Sharma"/>
        <s v="Diya Rao"/>
        <s v="Krishna Verma"/>
        <s v="Mahesh Xavier"/>
        <s v="Zara Zutshi"/>
        <s v="Mahesh Singh"/>
        <s v="Yash Sharma"/>
        <s v="Mahesh Jain"/>
        <s v="Aakash Zutshi"/>
        <s v="Priya Zutshi"/>
        <s v="Priya Wadhwa"/>
        <s v="Nandini Bhatia"/>
        <s v="Lakshmi Singh"/>
        <s v="Gaurav Xavier"/>
        <s v="Bhavesh Khanna"/>
        <s v="Tanvi Bhatia"/>
        <s v="Gaurav Bhatia"/>
        <s v="Tanvi Desai"/>
        <s v="Nandini Zutshi"/>
        <s v="Shreya Xavier"/>
        <s v="Priya Jain"/>
        <s v="Shreya Bhatia"/>
        <s v="Eeshaan Iyer"/>
        <s v="Gaurav Desai"/>
        <s v="Avani Mehta"/>
        <s v="Mahesh Bhatia"/>
        <s v="Avani Wadhwa"/>
        <s v="Rohan Jain"/>
        <s v="Krishna Iyer"/>
        <s v="Avani Zutshi"/>
        <s v="Rohan Kumar"/>
        <s v="Jai Lal"/>
        <s v="Bhavesh Sharma"/>
        <s v="Yash Bhatia"/>
        <s v="Shreya Kumar"/>
        <s v="Ishaan Desai"/>
        <s v="Uday Rao"/>
        <s v="Vaibhav Patel"/>
        <s v="Zara Kumar"/>
        <s v="Jai Wadhwa"/>
        <s v="Shreya Mehta"/>
        <s v="Rohan Verma"/>
        <s v="Uday Zutshi"/>
        <s v="Zara Wadhwa"/>
        <s v="Diya Iyer"/>
        <s v="Uday Singh"/>
        <s v="Rohan Singh"/>
        <s v="Lakshmi Gupta"/>
        <s v="Shreya Agarwal"/>
        <s v="Aakash Agarwal"/>
        <s v="Uday Agarwal"/>
        <s v="Krishna Khanna"/>
        <s v="Vaibhav Mehta"/>
        <s v="Uday Khanna"/>
        <s v="Vaibhav Khanna"/>
        <s v="Eeshaan Desai"/>
        <s v="Lakshmi Bhatia"/>
        <s v="Ishaan Zutshi"/>
        <s v="Shreya Iyer"/>
        <s v="Jai Iyer"/>
        <s v="Gaurav Zutshi"/>
        <s v="Vaibhav Chauhan"/>
        <s v="Mahesh Desai"/>
        <s v="Zara Rao"/>
        <s v="Gaurav Singh"/>
        <s v="Krishna Bhatia"/>
        <s v="Ishaan Yadav"/>
        <s v="Bhavesh Chauhan"/>
        <s v="Lakshmi Zutshi"/>
        <s v="Bhavesh Agarwal"/>
        <s v="Jai Chauhan"/>
        <s v="Vaibhav Rao"/>
        <s v="Zara Yadav"/>
        <s v="Gaurav Khanna"/>
        <s v="Rohan Zutshi"/>
        <s v="Zara Iyer"/>
        <s v="Bhavesh Singh"/>
        <s v="Ishaan Jain"/>
        <s v="Vaibhav Kumar"/>
        <s v="Priya Xavier"/>
        <s v="Aakash Lal"/>
        <s v="Mahesh Gupta"/>
        <s v="Krishna Sharma"/>
        <s v="Priya Singh"/>
        <s v="Nandini Khanna"/>
        <s v="Eeshaan Zutshi"/>
        <s v="Jai Jain"/>
        <s v="Aakash Kumar"/>
        <s v="Vaibhav Desai"/>
        <s v="Nandini Patel"/>
        <s v="Yash Rao"/>
        <s v="Vaibhav Lal"/>
        <s v="Rohan Patel"/>
        <s v="Eeshaan Agarwal"/>
        <s v="Vaibhav Bhatia"/>
        <s v="Lakshmi Iyer"/>
        <s v="Vaibhav Gupta"/>
        <s v="Eeshaan Gupta"/>
        <s v="Diya Singh"/>
        <s v="Vaibhav Verma"/>
        <s v="Eeshaan Khanna"/>
        <s v="Diya Chauhan"/>
        <s v="Gaurav Verma"/>
        <s v="Tanvi Jain"/>
        <s v="Mahesh Iyer"/>
        <s v="Shreya Yadav"/>
        <s v="Vaibhav Jain"/>
        <s v="Ishaan Chauhan"/>
        <s v="Yash Zutshi"/>
        <s v="Aakash Singh"/>
        <s v="Lakshmi Wadhwa"/>
        <s v="Uday Verma"/>
        <s v="Yash Yadav"/>
        <s v="Gaurav Chauhan"/>
        <s v="Jai Verma"/>
        <s v="Avani Jain"/>
        <s v="Yash Patel"/>
        <s v="Yash Xavier"/>
        <s v="Eeshaan Yadav"/>
        <s v="Krishna Xavier"/>
        <s v="Gaurav Mehta"/>
        <s v="Ishaan Wadhwa"/>
        <s v="Eeshaan Lal"/>
        <s v="Aakash Iyer"/>
        <s v="Rohan Rao"/>
        <s v="Nandini Rao"/>
        <s v="Diya Zutshi"/>
        <s v="Avani Rao"/>
        <s v="Bhavesh Rao"/>
        <s v="Mahesh Yadav"/>
        <s v="Yash Agarwal"/>
        <s v="Diya Verma"/>
        <s v="Ishaan Agarwal"/>
        <s v="Eeshaan Verma"/>
        <s v="Jai Xavier"/>
        <s v="Shreya Jain"/>
        <s v="Ishaan Khanna"/>
        <s v="Lakshmi Patel"/>
        <s v="Gaurav Yadav"/>
        <s v="Rohan Chauhan"/>
        <s v="Eeshaan Singh"/>
        <s v="Priya Khanna"/>
        <s v="Avani Desai"/>
        <s v="Tanvi Rao"/>
        <s v="Bhavesh Kumar"/>
        <s v="Diya Desai"/>
        <s v="Priya Desai"/>
        <s v="Jai Yadav"/>
        <s v="Nandini Chauhan"/>
        <s v="Eeshaan Chauhan"/>
        <s v="Eeshaan Mehta"/>
        <s v="Mahesh Khanna"/>
        <s v="Uday Xavier"/>
        <s v="Yash Kumar"/>
        <s v="Tanvi Gupta"/>
        <s v="Uday Jain"/>
        <s v="Avani Gupta"/>
        <s v="Nandini Kumar"/>
        <s v="Aakash Sharma"/>
        <s v="Zara Patel"/>
        <s v="Lakshmi Khanna"/>
        <s v="Gaurav Rao"/>
        <s v="Mahesh Patel"/>
        <s v="Shreya Chauhan"/>
        <s v="Gaurav Lal"/>
        <s v="Ishaan Iyer"/>
        <s v="Avani Xavier"/>
        <s v="Bhavesh Patel"/>
        <s v="Jai Agarwal"/>
        <s v="Shreya Singh"/>
        <s v="Ishaan Rao"/>
        <s v="Zara Khanna"/>
        <s v="Priya Patel"/>
        <s v="Uday Patel"/>
        <s v="Gaurav Kumar"/>
        <s v="Priya Yadav"/>
        <s v="Uday Gupta"/>
        <s v="Zara Lal"/>
        <s v="Bhavesh Wadhwa"/>
        <s v="Priya Agarwal"/>
      </sharedItems>
    </cacheField>
    <cacheField name="Quarters" numFmtId="0" databaseField="0">
      <fieldGroup base="0">
        <rangePr groupBy="quarters" startDate="2023-01-01T01:55:00" endDate="2025-01-09T15:44:00"/>
        <groupItems count="6">
          <s v="&lt;01-01-23"/>
          <s v="Qtr1"/>
          <s v="Qtr2"/>
          <s v="Qtr3"/>
          <s v="Qtr4"/>
          <s v="&gt;09-01-25"/>
        </groupItems>
      </fieldGroup>
    </cacheField>
    <cacheField name="Years" numFmtId="0" databaseField="0">
      <fieldGroup base="0">
        <rangePr groupBy="years" startDate="2023-01-01T01:55:00" endDate="2025-01-09T15:44:00"/>
        <groupItems count="5">
          <s v="&lt;01-01-23"/>
          <s v="2023"/>
          <s v="2024"/>
          <s v="2025"/>
          <s v="&gt;09-01-25"/>
        </groupItems>
      </fieldGroup>
    </cacheField>
  </cacheFields>
  <extLst>
    <ext xmlns:x14="http://schemas.microsoft.com/office/spreadsheetml/2009/9/main" uri="{725AE2AE-9491-48be-B2B4-4EB974FC3084}">
      <x14:pivotCacheDefinition pivotCacheId="721956639"/>
    </ext>
  </extLst>
</pivotCacheDefinition>
</file>

<file path=xl/pivotCache/pivotCacheRecords1.xml><?xml version="1.0" encoding="utf-8"?>
<pivotCacheRecords xmlns="http://schemas.openxmlformats.org/spreadsheetml/2006/main" xmlns:r="http://schemas.openxmlformats.org/officeDocument/2006/relationships" count="1999">
  <r>
    <x v="0"/>
    <x v="0"/>
    <x v="0"/>
    <x v="0"/>
    <n v="10.69"/>
    <x v="0"/>
    <n v="42.76"/>
    <x v="0"/>
  </r>
  <r>
    <x v="1"/>
    <x v="1"/>
    <x v="1"/>
    <x v="1"/>
    <n v="381.03"/>
    <x v="1"/>
    <n v="1143.0899999999999"/>
    <x v="1"/>
  </r>
  <r>
    <x v="2"/>
    <x v="2"/>
    <x v="2"/>
    <x v="0"/>
    <n v="153.84"/>
    <x v="2"/>
    <n v="769.2"/>
    <x v="2"/>
  </r>
  <r>
    <x v="3"/>
    <x v="3"/>
    <x v="2"/>
    <x v="2"/>
    <n v="341.41"/>
    <x v="0"/>
    <n v="1365.64"/>
    <x v="3"/>
  </r>
  <r>
    <x v="4"/>
    <x v="4"/>
    <x v="2"/>
    <x v="1"/>
    <n v="390.16"/>
    <x v="2"/>
    <n v="1950.8"/>
    <x v="4"/>
  </r>
  <r>
    <x v="5"/>
    <x v="5"/>
    <x v="0"/>
    <x v="0"/>
    <n v="170.21"/>
    <x v="0"/>
    <n v="680.84"/>
    <x v="5"/>
  </r>
  <r>
    <x v="6"/>
    <x v="6"/>
    <x v="0"/>
    <x v="3"/>
    <n v="81.739999999999995"/>
    <x v="3"/>
    <n v="163.47999999999999"/>
    <x v="6"/>
  </r>
  <r>
    <x v="7"/>
    <x v="7"/>
    <x v="1"/>
    <x v="3"/>
    <n v="181.26"/>
    <x v="1"/>
    <n v="543.78"/>
    <x v="7"/>
  </r>
  <r>
    <x v="8"/>
    <x v="8"/>
    <x v="1"/>
    <x v="2"/>
    <n v="471.89"/>
    <x v="3"/>
    <n v="943.78"/>
    <x v="8"/>
  </r>
  <r>
    <x v="9"/>
    <x v="9"/>
    <x v="0"/>
    <x v="0"/>
    <n v="59.7"/>
    <x v="3"/>
    <n v="119.4"/>
    <x v="9"/>
  </r>
  <r>
    <x v="10"/>
    <x v="10"/>
    <x v="2"/>
    <x v="2"/>
    <n v="198.48"/>
    <x v="0"/>
    <n v="793.92"/>
    <x v="10"/>
  </r>
  <r>
    <x v="11"/>
    <x v="11"/>
    <x v="0"/>
    <x v="0"/>
    <n v="242.14"/>
    <x v="3"/>
    <n v="484.28"/>
    <x v="11"/>
  </r>
  <r>
    <x v="12"/>
    <x v="12"/>
    <x v="1"/>
    <x v="4"/>
    <n v="45.87"/>
    <x v="1"/>
    <n v="137.61000000000001"/>
    <x v="12"/>
  </r>
  <r>
    <x v="13"/>
    <x v="13"/>
    <x v="1"/>
    <x v="1"/>
    <n v="120.57"/>
    <x v="2"/>
    <n v="602.85"/>
    <x v="13"/>
  </r>
  <r>
    <x v="14"/>
    <x v="14"/>
    <x v="0"/>
    <x v="4"/>
    <n v="189.3"/>
    <x v="4"/>
    <n v="189.3"/>
    <x v="14"/>
  </r>
  <r>
    <x v="15"/>
    <x v="15"/>
    <x v="2"/>
    <x v="2"/>
    <n v="104.18"/>
    <x v="1"/>
    <n v="312.54000000000002"/>
    <x v="15"/>
  </r>
  <r>
    <x v="16"/>
    <x v="16"/>
    <x v="0"/>
    <x v="0"/>
    <n v="294.16000000000003"/>
    <x v="1"/>
    <n v="882.48"/>
    <x v="16"/>
  </r>
  <r>
    <x v="17"/>
    <x v="17"/>
    <x v="1"/>
    <x v="1"/>
    <n v="299.64999999999998"/>
    <x v="2"/>
    <n v="1498.25"/>
    <x v="17"/>
  </r>
  <r>
    <x v="18"/>
    <x v="18"/>
    <x v="2"/>
    <x v="0"/>
    <n v="467.27"/>
    <x v="0"/>
    <n v="1869.08"/>
    <x v="18"/>
  </r>
  <r>
    <x v="19"/>
    <x v="19"/>
    <x v="2"/>
    <x v="0"/>
    <n v="142.97999999999999"/>
    <x v="3"/>
    <n v="285.95999999999998"/>
    <x v="19"/>
  </r>
  <r>
    <x v="20"/>
    <x v="20"/>
    <x v="2"/>
    <x v="3"/>
    <n v="372.78"/>
    <x v="4"/>
    <n v="372.78"/>
    <x v="20"/>
  </r>
  <r>
    <x v="21"/>
    <x v="21"/>
    <x v="2"/>
    <x v="4"/>
    <n v="453.55"/>
    <x v="0"/>
    <n v="1814.2"/>
    <x v="21"/>
  </r>
  <r>
    <x v="22"/>
    <x v="22"/>
    <x v="1"/>
    <x v="2"/>
    <n v="400.46"/>
    <x v="1"/>
    <n v="1201.3800000000001"/>
    <x v="22"/>
  </r>
  <r>
    <x v="23"/>
    <x v="23"/>
    <x v="2"/>
    <x v="3"/>
    <n v="457.92"/>
    <x v="0"/>
    <n v="1831.68"/>
    <x v="23"/>
  </r>
  <r>
    <x v="24"/>
    <x v="24"/>
    <x v="1"/>
    <x v="0"/>
    <n v="153.38"/>
    <x v="0"/>
    <n v="613.52"/>
    <x v="24"/>
  </r>
  <r>
    <x v="25"/>
    <x v="25"/>
    <x v="1"/>
    <x v="2"/>
    <n v="242.49"/>
    <x v="0"/>
    <n v="969.96"/>
    <x v="25"/>
  </r>
  <r>
    <x v="26"/>
    <x v="26"/>
    <x v="1"/>
    <x v="0"/>
    <n v="478.73"/>
    <x v="3"/>
    <n v="957.46"/>
    <x v="26"/>
  </r>
  <r>
    <x v="27"/>
    <x v="27"/>
    <x v="2"/>
    <x v="4"/>
    <n v="123.61"/>
    <x v="2"/>
    <n v="618.04999999999995"/>
    <x v="27"/>
  </r>
  <r>
    <x v="28"/>
    <x v="28"/>
    <x v="1"/>
    <x v="0"/>
    <n v="92.09"/>
    <x v="1"/>
    <n v="276.27"/>
    <x v="28"/>
  </r>
  <r>
    <x v="29"/>
    <x v="29"/>
    <x v="1"/>
    <x v="4"/>
    <n v="52.94"/>
    <x v="2"/>
    <n v="264.7"/>
    <x v="29"/>
  </r>
  <r>
    <x v="30"/>
    <x v="30"/>
    <x v="0"/>
    <x v="1"/>
    <n v="389.83"/>
    <x v="0"/>
    <n v="1559.32"/>
    <x v="30"/>
  </r>
  <r>
    <x v="31"/>
    <x v="31"/>
    <x v="2"/>
    <x v="0"/>
    <n v="263.45999999999998"/>
    <x v="3"/>
    <n v="526.91999999999996"/>
    <x v="31"/>
  </r>
  <r>
    <x v="32"/>
    <x v="32"/>
    <x v="0"/>
    <x v="4"/>
    <n v="389.06"/>
    <x v="4"/>
    <n v="389.06"/>
    <x v="32"/>
  </r>
  <r>
    <x v="33"/>
    <x v="33"/>
    <x v="0"/>
    <x v="1"/>
    <n v="484.47"/>
    <x v="2"/>
    <n v="2422.35"/>
    <x v="33"/>
  </r>
  <r>
    <x v="34"/>
    <x v="34"/>
    <x v="0"/>
    <x v="3"/>
    <n v="84.4"/>
    <x v="1"/>
    <n v="253.2"/>
    <x v="34"/>
  </r>
  <r>
    <x v="35"/>
    <x v="35"/>
    <x v="2"/>
    <x v="3"/>
    <n v="294.49"/>
    <x v="2"/>
    <n v="1472.45"/>
    <x v="35"/>
  </r>
  <r>
    <x v="36"/>
    <x v="36"/>
    <x v="2"/>
    <x v="1"/>
    <n v="365"/>
    <x v="4"/>
    <n v="365"/>
    <x v="36"/>
  </r>
  <r>
    <x v="37"/>
    <x v="37"/>
    <x v="1"/>
    <x v="2"/>
    <n v="121.4"/>
    <x v="4"/>
    <n v="121.4"/>
    <x v="37"/>
  </r>
  <r>
    <x v="38"/>
    <x v="38"/>
    <x v="2"/>
    <x v="2"/>
    <n v="56.35"/>
    <x v="1"/>
    <n v="169.05"/>
    <x v="23"/>
  </r>
  <r>
    <x v="39"/>
    <x v="39"/>
    <x v="2"/>
    <x v="3"/>
    <n v="174.95"/>
    <x v="2"/>
    <n v="874.75"/>
    <x v="38"/>
  </r>
  <r>
    <x v="40"/>
    <x v="40"/>
    <x v="2"/>
    <x v="4"/>
    <n v="383.83"/>
    <x v="1"/>
    <n v="1151.49"/>
    <x v="39"/>
  </r>
  <r>
    <x v="41"/>
    <x v="41"/>
    <x v="2"/>
    <x v="3"/>
    <n v="413.42"/>
    <x v="4"/>
    <n v="413.42"/>
    <x v="40"/>
  </r>
  <r>
    <x v="42"/>
    <x v="42"/>
    <x v="2"/>
    <x v="0"/>
    <n v="300.52999999999997"/>
    <x v="2"/>
    <n v="1502.65"/>
    <x v="41"/>
  </r>
  <r>
    <x v="43"/>
    <x v="43"/>
    <x v="2"/>
    <x v="3"/>
    <n v="387.29"/>
    <x v="2"/>
    <n v="1936.45"/>
    <x v="42"/>
  </r>
  <r>
    <x v="44"/>
    <x v="44"/>
    <x v="0"/>
    <x v="4"/>
    <n v="493.08"/>
    <x v="4"/>
    <n v="493.08"/>
    <x v="43"/>
  </r>
  <r>
    <x v="45"/>
    <x v="45"/>
    <x v="2"/>
    <x v="0"/>
    <n v="111.1"/>
    <x v="0"/>
    <n v="444.4"/>
    <x v="44"/>
  </r>
  <r>
    <x v="46"/>
    <x v="46"/>
    <x v="0"/>
    <x v="1"/>
    <n v="324.60000000000002"/>
    <x v="4"/>
    <n v="324.60000000000002"/>
    <x v="45"/>
  </r>
  <r>
    <x v="47"/>
    <x v="47"/>
    <x v="2"/>
    <x v="0"/>
    <n v="216.87"/>
    <x v="2"/>
    <n v="1084.3499999999999"/>
    <x v="46"/>
  </r>
  <r>
    <x v="48"/>
    <x v="48"/>
    <x v="0"/>
    <x v="2"/>
    <n v="471.56"/>
    <x v="3"/>
    <n v="943.12"/>
    <x v="39"/>
  </r>
  <r>
    <x v="49"/>
    <x v="49"/>
    <x v="0"/>
    <x v="0"/>
    <n v="215.35"/>
    <x v="4"/>
    <n v="215.35"/>
    <x v="47"/>
  </r>
  <r>
    <x v="50"/>
    <x v="50"/>
    <x v="1"/>
    <x v="1"/>
    <n v="439.66"/>
    <x v="4"/>
    <n v="439.66"/>
    <x v="48"/>
  </r>
  <r>
    <x v="51"/>
    <x v="51"/>
    <x v="1"/>
    <x v="3"/>
    <n v="464.08"/>
    <x v="1"/>
    <n v="1392.24"/>
    <x v="40"/>
  </r>
  <r>
    <x v="52"/>
    <x v="52"/>
    <x v="2"/>
    <x v="1"/>
    <n v="285.29000000000002"/>
    <x v="2"/>
    <n v="1426.45"/>
    <x v="49"/>
  </r>
  <r>
    <x v="53"/>
    <x v="53"/>
    <x v="1"/>
    <x v="1"/>
    <n v="27.13"/>
    <x v="2"/>
    <n v="135.65"/>
    <x v="10"/>
  </r>
  <r>
    <x v="54"/>
    <x v="54"/>
    <x v="1"/>
    <x v="0"/>
    <n v="238.6"/>
    <x v="3"/>
    <n v="477.2"/>
    <x v="50"/>
  </r>
  <r>
    <x v="55"/>
    <x v="55"/>
    <x v="1"/>
    <x v="1"/>
    <n v="19.78"/>
    <x v="3"/>
    <n v="39.56"/>
    <x v="51"/>
  </r>
  <r>
    <x v="56"/>
    <x v="56"/>
    <x v="0"/>
    <x v="0"/>
    <n v="290.63"/>
    <x v="2"/>
    <n v="1453.15"/>
    <x v="52"/>
  </r>
  <r>
    <x v="57"/>
    <x v="57"/>
    <x v="1"/>
    <x v="0"/>
    <n v="397.11"/>
    <x v="3"/>
    <n v="794.22"/>
    <x v="53"/>
  </r>
  <r>
    <x v="58"/>
    <x v="58"/>
    <x v="2"/>
    <x v="0"/>
    <n v="81.849999999999994"/>
    <x v="2"/>
    <n v="409.25"/>
    <x v="7"/>
  </r>
  <r>
    <x v="59"/>
    <x v="59"/>
    <x v="0"/>
    <x v="3"/>
    <n v="356.42"/>
    <x v="2"/>
    <n v="1782.1"/>
    <x v="54"/>
  </r>
  <r>
    <x v="60"/>
    <x v="60"/>
    <x v="0"/>
    <x v="2"/>
    <n v="147.69"/>
    <x v="3"/>
    <n v="295.38"/>
    <x v="55"/>
  </r>
  <r>
    <x v="61"/>
    <x v="61"/>
    <x v="1"/>
    <x v="2"/>
    <n v="409.77"/>
    <x v="0"/>
    <n v="1639.08"/>
    <x v="56"/>
  </r>
  <r>
    <x v="62"/>
    <x v="62"/>
    <x v="0"/>
    <x v="2"/>
    <n v="43.15"/>
    <x v="4"/>
    <n v="43.15"/>
    <x v="57"/>
  </r>
  <r>
    <x v="63"/>
    <x v="63"/>
    <x v="1"/>
    <x v="4"/>
    <n v="397.01"/>
    <x v="3"/>
    <n v="794.02"/>
    <x v="4"/>
  </r>
  <r>
    <x v="64"/>
    <x v="64"/>
    <x v="1"/>
    <x v="4"/>
    <n v="482.76"/>
    <x v="0"/>
    <n v="1931.04"/>
    <x v="58"/>
  </r>
  <r>
    <x v="65"/>
    <x v="65"/>
    <x v="1"/>
    <x v="1"/>
    <n v="91.19"/>
    <x v="2"/>
    <n v="455.95"/>
    <x v="59"/>
  </r>
  <r>
    <x v="66"/>
    <x v="66"/>
    <x v="0"/>
    <x v="1"/>
    <n v="469.96"/>
    <x v="1"/>
    <n v="1409.88"/>
    <x v="60"/>
  </r>
  <r>
    <x v="67"/>
    <x v="67"/>
    <x v="0"/>
    <x v="3"/>
    <n v="424.57"/>
    <x v="2"/>
    <n v="2122.85"/>
    <x v="61"/>
  </r>
  <r>
    <x v="68"/>
    <x v="68"/>
    <x v="2"/>
    <x v="3"/>
    <n v="175.39"/>
    <x v="4"/>
    <n v="175.39"/>
    <x v="62"/>
  </r>
  <r>
    <x v="69"/>
    <x v="69"/>
    <x v="1"/>
    <x v="1"/>
    <n v="448.88"/>
    <x v="2"/>
    <n v="2244.4"/>
    <x v="63"/>
  </r>
  <r>
    <x v="70"/>
    <x v="70"/>
    <x v="0"/>
    <x v="3"/>
    <n v="350.97"/>
    <x v="2"/>
    <n v="1754.85"/>
    <x v="15"/>
  </r>
  <r>
    <x v="71"/>
    <x v="71"/>
    <x v="1"/>
    <x v="2"/>
    <n v="317.55"/>
    <x v="4"/>
    <n v="317.55"/>
    <x v="43"/>
  </r>
  <r>
    <x v="72"/>
    <x v="72"/>
    <x v="1"/>
    <x v="1"/>
    <n v="491.74"/>
    <x v="4"/>
    <n v="491.74"/>
    <x v="27"/>
  </r>
  <r>
    <x v="73"/>
    <x v="73"/>
    <x v="0"/>
    <x v="2"/>
    <n v="331.31"/>
    <x v="0"/>
    <n v="1325.24"/>
    <x v="38"/>
  </r>
  <r>
    <x v="74"/>
    <x v="74"/>
    <x v="1"/>
    <x v="2"/>
    <n v="53.36"/>
    <x v="4"/>
    <n v="53.36"/>
    <x v="64"/>
  </r>
  <r>
    <x v="75"/>
    <x v="75"/>
    <x v="0"/>
    <x v="3"/>
    <n v="199.82"/>
    <x v="1"/>
    <n v="599.46"/>
    <x v="65"/>
  </r>
  <r>
    <x v="76"/>
    <x v="76"/>
    <x v="0"/>
    <x v="1"/>
    <n v="189.16"/>
    <x v="3"/>
    <n v="378.32"/>
    <x v="66"/>
  </r>
  <r>
    <x v="77"/>
    <x v="77"/>
    <x v="0"/>
    <x v="0"/>
    <n v="361.82"/>
    <x v="0"/>
    <n v="1447.28"/>
    <x v="67"/>
  </r>
  <r>
    <x v="78"/>
    <x v="78"/>
    <x v="1"/>
    <x v="3"/>
    <n v="53.34"/>
    <x v="0"/>
    <n v="213.36"/>
    <x v="68"/>
  </r>
  <r>
    <x v="79"/>
    <x v="79"/>
    <x v="2"/>
    <x v="1"/>
    <n v="38.76"/>
    <x v="4"/>
    <n v="38.76"/>
    <x v="69"/>
  </r>
  <r>
    <x v="80"/>
    <x v="80"/>
    <x v="0"/>
    <x v="3"/>
    <n v="107.76"/>
    <x v="4"/>
    <n v="107.76"/>
    <x v="70"/>
  </r>
  <r>
    <x v="81"/>
    <x v="81"/>
    <x v="2"/>
    <x v="3"/>
    <n v="470.17"/>
    <x v="1"/>
    <n v="1410.51"/>
    <x v="71"/>
  </r>
  <r>
    <x v="82"/>
    <x v="82"/>
    <x v="0"/>
    <x v="2"/>
    <n v="189.19"/>
    <x v="3"/>
    <n v="378.38"/>
    <x v="72"/>
  </r>
  <r>
    <x v="83"/>
    <x v="83"/>
    <x v="2"/>
    <x v="3"/>
    <n v="351.26"/>
    <x v="2"/>
    <n v="1756.3"/>
    <x v="73"/>
  </r>
  <r>
    <x v="84"/>
    <x v="84"/>
    <x v="0"/>
    <x v="2"/>
    <n v="281"/>
    <x v="1"/>
    <n v="843"/>
    <x v="74"/>
  </r>
  <r>
    <x v="85"/>
    <x v="85"/>
    <x v="0"/>
    <x v="0"/>
    <n v="176.74"/>
    <x v="0"/>
    <n v="706.96"/>
    <x v="13"/>
  </r>
  <r>
    <x v="86"/>
    <x v="86"/>
    <x v="0"/>
    <x v="3"/>
    <n v="447.9"/>
    <x v="1"/>
    <n v="1343.7"/>
    <x v="75"/>
  </r>
  <r>
    <x v="87"/>
    <x v="87"/>
    <x v="0"/>
    <x v="3"/>
    <n v="74.78"/>
    <x v="0"/>
    <n v="299.12"/>
    <x v="76"/>
  </r>
  <r>
    <x v="88"/>
    <x v="88"/>
    <x v="1"/>
    <x v="2"/>
    <n v="383.7"/>
    <x v="2"/>
    <n v="1918.5"/>
    <x v="77"/>
  </r>
  <r>
    <x v="89"/>
    <x v="89"/>
    <x v="0"/>
    <x v="3"/>
    <n v="404.52"/>
    <x v="0"/>
    <n v="1618.08"/>
    <x v="78"/>
  </r>
  <r>
    <x v="90"/>
    <x v="90"/>
    <x v="1"/>
    <x v="3"/>
    <n v="224.19"/>
    <x v="4"/>
    <n v="224.19"/>
    <x v="79"/>
  </r>
  <r>
    <x v="91"/>
    <x v="91"/>
    <x v="2"/>
    <x v="4"/>
    <n v="43.86"/>
    <x v="4"/>
    <n v="43.86"/>
    <x v="80"/>
  </r>
  <r>
    <x v="92"/>
    <x v="92"/>
    <x v="0"/>
    <x v="3"/>
    <n v="478.62"/>
    <x v="0"/>
    <n v="1914.48"/>
    <x v="81"/>
  </r>
  <r>
    <x v="93"/>
    <x v="93"/>
    <x v="2"/>
    <x v="0"/>
    <n v="411.93"/>
    <x v="0"/>
    <n v="1647.72"/>
    <x v="82"/>
  </r>
  <r>
    <x v="94"/>
    <x v="94"/>
    <x v="0"/>
    <x v="1"/>
    <n v="324.42"/>
    <x v="0"/>
    <n v="1297.68"/>
    <x v="83"/>
  </r>
  <r>
    <x v="95"/>
    <x v="95"/>
    <x v="2"/>
    <x v="1"/>
    <n v="338.05"/>
    <x v="2"/>
    <n v="1690.25"/>
    <x v="84"/>
  </r>
  <r>
    <x v="96"/>
    <x v="96"/>
    <x v="0"/>
    <x v="4"/>
    <n v="429.05"/>
    <x v="1"/>
    <n v="1287.1500000000001"/>
    <x v="85"/>
  </r>
  <r>
    <x v="97"/>
    <x v="97"/>
    <x v="0"/>
    <x v="3"/>
    <n v="94.21"/>
    <x v="3"/>
    <n v="188.42"/>
    <x v="86"/>
  </r>
  <r>
    <x v="98"/>
    <x v="98"/>
    <x v="0"/>
    <x v="3"/>
    <n v="217.42"/>
    <x v="2"/>
    <n v="1087.0999999999999"/>
    <x v="87"/>
  </r>
  <r>
    <x v="99"/>
    <x v="99"/>
    <x v="1"/>
    <x v="3"/>
    <n v="264.58999999999997"/>
    <x v="3"/>
    <n v="529.17999999999995"/>
    <x v="88"/>
  </r>
  <r>
    <x v="100"/>
    <x v="100"/>
    <x v="1"/>
    <x v="1"/>
    <n v="274.95"/>
    <x v="2"/>
    <n v="1374.75"/>
    <x v="89"/>
  </r>
  <r>
    <x v="101"/>
    <x v="101"/>
    <x v="2"/>
    <x v="3"/>
    <n v="217.31"/>
    <x v="1"/>
    <n v="651.92999999999995"/>
    <x v="90"/>
  </r>
  <r>
    <x v="102"/>
    <x v="102"/>
    <x v="0"/>
    <x v="3"/>
    <n v="130.99"/>
    <x v="4"/>
    <n v="130.99"/>
    <x v="91"/>
  </r>
  <r>
    <x v="103"/>
    <x v="103"/>
    <x v="2"/>
    <x v="4"/>
    <n v="494.43"/>
    <x v="0"/>
    <n v="1977.72"/>
    <x v="92"/>
  </r>
  <r>
    <x v="104"/>
    <x v="104"/>
    <x v="2"/>
    <x v="1"/>
    <n v="61.69"/>
    <x v="1"/>
    <n v="185.07"/>
    <x v="93"/>
  </r>
  <r>
    <x v="105"/>
    <x v="105"/>
    <x v="1"/>
    <x v="0"/>
    <n v="339.09"/>
    <x v="0"/>
    <n v="1356.36"/>
    <x v="94"/>
  </r>
  <r>
    <x v="106"/>
    <x v="106"/>
    <x v="0"/>
    <x v="4"/>
    <n v="344.58"/>
    <x v="2"/>
    <n v="1722.9"/>
    <x v="95"/>
  </r>
  <r>
    <x v="107"/>
    <x v="107"/>
    <x v="2"/>
    <x v="3"/>
    <n v="101.81"/>
    <x v="4"/>
    <n v="101.81"/>
    <x v="96"/>
  </r>
  <r>
    <x v="108"/>
    <x v="108"/>
    <x v="2"/>
    <x v="2"/>
    <n v="226.52"/>
    <x v="4"/>
    <n v="226.52"/>
    <x v="97"/>
  </r>
  <r>
    <x v="109"/>
    <x v="109"/>
    <x v="2"/>
    <x v="0"/>
    <n v="304.22000000000003"/>
    <x v="4"/>
    <n v="304.22000000000003"/>
    <x v="62"/>
  </r>
  <r>
    <x v="110"/>
    <x v="110"/>
    <x v="2"/>
    <x v="3"/>
    <n v="65.72"/>
    <x v="0"/>
    <n v="262.88"/>
    <x v="42"/>
  </r>
  <r>
    <x v="111"/>
    <x v="111"/>
    <x v="1"/>
    <x v="0"/>
    <n v="23.07"/>
    <x v="3"/>
    <n v="46.14"/>
    <x v="98"/>
  </r>
  <r>
    <x v="112"/>
    <x v="112"/>
    <x v="2"/>
    <x v="0"/>
    <n v="236.09"/>
    <x v="2"/>
    <n v="1180.45"/>
    <x v="99"/>
  </r>
  <r>
    <x v="113"/>
    <x v="113"/>
    <x v="2"/>
    <x v="2"/>
    <n v="484.31"/>
    <x v="2"/>
    <n v="2421.5500000000002"/>
    <x v="49"/>
  </r>
  <r>
    <x v="114"/>
    <x v="114"/>
    <x v="0"/>
    <x v="0"/>
    <n v="410.03"/>
    <x v="1"/>
    <n v="1230.0899999999999"/>
    <x v="100"/>
  </r>
  <r>
    <x v="115"/>
    <x v="115"/>
    <x v="2"/>
    <x v="2"/>
    <n v="402.41"/>
    <x v="2"/>
    <n v="2012.05"/>
    <x v="101"/>
  </r>
  <r>
    <x v="116"/>
    <x v="116"/>
    <x v="1"/>
    <x v="4"/>
    <n v="197.65"/>
    <x v="4"/>
    <n v="197.65"/>
    <x v="59"/>
  </r>
  <r>
    <x v="117"/>
    <x v="117"/>
    <x v="2"/>
    <x v="3"/>
    <n v="336.23"/>
    <x v="3"/>
    <n v="672.46"/>
    <x v="62"/>
  </r>
  <r>
    <x v="118"/>
    <x v="118"/>
    <x v="2"/>
    <x v="4"/>
    <n v="38.229999999999997"/>
    <x v="3"/>
    <n v="76.459999999999994"/>
    <x v="70"/>
  </r>
  <r>
    <x v="119"/>
    <x v="119"/>
    <x v="0"/>
    <x v="0"/>
    <n v="116.44"/>
    <x v="0"/>
    <n v="465.76"/>
    <x v="102"/>
  </r>
  <r>
    <x v="120"/>
    <x v="120"/>
    <x v="2"/>
    <x v="4"/>
    <n v="235.6"/>
    <x v="4"/>
    <n v="235.6"/>
    <x v="103"/>
  </r>
  <r>
    <x v="121"/>
    <x v="121"/>
    <x v="1"/>
    <x v="2"/>
    <n v="80.010000000000005"/>
    <x v="3"/>
    <n v="160.02000000000001"/>
    <x v="104"/>
  </r>
  <r>
    <x v="122"/>
    <x v="122"/>
    <x v="1"/>
    <x v="1"/>
    <n v="194.62"/>
    <x v="2"/>
    <n v="973.1"/>
    <x v="105"/>
  </r>
  <r>
    <x v="123"/>
    <x v="123"/>
    <x v="2"/>
    <x v="1"/>
    <n v="396.47"/>
    <x v="0"/>
    <n v="1585.88"/>
    <x v="106"/>
  </r>
  <r>
    <x v="124"/>
    <x v="124"/>
    <x v="2"/>
    <x v="2"/>
    <n v="372.57"/>
    <x v="2"/>
    <n v="1862.85"/>
    <x v="107"/>
  </r>
  <r>
    <x v="125"/>
    <x v="125"/>
    <x v="0"/>
    <x v="0"/>
    <n v="295.87"/>
    <x v="2"/>
    <n v="1479.35"/>
    <x v="108"/>
  </r>
  <r>
    <x v="126"/>
    <x v="126"/>
    <x v="0"/>
    <x v="1"/>
    <n v="16.43"/>
    <x v="3"/>
    <n v="32.86"/>
    <x v="109"/>
  </r>
  <r>
    <x v="127"/>
    <x v="127"/>
    <x v="2"/>
    <x v="2"/>
    <n v="440.19"/>
    <x v="0"/>
    <n v="1760.76"/>
    <x v="61"/>
  </r>
  <r>
    <x v="128"/>
    <x v="128"/>
    <x v="2"/>
    <x v="1"/>
    <n v="216.77"/>
    <x v="3"/>
    <n v="433.54"/>
    <x v="99"/>
  </r>
  <r>
    <x v="129"/>
    <x v="129"/>
    <x v="1"/>
    <x v="3"/>
    <n v="448.36"/>
    <x v="1"/>
    <n v="1345.08"/>
    <x v="20"/>
  </r>
  <r>
    <x v="130"/>
    <x v="130"/>
    <x v="1"/>
    <x v="3"/>
    <n v="406.56"/>
    <x v="3"/>
    <n v="813.12"/>
    <x v="110"/>
  </r>
  <r>
    <x v="131"/>
    <x v="131"/>
    <x v="1"/>
    <x v="3"/>
    <n v="221.76"/>
    <x v="4"/>
    <n v="221.76"/>
    <x v="111"/>
  </r>
  <r>
    <x v="132"/>
    <x v="132"/>
    <x v="2"/>
    <x v="0"/>
    <n v="220.95"/>
    <x v="1"/>
    <n v="662.85"/>
    <x v="112"/>
  </r>
  <r>
    <x v="133"/>
    <x v="133"/>
    <x v="1"/>
    <x v="2"/>
    <n v="429.75"/>
    <x v="2"/>
    <n v="2148.75"/>
    <x v="7"/>
  </r>
  <r>
    <x v="134"/>
    <x v="134"/>
    <x v="0"/>
    <x v="3"/>
    <n v="469.21"/>
    <x v="4"/>
    <n v="469.21"/>
    <x v="113"/>
  </r>
  <r>
    <x v="135"/>
    <x v="135"/>
    <x v="2"/>
    <x v="0"/>
    <n v="217.83"/>
    <x v="2"/>
    <n v="1089.1500000000001"/>
    <x v="114"/>
  </r>
  <r>
    <x v="136"/>
    <x v="136"/>
    <x v="0"/>
    <x v="2"/>
    <n v="302.26"/>
    <x v="0"/>
    <n v="1209.04"/>
    <x v="115"/>
  </r>
  <r>
    <x v="137"/>
    <x v="137"/>
    <x v="1"/>
    <x v="2"/>
    <n v="365.97"/>
    <x v="0"/>
    <n v="1463.88"/>
    <x v="116"/>
  </r>
  <r>
    <x v="138"/>
    <x v="138"/>
    <x v="2"/>
    <x v="3"/>
    <n v="404.88"/>
    <x v="0"/>
    <n v="1619.52"/>
    <x v="117"/>
  </r>
  <r>
    <x v="139"/>
    <x v="139"/>
    <x v="1"/>
    <x v="2"/>
    <n v="97.28"/>
    <x v="0"/>
    <n v="389.12"/>
    <x v="118"/>
  </r>
  <r>
    <x v="140"/>
    <x v="140"/>
    <x v="2"/>
    <x v="3"/>
    <n v="262.89"/>
    <x v="0"/>
    <n v="1051.56"/>
    <x v="119"/>
  </r>
  <r>
    <x v="141"/>
    <x v="141"/>
    <x v="1"/>
    <x v="2"/>
    <n v="344.72"/>
    <x v="2"/>
    <n v="1723.6"/>
    <x v="120"/>
  </r>
  <r>
    <x v="142"/>
    <x v="142"/>
    <x v="2"/>
    <x v="2"/>
    <n v="336.85"/>
    <x v="4"/>
    <n v="336.85"/>
    <x v="121"/>
  </r>
  <r>
    <x v="143"/>
    <x v="143"/>
    <x v="1"/>
    <x v="4"/>
    <n v="217.13"/>
    <x v="4"/>
    <n v="217.13"/>
    <x v="122"/>
  </r>
  <r>
    <x v="144"/>
    <x v="144"/>
    <x v="2"/>
    <x v="4"/>
    <n v="343.97"/>
    <x v="3"/>
    <n v="687.94"/>
    <x v="123"/>
  </r>
  <r>
    <x v="145"/>
    <x v="145"/>
    <x v="0"/>
    <x v="1"/>
    <n v="61.65"/>
    <x v="0"/>
    <n v="246.6"/>
    <x v="123"/>
  </r>
  <r>
    <x v="146"/>
    <x v="146"/>
    <x v="2"/>
    <x v="0"/>
    <n v="154.75"/>
    <x v="0"/>
    <n v="619"/>
    <x v="124"/>
  </r>
  <r>
    <x v="147"/>
    <x v="147"/>
    <x v="0"/>
    <x v="0"/>
    <n v="45.01"/>
    <x v="1"/>
    <n v="135.03"/>
    <x v="104"/>
  </r>
  <r>
    <x v="148"/>
    <x v="148"/>
    <x v="0"/>
    <x v="1"/>
    <n v="206.59"/>
    <x v="2"/>
    <n v="1032.95"/>
    <x v="125"/>
  </r>
  <r>
    <x v="149"/>
    <x v="149"/>
    <x v="2"/>
    <x v="1"/>
    <n v="66.03"/>
    <x v="4"/>
    <n v="66.03"/>
    <x v="126"/>
  </r>
  <r>
    <x v="150"/>
    <x v="150"/>
    <x v="2"/>
    <x v="3"/>
    <n v="148.97999999999999"/>
    <x v="2"/>
    <n v="744.9"/>
    <x v="127"/>
  </r>
  <r>
    <x v="151"/>
    <x v="151"/>
    <x v="1"/>
    <x v="3"/>
    <n v="66.25"/>
    <x v="1"/>
    <n v="198.75"/>
    <x v="128"/>
  </r>
  <r>
    <x v="152"/>
    <x v="152"/>
    <x v="2"/>
    <x v="0"/>
    <n v="438.41"/>
    <x v="0"/>
    <n v="1753.64"/>
    <x v="129"/>
  </r>
  <r>
    <x v="153"/>
    <x v="153"/>
    <x v="1"/>
    <x v="2"/>
    <n v="213.32"/>
    <x v="4"/>
    <n v="213.32"/>
    <x v="130"/>
  </r>
  <r>
    <x v="154"/>
    <x v="154"/>
    <x v="0"/>
    <x v="2"/>
    <n v="137.63"/>
    <x v="1"/>
    <n v="412.89"/>
    <x v="131"/>
  </r>
  <r>
    <x v="155"/>
    <x v="155"/>
    <x v="2"/>
    <x v="4"/>
    <n v="400.27"/>
    <x v="3"/>
    <n v="800.54"/>
    <x v="112"/>
  </r>
  <r>
    <x v="156"/>
    <x v="156"/>
    <x v="0"/>
    <x v="0"/>
    <n v="73.98"/>
    <x v="1"/>
    <n v="221.94"/>
    <x v="132"/>
  </r>
  <r>
    <x v="157"/>
    <x v="157"/>
    <x v="2"/>
    <x v="2"/>
    <n v="250.51"/>
    <x v="1"/>
    <n v="751.53"/>
    <x v="103"/>
  </r>
  <r>
    <x v="158"/>
    <x v="158"/>
    <x v="2"/>
    <x v="3"/>
    <n v="22.28"/>
    <x v="3"/>
    <n v="44.56"/>
    <x v="133"/>
  </r>
  <r>
    <x v="159"/>
    <x v="159"/>
    <x v="2"/>
    <x v="0"/>
    <n v="359.05"/>
    <x v="3"/>
    <n v="718.1"/>
    <x v="134"/>
  </r>
  <r>
    <x v="160"/>
    <x v="160"/>
    <x v="2"/>
    <x v="2"/>
    <n v="472.75"/>
    <x v="2"/>
    <n v="2363.75"/>
    <x v="135"/>
  </r>
  <r>
    <x v="161"/>
    <x v="161"/>
    <x v="2"/>
    <x v="1"/>
    <n v="287.52"/>
    <x v="4"/>
    <n v="287.52"/>
    <x v="86"/>
  </r>
  <r>
    <x v="162"/>
    <x v="162"/>
    <x v="0"/>
    <x v="2"/>
    <n v="318.08999999999997"/>
    <x v="4"/>
    <n v="318.08999999999997"/>
    <x v="136"/>
  </r>
  <r>
    <x v="163"/>
    <x v="163"/>
    <x v="2"/>
    <x v="2"/>
    <n v="142.24"/>
    <x v="1"/>
    <n v="426.72"/>
    <x v="43"/>
  </r>
  <r>
    <x v="164"/>
    <x v="164"/>
    <x v="2"/>
    <x v="4"/>
    <n v="405.4"/>
    <x v="1"/>
    <n v="1216.2"/>
    <x v="130"/>
  </r>
  <r>
    <x v="165"/>
    <x v="165"/>
    <x v="0"/>
    <x v="2"/>
    <n v="368.51"/>
    <x v="0"/>
    <n v="1474.04"/>
    <x v="137"/>
  </r>
  <r>
    <x v="166"/>
    <x v="166"/>
    <x v="1"/>
    <x v="3"/>
    <n v="363.47"/>
    <x v="0"/>
    <n v="1453.88"/>
    <x v="52"/>
  </r>
  <r>
    <x v="167"/>
    <x v="167"/>
    <x v="2"/>
    <x v="3"/>
    <n v="201.39"/>
    <x v="4"/>
    <n v="201.39"/>
    <x v="11"/>
  </r>
  <r>
    <x v="168"/>
    <x v="168"/>
    <x v="1"/>
    <x v="2"/>
    <n v="107.88"/>
    <x v="0"/>
    <n v="431.52"/>
    <x v="17"/>
  </r>
  <r>
    <x v="169"/>
    <x v="169"/>
    <x v="1"/>
    <x v="1"/>
    <n v="293.06"/>
    <x v="4"/>
    <n v="293.06"/>
    <x v="138"/>
  </r>
  <r>
    <x v="170"/>
    <x v="170"/>
    <x v="2"/>
    <x v="2"/>
    <n v="304.49"/>
    <x v="3"/>
    <n v="608.98"/>
    <x v="139"/>
  </r>
  <r>
    <x v="171"/>
    <x v="171"/>
    <x v="2"/>
    <x v="0"/>
    <n v="21.21"/>
    <x v="0"/>
    <n v="84.84"/>
    <x v="140"/>
  </r>
  <r>
    <x v="172"/>
    <x v="172"/>
    <x v="1"/>
    <x v="0"/>
    <n v="474.87"/>
    <x v="4"/>
    <n v="474.87"/>
    <x v="37"/>
  </r>
  <r>
    <x v="173"/>
    <x v="173"/>
    <x v="1"/>
    <x v="2"/>
    <n v="342.39"/>
    <x v="4"/>
    <n v="342.39"/>
    <x v="141"/>
  </r>
  <r>
    <x v="174"/>
    <x v="174"/>
    <x v="1"/>
    <x v="0"/>
    <n v="55.09"/>
    <x v="1"/>
    <n v="165.27"/>
    <x v="19"/>
  </r>
  <r>
    <x v="175"/>
    <x v="175"/>
    <x v="0"/>
    <x v="2"/>
    <n v="319.10000000000002"/>
    <x v="4"/>
    <n v="319.10000000000002"/>
    <x v="142"/>
  </r>
  <r>
    <x v="176"/>
    <x v="176"/>
    <x v="1"/>
    <x v="2"/>
    <n v="316.13"/>
    <x v="3"/>
    <n v="632.26"/>
    <x v="58"/>
  </r>
  <r>
    <x v="177"/>
    <x v="177"/>
    <x v="1"/>
    <x v="4"/>
    <n v="240.78"/>
    <x v="1"/>
    <n v="722.34"/>
    <x v="143"/>
  </r>
  <r>
    <x v="178"/>
    <x v="178"/>
    <x v="0"/>
    <x v="4"/>
    <n v="425.35"/>
    <x v="2"/>
    <n v="2126.75"/>
    <x v="144"/>
  </r>
  <r>
    <x v="179"/>
    <x v="179"/>
    <x v="2"/>
    <x v="0"/>
    <n v="399.28"/>
    <x v="3"/>
    <n v="798.56"/>
    <x v="49"/>
  </r>
  <r>
    <x v="180"/>
    <x v="180"/>
    <x v="2"/>
    <x v="1"/>
    <n v="398.79"/>
    <x v="1"/>
    <n v="1196.3699999999999"/>
    <x v="128"/>
  </r>
  <r>
    <x v="181"/>
    <x v="181"/>
    <x v="1"/>
    <x v="4"/>
    <n v="172.7"/>
    <x v="3"/>
    <n v="345.4"/>
    <x v="103"/>
  </r>
  <r>
    <x v="182"/>
    <x v="182"/>
    <x v="0"/>
    <x v="3"/>
    <n v="385.69"/>
    <x v="0"/>
    <n v="1542.76"/>
    <x v="145"/>
  </r>
  <r>
    <x v="183"/>
    <x v="183"/>
    <x v="1"/>
    <x v="2"/>
    <n v="48.3"/>
    <x v="3"/>
    <n v="96.6"/>
    <x v="146"/>
  </r>
  <r>
    <x v="184"/>
    <x v="184"/>
    <x v="2"/>
    <x v="1"/>
    <n v="79.95"/>
    <x v="0"/>
    <n v="319.8"/>
    <x v="147"/>
  </r>
  <r>
    <x v="185"/>
    <x v="185"/>
    <x v="0"/>
    <x v="1"/>
    <n v="433.1"/>
    <x v="1"/>
    <n v="1299.3"/>
    <x v="46"/>
  </r>
  <r>
    <x v="186"/>
    <x v="186"/>
    <x v="0"/>
    <x v="2"/>
    <n v="468.67"/>
    <x v="1"/>
    <n v="1406.01"/>
    <x v="148"/>
  </r>
  <r>
    <x v="187"/>
    <x v="187"/>
    <x v="1"/>
    <x v="1"/>
    <n v="268.26"/>
    <x v="3"/>
    <n v="536.52"/>
    <x v="149"/>
  </r>
  <r>
    <x v="188"/>
    <x v="188"/>
    <x v="0"/>
    <x v="3"/>
    <n v="161.13"/>
    <x v="0"/>
    <n v="644.52"/>
    <x v="150"/>
  </r>
  <r>
    <x v="189"/>
    <x v="189"/>
    <x v="1"/>
    <x v="4"/>
    <n v="86.59"/>
    <x v="2"/>
    <n v="432.95"/>
    <x v="66"/>
  </r>
  <r>
    <x v="190"/>
    <x v="190"/>
    <x v="0"/>
    <x v="1"/>
    <n v="117.16"/>
    <x v="2"/>
    <n v="585.79999999999995"/>
    <x v="63"/>
  </r>
  <r>
    <x v="191"/>
    <x v="191"/>
    <x v="2"/>
    <x v="0"/>
    <n v="37.42"/>
    <x v="1"/>
    <n v="112.26"/>
    <x v="151"/>
  </r>
  <r>
    <x v="192"/>
    <x v="192"/>
    <x v="1"/>
    <x v="0"/>
    <n v="57.31"/>
    <x v="1"/>
    <n v="171.93"/>
    <x v="152"/>
  </r>
  <r>
    <x v="193"/>
    <x v="193"/>
    <x v="2"/>
    <x v="1"/>
    <n v="179.06"/>
    <x v="1"/>
    <n v="537.17999999999995"/>
    <x v="153"/>
  </r>
  <r>
    <x v="194"/>
    <x v="194"/>
    <x v="1"/>
    <x v="0"/>
    <n v="249.56"/>
    <x v="4"/>
    <n v="249.56"/>
    <x v="113"/>
  </r>
  <r>
    <x v="195"/>
    <x v="195"/>
    <x v="1"/>
    <x v="2"/>
    <n v="270.25"/>
    <x v="1"/>
    <n v="810.75"/>
    <x v="2"/>
  </r>
  <r>
    <x v="196"/>
    <x v="196"/>
    <x v="1"/>
    <x v="2"/>
    <n v="251.37"/>
    <x v="1"/>
    <n v="754.11"/>
    <x v="154"/>
  </r>
  <r>
    <x v="197"/>
    <x v="197"/>
    <x v="2"/>
    <x v="4"/>
    <n v="358.78"/>
    <x v="1"/>
    <n v="1076.3399999999999"/>
    <x v="7"/>
  </r>
  <r>
    <x v="198"/>
    <x v="198"/>
    <x v="0"/>
    <x v="4"/>
    <n v="496.1"/>
    <x v="3"/>
    <n v="992.2"/>
    <x v="155"/>
  </r>
  <r>
    <x v="199"/>
    <x v="199"/>
    <x v="2"/>
    <x v="0"/>
    <n v="385.74"/>
    <x v="3"/>
    <n v="771.48"/>
    <x v="156"/>
  </r>
  <r>
    <x v="200"/>
    <x v="200"/>
    <x v="0"/>
    <x v="0"/>
    <n v="95.96"/>
    <x v="0"/>
    <n v="383.84"/>
    <x v="157"/>
  </r>
  <r>
    <x v="201"/>
    <x v="201"/>
    <x v="1"/>
    <x v="1"/>
    <n v="494.54"/>
    <x v="1"/>
    <n v="1483.62"/>
    <x v="135"/>
  </r>
  <r>
    <x v="202"/>
    <x v="202"/>
    <x v="1"/>
    <x v="3"/>
    <n v="125.53"/>
    <x v="4"/>
    <n v="125.53"/>
    <x v="99"/>
  </r>
  <r>
    <x v="203"/>
    <x v="203"/>
    <x v="2"/>
    <x v="4"/>
    <n v="28.56"/>
    <x v="2"/>
    <n v="142.80000000000001"/>
    <x v="158"/>
  </r>
  <r>
    <x v="204"/>
    <x v="204"/>
    <x v="1"/>
    <x v="3"/>
    <n v="277.41000000000003"/>
    <x v="4"/>
    <n v="277.41000000000003"/>
    <x v="43"/>
  </r>
  <r>
    <x v="205"/>
    <x v="205"/>
    <x v="0"/>
    <x v="2"/>
    <n v="33.04"/>
    <x v="4"/>
    <n v="33.04"/>
    <x v="14"/>
  </r>
  <r>
    <x v="206"/>
    <x v="206"/>
    <x v="0"/>
    <x v="2"/>
    <n v="85.73"/>
    <x v="0"/>
    <n v="342.92"/>
    <x v="74"/>
  </r>
  <r>
    <x v="207"/>
    <x v="207"/>
    <x v="2"/>
    <x v="0"/>
    <n v="364.29"/>
    <x v="2"/>
    <n v="1821.45"/>
    <x v="159"/>
  </r>
  <r>
    <x v="208"/>
    <x v="208"/>
    <x v="0"/>
    <x v="3"/>
    <n v="330.96"/>
    <x v="1"/>
    <n v="992.88"/>
    <x v="160"/>
  </r>
  <r>
    <x v="209"/>
    <x v="209"/>
    <x v="2"/>
    <x v="4"/>
    <n v="200.85"/>
    <x v="0"/>
    <n v="803.4"/>
    <x v="106"/>
  </r>
  <r>
    <x v="210"/>
    <x v="210"/>
    <x v="0"/>
    <x v="0"/>
    <n v="416.52"/>
    <x v="2"/>
    <n v="2082.6"/>
    <x v="161"/>
  </r>
  <r>
    <x v="211"/>
    <x v="211"/>
    <x v="1"/>
    <x v="2"/>
    <n v="59.29"/>
    <x v="4"/>
    <n v="59.29"/>
    <x v="162"/>
  </r>
  <r>
    <x v="212"/>
    <x v="212"/>
    <x v="0"/>
    <x v="0"/>
    <n v="495.12"/>
    <x v="3"/>
    <n v="990.24"/>
    <x v="84"/>
  </r>
  <r>
    <x v="213"/>
    <x v="213"/>
    <x v="0"/>
    <x v="1"/>
    <n v="51.13"/>
    <x v="1"/>
    <n v="153.38999999999999"/>
    <x v="47"/>
  </r>
  <r>
    <x v="214"/>
    <x v="214"/>
    <x v="0"/>
    <x v="0"/>
    <n v="31.33"/>
    <x v="4"/>
    <n v="31.33"/>
    <x v="163"/>
  </r>
  <r>
    <x v="215"/>
    <x v="215"/>
    <x v="0"/>
    <x v="3"/>
    <n v="480.3"/>
    <x v="1"/>
    <n v="1440.9"/>
    <x v="164"/>
  </r>
  <r>
    <x v="216"/>
    <x v="216"/>
    <x v="1"/>
    <x v="1"/>
    <n v="269.56"/>
    <x v="0"/>
    <n v="1078.24"/>
    <x v="165"/>
  </r>
  <r>
    <x v="217"/>
    <x v="217"/>
    <x v="1"/>
    <x v="4"/>
    <n v="425"/>
    <x v="4"/>
    <n v="425"/>
    <x v="166"/>
  </r>
  <r>
    <x v="218"/>
    <x v="218"/>
    <x v="0"/>
    <x v="3"/>
    <n v="374.61"/>
    <x v="4"/>
    <n v="374.61"/>
    <x v="63"/>
  </r>
  <r>
    <x v="219"/>
    <x v="219"/>
    <x v="2"/>
    <x v="3"/>
    <n v="349.96"/>
    <x v="2"/>
    <n v="1749.8"/>
    <x v="167"/>
  </r>
  <r>
    <x v="220"/>
    <x v="220"/>
    <x v="0"/>
    <x v="1"/>
    <n v="73.53"/>
    <x v="3"/>
    <n v="147.06"/>
    <x v="48"/>
  </r>
  <r>
    <x v="221"/>
    <x v="221"/>
    <x v="1"/>
    <x v="0"/>
    <n v="214.82"/>
    <x v="1"/>
    <n v="644.46"/>
    <x v="168"/>
  </r>
  <r>
    <x v="222"/>
    <x v="222"/>
    <x v="2"/>
    <x v="2"/>
    <n v="72.739999999999995"/>
    <x v="4"/>
    <n v="72.739999999999995"/>
    <x v="169"/>
  </r>
  <r>
    <x v="223"/>
    <x v="223"/>
    <x v="2"/>
    <x v="0"/>
    <n v="61.61"/>
    <x v="3"/>
    <n v="123.22"/>
    <x v="170"/>
  </r>
  <r>
    <x v="224"/>
    <x v="224"/>
    <x v="0"/>
    <x v="2"/>
    <n v="227.54"/>
    <x v="0"/>
    <n v="910.16"/>
    <x v="171"/>
  </r>
  <r>
    <x v="225"/>
    <x v="225"/>
    <x v="0"/>
    <x v="4"/>
    <n v="192.22"/>
    <x v="1"/>
    <n v="576.66"/>
    <x v="172"/>
  </r>
  <r>
    <x v="226"/>
    <x v="226"/>
    <x v="1"/>
    <x v="3"/>
    <n v="348.01"/>
    <x v="0"/>
    <n v="1392.04"/>
    <x v="173"/>
  </r>
  <r>
    <x v="227"/>
    <x v="227"/>
    <x v="1"/>
    <x v="0"/>
    <n v="332.38"/>
    <x v="4"/>
    <n v="332.38"/>
    <x v="150"/>
  </r>
  <r>
    <x v="228"/>
    <x v="228"/>
    <x v="2"/>
    <x v="4"/>
    <n v="412.87"/>
    <x v="4"/>
    <n v="412.87"/>
    <x v="174"/>
  </r>
  <r>
    <x v="229"/>
    <x v="229"/>
    <x v="1"/>
    <x v="2"/>
    <n v="80.83"/>
    <x v="4"/>
    <n v="80.83"/>
    <x v="45"/>
  </r>
  <r>
    <x v="230"/>
    <x v="230"/>
    <x v="1"/>
    <x v="4"/>
    <n v="44.71"/>
    <x v="0"/>
    <n v="178.84"/>
    <x v="175"/>
  </r>
  <r>
    <x v="231"/>
    <x v="231"/>
    <x v="2"/>
    <x v="3"/>
    <n v="380.02"/>
    <x v="3"/>
    <n v="760.04"/>
    <x v="176"/>
  </r>
  <r>
    <x v="232"/>
    <x v="232"/>
    <x v="0"/>
    <x v="1"/>
    <n v="265.42"/>
    <x v="0"/>
    <n v="1061.68"/>
    <x v="125"/>
  </r>
  <r>
    <x v="233"/>
    <x v="233"/>
    <x v="2"/>
    <x v="2"/>
    <n v="296.07"/>
    <x v="2"/>
    <n v="1480.35"/>
    <x v="177"/>
  </r>
  <r>
    <x v="234"/>
    <x v="234"/>
    <x v="0"/>
    <x v="2"/>
    <n v="189.25"/>
    <x v="4"/>
    <n v="189.25"/>
    <x v="17"/>
  </r>
  <r>
    <x v="235"/>
    <x v="235"/>
    <x v="1"/>
    <x v="4"/>
    <n v="19.11"/>
    <x v="0"/>
    <n v="76.44"/>
    <x v="178"/>
  </r>
  <r>
    <x v="236"/>
    <x v="236"/>
    <x v="1"/>
    <x v="0"/>
    <n v="69.38"/>
    <x v="2"/>
    <n v="346.9"/>
    <x v="179"/>
  </r>
  <r>
    <x v="237"/>
    <x v="237"/>
    <x v="2"/>
    <x v="1"/>
    <n v="306.17"/>
    <x v="4"/>
    <n v="306.17"/>
    <x v="180"/>
  </r>
  <r>
    <x v="238"/>
    <x v="238"/>
    <x v="2"/>
    <x v="4"/>
    <n v="409.91"/>
    <x v="1"/>
    <n v="1229.73"/>
    <x v="166"/>
  </r>
  <r>
    <x v="239"/>
    <x v="239"/>
    <x v="0"/>
    <x v="4"/>
    <n v="287.08999999999997"/>
    <x v="2"/>
    <n v="1435.45"/>
    <x v="181"/>
  </r>
  <r>
    <x v="240"/>
    <x v="240"/>
    <x v="1"/>
    <x v="0"/>
    <n v="21.58"/>
    <x v="4"/>
    <n v="21.58"/>
    <x v="182"/>
  </r>
  <r>
    <x v="241"/>
    <x v="241"/>
    <x v="1"/>
    <x v="1"/>
    <n v="159.12"/>
    <x v="0"/>
    <n v="636.48"/>
    <x v="183"/>
  </r>
  <r>
    <x v="242"/>
    <x v="242"/>
    <x v="1"/>
    <x v="3"/>
    <n v="370.16"/>
    <x v="3"/>
    <n v="740.32"/>
    <x v="184"/>
  </r>
  <r>
    <x v="243"/>
    <x v="243"/>
    <x v="2"/>
    <x v="4"/>
    <n v="204.08"/>
    <x v="4"/>
    <n v="204.08"/>
    <x v="106"/>
  </r>
  <r>
    <x v="244"/>
    <x v="244"/>
    <x v="2"/>
    <x v="1"/>
    <n v="475.17"/>
    <x v="2"/>
    <n v="2375.85"/>
    <x v="175"/>
  </r>
  <r>
    <x v="245"/>
    <x v="245"/>
    <x v="2"/>
    <x v="1"/>
    <n v="151.72999999999999"/>
    <x v="1"/>
    <n v="455.19"/>
    <x v="150"/>
  </r>
  <r>
    <x v="246"/>
    <x v="246"/>
    <x v="2"/>
    <x v="2"/>
    <n v="334.92"/>
    <x v="3"/>
    <n v="669.84"/>
    <x v="156"/>
  </r>
  <r>
    <x v="247"/>
    <x v="247"/>
    <x v="0"/>
    <x v="3"/>
    <n v="483.16"/>
    <x v="0"/>
    <n v="1932.64"/>
    <x v="185"/>
  </r>
  <r>
    <x v="248"/>
    <x v="248"/>
    <x v="2"/>
    <x v="1"/>
    <n v="200.77"/>
    <x v="2"/>
    <n v="1003.85"/>
    <x v="186"/>
  </r>
  <r>
    <x v="249"/>
    <x v="249"/>
    <x v="0"/>
    <x v="1"/>
    <n v="31.09"/>
    <x v="2"/>
    <n v="155.44999999999999"/>
    <x v="187"/>
  </r>
  <r>
    <x v="250"/>
    <x v="250"/>
    <x v="0"/>
    <x v="1"/>
    <n v="362.26"/>
    <x v="1"/>
    <n v="1086.78"/>
    <x v="5"/>
  </r>
  <r>
    <x v="251"/>
    <x v="251"/>
    <x v="2"/>
    <x v="2"/>
    <n v="458.75"/>
    <x v="4"/>
    <n v="458.75"/>
    <x v="81"/>
  </r>
  <r>
    <x v="252"/>
    <x v="252"/>
    <x v="2"/>
    <x v="0"/>
    <n v="458.24"/>
    <x v="4"/>
    <n v="458.24"/>
    <x v="152"/>
  </r>
  <r>
    <x v="253"/>
    <x v="253"/>
    <x v="0"/>
    <x v="3"/>
    <n v="71.540000000000006"/>
    <x v="3"/>
    <n v="143.08000000000001"/>
    <x v="174"/>
  </r>
  <r>
    <x v="254"/>
    <x v="254"/>
    <x v="1"/>
    <x v="4"/>
    <n v="362.62"/>
    <x v="2"/>
    <n v="1813.1"/>
    <x v="84"/>
  </r>
  <r>
    <x v="255"/>
    <x v="255"/>
    <x v="0"/>
    <x v="4"/>
    <n v="112.21"/>
    <x v="4"/>
    <n v="112.21"/>
    <x v="35"/>
  </r>
  <r>
    <x v="256"/>
    <x v="256"/>
    <x v="1"/>
    <x v="4"/>
    <n v="173.85"/>
    <x v="0"/>
    <n v="695.4"/>
    <x v="188"/>
  </r>
  <r>
    <x v="257"/>
    <x v="257"/>
    <x v="1"/>
    <x v="0"/>
    <n v="283.07"/>
    <x v="2"/>
    <n v="1415.35"/>
    <x v="96"/>
  </r>
  <r>
    <x v="258"/>
    <x v="258"/>
    <x v="2"/>
    <x v="4"/>
    <n v="186.01"/>
    <x v="0"/>
    <n v="744.04"/>
    <x v="92"/>
  </r>
  <r>
    <x v="259"/>
    <x v="259"/>
    <x v="0"/>
    <x v="2"/>
    <n v="393.65"/>
    <x v="4"/>
    <n v="393.65"/>
    <x v="189"/>
  </r>
  <r>
    <x v="260"/>
    <x v="260"/>
    <x v="2"/>
    <x v="0"/>
    <n v="438.39"/>
    <x v="0"/>
    <n v="1753.56"/>
    <x v="190"/>
  </r>
  <r>
    <x v="261"/>
    <x v="261"/>
    <x v="2"/>
    <x v="1"/>
    <n v="173.29"/>
    <x v="3"/>
    <n v="346.58"/>
    <x v="160"/>
  </r>
  <r>
    <x v="262"/>
    <x v="262"/>
    <x v="0"/>
    <x v="3"/>
    <n v="186.5"/>
    <x v="3"/>
    <n v="373"/>
    <x v="95"/>
  </r>
  <r>
    <x v="263"/>
    <x v="263"/>
    <x v="0"/>
    <x v="2"/>
    <n v="197.3"/>
    <x v="0"/>
    <n v="789.2"/>
    <x v="191"/>
  </r>
  <r>
    <x v="264"/>
    <x v="264"/>
    <x v="1"/>
    <x v="4"/>
    <n v="176.83"/>
    <x v="4"/>
    <n v="176.83"/>
    <x v="3"/>
  </r>
  <r>
    <x v="265"/>
    <x v="265"/>
    <x v="2"/>
    <x v="1"/>
    <n v="150.66"/>
    <x v="4"/>
    <n v="150.66"/>
    <x v="3"/>
  </r>
  <r>
    <x v="266"/>
    <x v="266"/>
    <x v="2"/>
    <x v="0"/>
    <n v="219.68"/>
    <x v="0"/>
    <n v="878.72"/>
    <x v="192"/>
  </r>
  <r>
    <x v="267"/>
    <x v="267"/>
    <x v="2"/>
    <x v="1"/>
    <n v="245.53"/>
    <x v="2"/>
    <n v="1227.6500000000001"/>
    <x v="193"/>
  </r>
  <r>
    <x v="268"/>
    <x v="268"/>
    <x v="2"/>
    <x v="0"/>
    <n v="257.42"/>
    <x v="4"/>
    <n v="257.42"/>
    <x v="194"/>
  </r>
  <r>
    <x v="269"/>
    <x v="269"/>
    <x v="1"/>
    <x v="2"/>
    <n v="393.22"/>
    <x v="3"/>
    <n v="786.44"/>
    <x v="195"/>
  </r>
  <r>
    <x v="270"/>
    <x v="270"/>
    <x v="1"/>
    <x v="3"/>
    <n v="453.56"/>
    <x v="2"/>
    <n v="2267.8000000000002"/>
    <x v="196"/>
  </r>
  <r>
    <x v="271"/>
    <x v="271"/>
    <x v="0"/>
    <x v="3"/>
    <n v="50.83"/>
    <x v="4"/>
    <n v="50.83"/>
    <x v="131"/>
  </r>
  <r>
    <x v="272"/>
    <x v="272"/>
    <x v="0"/>
    <x v="0"/>
    <n v="223.53"/>
    <x v="1"/>
    <n v="670.59"/>
    <x v="186"/>
  </r>
  <r>
    <x v="273"/>
    <x v="273"/>
    <x v="1"/>
    <x v="0"/>
    <n v="486.58"/>
    <x v="2"/>
    <n v="2432.9"/>
    <x v="25"/>
  </r>
  <r>
    <x v="274"/>
    <x v="274"/>
    <x v="1"/>
    <x v="3"/>
    <n v="115.43"/>
    <x v="3"/>
    <n v="230.86"/>
    <x v="197"/>
  </r>
  <r>
    <x v="275"/>
    <x v="275"/>
    <x v="1"/>
    <x v="1"/>
    <n v="375.79"/>
    <x v="3"/>
    <n v="751.58"/>
    <x v="198"/>
  </r>
  <r>
    <x v="276"/>
    <x v="276"/>
    <x v="0"/>
    <x v="1"/>
    <n v="275.87"/>
    <x v="3"/>
    <n v="551.74"/>
    <x v="199"/>
  </r>
  <r>
    <x v="277"/>
    <x v="277"/>
    <x v="2"/>
    <x v="4"/>
    <n v="320.45"/>
    <x v="4"/>
    <n v="320.45"/>
    <x v="183"/>
  </r>
  <r>
    <x v="278"/>
    <x v="278"/>
    <x v="0"/>
    <x v="3"/>
    <n v="462.94"/>
    <x v="3"/>
    <n v="925.88"/>
    <x v="76"/>
  </r>
  <r>
    <x v="279"/>
    <x v="279"/>
    <x v="1"/>
    <x v="1"/>
    <n v="41"/>
    <x v="3"/>
    <n v="82"/>
    <x v="200"/>
  </r>
  <r>
    <x v="280"/>
    <x v="280"/>
    <x v="0"/>
    <x v="2"/>
    <n v="402.27"/>
    <x v="3"/>
    <n v="804.54"/>
    <x v="108"/>
  </r>
  <r>
    <x v="281"/>
    <x v="281"/>
    <x v="2"/>
    <x v="4"/>
    <n v="34.950000000000003"/>
    <x v="0"/>
    <n v="139.80000000000001"/>
    <x v="201"/>
  </r>
  <r>
    <x v="282"/>
    <x v="282"/>
    <x v="2"/>
    <x v="1"/>
    <n v="373.1"/>
    <x v="3"/>
    <n v="746.2"/>
    <x v="202"/>
  </r>
  <r>
    <x v="283"/>
    <x v="283"/>
    <x v="0"/>
    <x v="0"/>
    <n v="389.52"/>
    <x v="1"/>
    <n v="1168.56"/>
    <x v="128"/>
  </r>
  <r>
    <x v="284"/>
    <x v="284"/>
    <x v="1"/>
    <x v="0"/>
    <n v="467.71"/>
    <x v="2"/>
    <n v="2338.5500000000002"/>
    <x v="148"/>
  </r>
  <r>
    <x v="285"/>
    <x v="285"/>
    <x v="2"/>
    <x v="1"/>
    <n v="310.57"/>
    <x v="3"/>
    <n v="621.14"/>
    <x v="203"/>
  </r>
  <r>
    <x v="286"/>
    <x v="286"/>
    <x v="1"/>
    <x v="4"/>
    <n v="213.58"/>
    <x v="1"/>
    <n v="640.74"/>
    <x v="204"/>
  </r>
  <r>
    <x v="287"/>
    <x v="287"/>
    <x v="0"/>
    <x v="0"/>
    <n v="207.74"/>
    <x v="1"/>
    <n v="623.22"/>
    <x v="205"/>
  </r>
  <r>
    <x v="288"/>
    <x v="288"/>
    <x v="1"/>
    <x v="4"/>
    <n v="412.27"/>
    <x v="4"/>
    <n v="412.27"/>
    <x v="131"/>
  </r>
  <r>
    <x v="289"/>
    <x v="289"/>
    <x v="2"/>
    <x v="2"/>
    <n v="29.22"/>
    <x v="3"/>
    <n v="58.44"/>
    <x v="206"/>
  </r>
  <r>
    <x v="290"/>
    <x v="290"/>
    <x v="2"/>
    <x v="2"/>
    <n v="394.46"/>
    <x v="0"/>
    <n v="1577.84"/>
    <x v="207"/>
  </r>
  <r>
    <x v="291"/>
    <x v="291"/>
    <x v="0"/>
    <x v="2"/>
    <n v="275.99"/>
    <x v="4"/>
    <n v="275.99"/>
    <x v="185"/>
  </r>
  <r>
    <x v="292"/>
    <x v="292"/>
    <x v="2"/>
    <x v="1"/>
    <n v="321.81"/>
    <x v="0"/>
    <n v="1287.24"/>
    <x v="51"/>
  </r>
  <r>
    <x v="293"/>
    <x v="293"/>
    <x v="2"/>
    <x v="3"/>
    <n v="429.51"/>
    <x v="4"/>
    <n v="429.51"/>
    <x v="10"/>
  </r>
  <r>
    <x v="294"/>
    <x v="294"/>
    <x v="1"/>
    <x v="0"/>
    <n v="191.48"/>
    <x v="1"/>
    <n v="574.44000000000005"/>
    <x v="104"/>
  </r>
  <r>
    <x v="295"/>
    <x v="295"/>
    <x v="1"/>
    <x v="4"/>
    <n v="134.37"/>
    <x v="2"/>
    <n v="671.85"/>
    <x v="208"/>
  </r>
  <r>
    <x v="296"/>
    <x v="296"/>
    <x v="2"/>
    <x v="1"/>
    <n v="12.38"/>
    <x v="3"/>
    <n v="24.76"/>
    <x v="148"/>
  </r>
  <r>
    <x v="297"/>
    <x v="297"/>
    <x v="1"/>
    <x v="2"/>
    <n v="83.43"/>
    <x v="2"/>
    <n v="417.15"/>
    <x v="38"/>
  </r>
  <r>
    <x v="298"/>
    <x v="298"/>
    <x v="1"/>
    <x v="4"/>
    <n v="368.4"/>
    <x v="0"/>
    <n v="1473.6"/>
    <x v="72"/>
  </r>
  <r>
    <x v="299"/>
    <x v="299"/>
    <x v="1"/>
    <x v="4"/>
    <n v="313.29000000000002"/>
    <x v="4"/>
    <n v="313.29000000000002"/>
    <x v="209"/>
  </r>
  <r>
    <x v="300"/>
    <x v="300"/>
    <x v="2"/>
    <x v="3"/>
    <n v="358.23"/>
    <x v="1"/>
    <n v="1074.69"/>
    <x v="154"/>
  </r>
  <r>
    <x v="301"/>
    <x v="301"/>
    <x v="0"/>
    <x v="3"/>
    <n v="195.25"/>
    <x v="1"/>
    <n v="585.75"/>
    <x v="100"/>
  </r>
  <r>
    <x v="302"/>
    <x v="302"/>
    <x v="0"/>
    <x v="4"/>
    <n v="397.48"/>
    <x v="1"/>
    <n v="1192.44"/>
    <x v="210"/>
  </r>
  <r>
    <x v="303"/>
    <x v="303"/>
    <x v="2"/>
    <x v="1"/>
    <n v="434.14"/>
    <x v="3"/>
    <n v="868.28"/>
    <x v="211"/>
  </r>
  <r>
    <x v="304"/>
    <x v="304"/>
    <x v="1"/>
    <x v="0"/>
    <n v="141.11000000000001"/>
    <x v="2"/>
    <n v="705.55"/>
    <x v="212"/>
  </r>
  <r>
    <x v="305"/>
    <x v="305"/>
    <x v="2"/>
    <x v="1"/>
    <n v="178.28"/>
    <x v="0"/>
    <n v="713.12"/>
    <x v="16"/>
  </r>
  <r>
    <x v="306"/>
    <x v="306"/>
    <x v="1"/>
    <x v="2"/>
    <n v="425.42"/>
    <x v="3"/>
    <n v="850.84"/>
    <x v="19"/>
  </r>
  <r>
    <x v="307"/>
    <x v="307"/>
    <x v="2"/>
    <x v="0"/>
    <n v="190.58"/>
    <x v="1"/>
    <n v="571.74"/>
    <x v="122"/>
  </r>
  <r>
    <x v="308"/>
    <x v="308"/>
    <x v="1"/>
    <x v="1"/>
    <n v="85.72"/>
    <x v="1"/>
    <n v="257.16000000000003"/>
    <x v="213"/>
  </r>
  <r>
    <x v="309"/>
    <x v="309"/>
    <x v="2"/>
    <x v="3"/>
    <n v="228.45"/>
    <x v="4"/>
    <n v="228.45"/>
    <x v="23"/>
  </r>
  <r>
    <x v="310"/>
    <x v="310"/>
    <x v="2"/>
    <x v="4"/>
    <n v="164.56"/>
    <x v="1"/>
    <n v="493.68"/>
    <x v="116"/>
  </r>
  <r>
    <x v="311"/>
    <x v="311"/>
    <x v="2"/>
    <x v="0"/>
    <n v="16.23"/>
    <x v="1"/>
    <n v="48.69"/>
    <x v="10"/>
  </r>
  <r>
    <x v="312"/>
    <x v="312"/>
    <x v="0"/>
    <x v="0"/>
    <n v="270.75"/>
    <x v="4"/>
    <n v="270.75"/>
    <x v="200"/>
  </r>
  <r>
    <x v="313"/>
    <x v="313"/>
    <x v="2"/>
    <x v="1"/>
    <n v="64.69"/>
    <x v="2"/>
    <n v="323.45"/>
    <x v="214"/>
  </r>
  <r>
    <x v="314"/>
    <x v="314"/>
    <x v="0"/>
    <x v="4"/>
    <n v="275.52"/>
    <x v="4"/>
    <n v="275.52"/>
    <x v="40"/>
  </r>
  <r>
    <x v="315"/>
    <x v="315"/>
    <x v="1"/>
    <x v="1"/>
    <n v="455.97"/>
    <x v="0"/>
    <n v="1823.88"/>
    <x v="215"/>
  </r>
  <r>
    <x v="316"/>
    <x v="316"/>
    <x v="1"/>
    <x v="1"/>
    <n v="242.83"/>
    <x v="4"/>
    <n v="242.83"/>
    <x v="145"/>
  </r>
  <r>
    <x v="317"/>
    <x v="317"/>
    <x v="0"/>
    <x v="0"/>
    <n v="232.95"/>
    <x v="2"/>
    <n v="1164.75"/>
    <x v="216"/>
  </r>
  <r>
    <x v="318"/>
    <x v="318"/>
    <x v="0"/>
    <x v="3"/>
    <n v="233.51"/>
    <x v="0"/>
    <n v="934.04"/>
    <x v="22"/>
  </r>
  <r>
    <x v="319"/>
    <x v="319"/>
    <x v="2"/>
    <x v="2"/>
    <n v="282.7"/>
    <x v="4"/>
    <n v="282.7"/>
    <x v="175"/>
  </r>
  <r>
    <x v="320"/>
    <x v="320"/>
    <x v="0"/>
    <x v="3"/>
    <n v="482.34"/>
    <x v="0"/>
    <n v="1929.36"/>
    <x v="71"/>
  </r>
  <r>
    <x v="321"/>
    <x v="321"/>
    <x v="2"/>
    <x v="3"/>
    <n v="108.05"/>
    <x v="2"/>
    <n v="540.25"/>
    <x v="217"/>
  </r>
  <r>
    <x v="322"/>
    <x v="322"/>
    <x v="0"/>
    <x v="2"/>
    <n v="86.7"/>
    <x v="4"/>
    <n v="86.7"/>
    <x v="218"/>
  </r>
  <r>
    <x v="323"/>
    <x v="323"/>
    <x v="2"/>
    <x v="1"/>
    <n v="171.23"/>
    <x v="0"/>
    <n v="684.92"/>
    <x v="0"/>
  </r>
  <r>
    <x v="324"/>
    <x v="324"/>
    <x v="1"/>
    <x v="4"/>
    <n v="80.459999999999994"/>
    <x v="1"/>
    <n v="241.38"/>
    <x v="219"/>
  </r>
  <r>
    <x v="325"/>
    <x v="325"/>
    <x v="0"/>
    <x v="1"/>
    <n v="442.94"/>
    <x v="3"/>
    <n v="885.88"/>
    <x v="70"/>
  </r>
  <r>
    <x v="326"/>
    <x v="326"/>
    <x v="0"/>
    <x v="2"/>
    <n v="360.32"/>
    <x v="1"/>
    <n v="1080.96"/>
    <x v="62"/>
  </r>
  <r>
    <x v="327"/>
    <x v="327"/>
    <x v="2"/>
    <x v="2"/>
    <n v="345.6"/>
    <x v="1"/>
    <n v="1036.8"/>
    <x v="220"/>
  </r>
  <r>
    <x v="328"/>
    <x v="328"/>
    <x v="0"/>
    <x v="3"/>
    <n v="311.56"/>
    <x v="1"/>
    <n v="934.68"/>
    <x v="221"/>
  </r>
  <r>
    <x v="329"/>
    <x v="329"/>
    <x v="1"/>
    <x v="4"/>
    <n v="75.680000000000007"/>
    <x v="1"/>
    <n v="227.04"/>
    <x v="147"/>
  </r>
  <r>
    <x v="330"/>
    <x v="330"/>
    <x v="2"/>
    <x v="0"/>
    <n v="224.6"/>
    <x v="3"/>
    <n v="449.2"/>
    <x v="222"/>
  </r>
  <r>
    <x v="331"/>
    <x v="331"/>
    <x v="1"/>
    <x v="0"/>
    <n v="145.11000000000001"/>
    <x v="0"/>
    <n v="580.44000000000005"/>
    <x v="223"/>
  </r>
  <r>
    <x v="332"/>
    <x v="332"/>
    <x v="2"/>
    <x v="2"/>
    <n v="24.87"/>
    <x v="1"/>
    <n v="74.61"/>
    <x v="224"/>
  </r>
  <r>
    <x v="333"/>
    <x v="333"/>
    <x v="0"/>
    <x v="3"/>
    <n v="462.77"/>
    <x v="2"/>
    <n v="2313.85"/>
    <x v="208"/>
  </r>
  <r>
    <x v="334"/>
    <x v="334"/>
    <x v="1"/>
    <x v="2"/>
    <n v="131.69999999999999"/>
    <x v="0"/>
    <n v="526.79999999999995"/>
    <x v="225"/>
  </r>
  <r>
    <x v="335"/>
    <x v="335"/>
    <x v="2"/>
    <x v="2"/>
    <n v="79.239999999999995"/>
    <x v="1"/>
    <n v="237.72"/>
    <x v="75"/>
  </r>
  <r>
    <x v="336"/>
    <x v="336"/>
    <x v="0"/>
    <x v="1"/>
    <n v="446.29"/>
    <x v="2"/>
    <n v="2231.4499999999998"/>
    <x v="226"/>
  </r>
  <r>
    <x v="337"/>
    <x v="337"/>
    <x v="1"/>
    <x v="0"/>
    <n v="228.74"/>
    <x v="4"/>
    <n v="228.74"/>
    <x v="227"/>
  </r>
  <r>
    <x v="338"/>
    <x v="338"/>
    <x v="0"/>
    <x v="3"/>
    <n v="226.51"/>
    <x v="0"/>
    <n v="906.04"/>
    <x v="125"/>
  </r>
  <r>
    <x v="339"/>
    <x v="339"/>
    <x v="2"/>
    <x v="3"/>
    <n v="142.31"/>
    <x v="3"/>
    <n v="284.62"/>
    <x v="24"/>
  </r>
  <r>
    <x v="340"/>
    <x v="340"/>
    <x v="0"/>
    <x v="3"/>
    <n v="92.47"/>
    <x v="4"/>
    <n v="92.47"/>
    <x v="11"/>
  </r>
  <r>
    <x v="341"/>
    <x v="341"/>
    <x v="0"/>
    <x v="0"/>
    <n v="201.13"/>
    <x v="2"/>
    <n v="1005.65"/>
    <x v="114"/>
  </r>
  <r>
    <x v="342"/>
    <x v="342"/>
    <x v="1"/>
    <x v="4"/>
    <n v="376.47"/>
    <x v="0"/>
    <n v="1505.88"/>
    <x v="169"/>
  </r>
  <r>
    <x v="343"/>
    <x v="343"/>
    <x v="0"/>
    <x v="0"/>
    <n v="429.71"/>
    <x v="0"/>
    <n v="1718.84"/>
    <x v="120"/>
  </r>
  <r>
    <x v="344"/>
    <x v="344"/>
    <x v="1"/>
    <x v="1"/>
    <n v="78.540000000000006"/>
    <x v="2"/>
    <n v="392.7"/>
    <x v="96"/>
  </r>
  <r>
    <x v="345"/>
    <x v="345"/>
    <x v="1"/>
    <x v="1"/>
    <n v="105.13"/>
    <x v="2"/>
    <n v="525.65"/>
    <x v="26"/>
  </r>
  <r>
    <x v="346"/>
    <x v="346"/>
    <x v="0"/>
    <x v="4"/>
    <n v="469.11"/>
    <x v="1"/>
    <n v="1407.33"/>
    <x v="115"/>
  </r>
  <r>
    <x v="347"/>
    <x v="347"/>
    <x v="2"/>
    <x v="1"/>
    <n v="85.31"/>
    <x v="0"/>
    <n v="341.24"/>
    <x v="171"/>
  </r>
  <r>
    <x v="348"/>
    <x v="348"/>
    <x v="1"/>
    <x v="2"/>
    <n v="316.22000000000003"/>
    <x v="2"/>
    <n v="1581.1"/>
    <x v="228"/>
  </r>
  <r>
    <x v="349"/>
    <x v="349"/>
    <x v="2"/>
    <x v="0"/>
    <n v="83.15"/>
    <x v="4"/>
    <n v="83.15"/>
    <x v="229"/>
  </r>
  <r>
    <x v="350"/>
    <x v="350"/>
    <x v="1"/>
    <x v="0"/>
    <n v="355.02"/>
    <x v="1"/>
    <n v="1065.06"/>
    <x v="104"/>
  </r>
  <r>
    <x v="351"/>
    <x v="351"/>
    <x v="2"/>
    <x v="1"/>
    <n v="73.84"/>
    <x v="4"/>
    <n v="73.84"/>
    <x v="69"/>
  </r>
  <r>
    <x v="352"/>
    <x v="352"/>
    <x v="2"/>
    <x v="2"/>
    <n v="155.85"/>
    <x v="1"/>
    <n v="467.55"/>
    <x v="28"/>
  </r>
  <r>
    <x v="353"/>
    <x v="353"/>
    <x v="0"/>
    <x v="2"/>
    <n v="222.49"/>
    <x v="2"/>
    <n v="1112.45"/>
    <x v="230"/>
  </r>
  <r>
    <x v="354"/>
    <x v="354"/>
    <x v="0"/>
    <x v="1"/>
    <n v="114.53"/>
    <x v="3"/>
    <n v="229.06"/>
    <x v="231"/>
  </r>
  <r>
    <x v="355"/>
    <x v="355"/>
    <x v="2"/>
    <x v="2"/>
    <n v="391.98"/>
    <x v="0"/>
    <n v="1567.92"/>
    <x v="232"/>
  </r>
  <r>
    <x v="356"/>
    <x v="356"/>
    <x v="2"/>
    <x v="3"/>
    <n v="12.76"/>
    <x v="0"/>
    <n v="51.04"/>
    <x v="233"/>
  </r>
  <r>
    <x v="357"/>
    <x v="357"/>
    <x v="0"/>
    <x v="0"/>
    <n v="465.06"/>
    <x v="1"/>
    <n v="1395.18"/>
    <x v="221"/>
  </r>
  <r>
    <x v="358"/>
    <x v="358"/>
    <x v="2"/>
    <x v="2"/>
    <n v="98.65"/>
    <x v="0"/>
    <n v="394.6"/>
    <x v="234"/>
  </r>
  <r>
    <x v="359"/>
    <x v="359"/>
    <x v="2"/>
    <x v="4"/>
    <n v="247.13"/>
    <x v="3"/>
    <n v="494.26"/>
    <x v="13"/>
  </r>
  <r>
    <x v="360"/>
    <x v="360"/>
    <x v="0"/>
    <x v="4"/>
    <n v="247.27"/>
    <x v="3"/>
    <n v="494.54"/>
    <x v="235"/>
  </r>
  <r>
    <x v="361"/>
    <x v="361"/>
    <x v="2"/>
    <x v="2"/>
    <n v="115.31"/>
    <x v="0"/>
    <n v="461.24"/>
    <x v="100"/>
  </r>
  <r>
    <x v="362"/>
    <x v="362"/>
    <x v="0"/>
    <x v="4"/>
    <n v="89.43"/>
    <x v="3"/>
    <n v="178.86"/>
    <x v="236"/>
  </r>
  <r>
    <x v="363"/>
    <x v="363"/>
    <x v="2"/>
    <x v="1"/>
    <n v="434.85"/>
    <x v="4"/>
    <n v="434.85"/>
    <x v="237"/>
  </r>
  <r>
    <x v="364"/>
    <x v="364"/>
    <x v="2"/>
    <x v="3"/>
    <n v="364.58"/>
    <x v="2"/>
    <n v="1822.9"/>
    <x v="206"/>
  </r>
  <r>
    <x v="365"/>
    <x v="365"/>
    <x v="2"/>
    <x v="3"/>
    <n v="462.09"/>
    <x v="0"/>
    <n v="1848.36"/>
    <x v="238"/>
  </r>
  <r>
    <x v="366"/>
    <x v="366"/>
    <x v="2"/>
    <x v="0"/>
    <n v="396.52"/>
    <x v="2"/>
    <n v="1982.6"/>
    <x v="239"/>
  </r>
  <r>
    <x v="367"/>
    <x v="367"/>
    <x v="1"/>
    <x v="1"/>
    <n v="169.57"/>
    <x v="2"/>
    <n v="847.85"/>
    <x v="121"/>
  </r>
  <r>
    <x v="368"/>
    <x v="368"/>
    <x v="2"/>
    <x v="4"/>
    <n v="451.64"/>
    <x v="4"/>
    <n v="451.64"/>
    <x v="240"/>
  </r>
  <r>
    <x v="369"/>
    <x v="369"/>
    <x v="0"/>
    <x v="4"/>
    <n v="133.53"/>
    <x v="0"/>
    <n v="534.12"/>
    <x v="241"/>
  </r>
  <r>
    <x v="370"/>
    <x v="370"/>
    <x v="0"/>
    <x v="0"/>
    <n v="401.6"/>
    <x v="1"/>
    <n v="1204.8"/>
    <x v="69"/>
  </r>
  <r>
    <x v="371"/>
    <x v="371"/>
    <x v="0"/>
    <x v="1"/>
    <n v="391.17"/>
    <x v="4"/>
    <n v="391.17"/>
    <x v="242"/>
  </r>
  <r>
    <x v="372"/>
    <x v="372"/>
    <x v="0"/>
    <x v="1"/>
    <n v="270.23"/>
    <x v="1"/>
    <n v="810.69"/>
    <x v="243"/>
  </r>
  <r>
    <x v="373"/>
    <x v="373"/>
    <x v="1"/>
    <x v="3"/>
    <n v="490.76"/>
    <x v="0"/>
    <n v="1963.04"/>
    <x v="92"/>
  </r>
  <r>
    <x v="374"/>
    <x v="374"/>
    <x v="1"/>
    <x v="4"/>
    <n v="401.48"/>
    <x v="1"/>
    <n v="1204.44"/>
    <x v="244"/>
  </r>
  <r>
    <x v="375"/>
    <x v="375"/>
    <x v="2"/>
    <x v="1"/>
    <n v="269.22000000000003"/>
    <x v="0"/>
    <n v="1076.8800000000001"/>
    <x v="245"/>
  </r>
  <r>
    <x v="376"/>
    <x v="376"/>
    <x v="2"/>
    <x v="2"/>
    <n v="239.96"/>
    <x v="1"/>
    <n v="719.88"/>
    <x v="55"/>
  </r>
  <r>
    <x v="377"/>
    <x v="377"/>
    <x v="0"/>
    <x v="3"/>
    <n v="52.93"/>
    <x v="0"/>
    <n v="211.72"/>
    <x v="84"/>
  </r>
  <r>
    <x v="378"/>
    <x v="378"/>
    <x v="1"/>
    <x v="2"/>
    <n v="360.87"/>
    <x v="4"/>
    <n v="360.87"/>
    <x v="246"/>
  </r>
  <r>
    <x v="379"/>
    <x v="379"/>
    <x v="1"/>
    <x v="3"/>
    <n v="444.35"/>
    <x v="2"/>
    <n v="2221.75"/>
    <x v="247"/>
  </r>
  <r>
    <x v="380"/>
    <x v="380"/>
    <x v="2"/>
    <x v="2"/>
    <n v="371.27"/>
    <x v="2"/>
    <n v="1856.35"/>
    <x v="132"/>
  </r>
  <r>
    <x v="381"/>
    <x v="381"/>
    <x v="0"/>
    <x v="1"/>
    <n v="264.85000000000002"/>
    <x v="1"/>
    <n v="794.55"/>
    <x v="60"/>
  </r>
  <r>
    <x v="382"/>
    <x v="382"/>
    <x v="1"/>
    <x v="2"/>
    <n v="170.15"/>
    <x v="2"/>
    <n v="850.75"/>
    <x v="183"/>
  </r>
  <r>
    <x v="383"/>
    <x v="383"/>
    <x v="1"/>
    <x v="3"/>
    <n v="328.67"/>
    <x v="0"/>
    <n v="1314.68"/>
    <x v="248"/>
  </r>
  <r>
    <x v="384"/>
    <x v="384"/>
    <x v="2"/>
    <x v="1"/>
    <n v="232.41"/>
    <x v="4"/>
    <n v="232.41"/>
    <x v="42"/>
  </r>
  <r>
    <x v="385"/>
    <x v="385"/>
    <x v="0"/>
    <x v="2"/>
    <n v="335.94"/>
    <x v="3"/>
    <n v="671.88"/>
    <x v="131"/>
  </r>
  <r>
    <x v="386"/>
    <x v="386"/>
    <x v="0"/>
    <x v="3"/>
    <n v="110.6"/>
    <x v="1"/>
    <n v="331.8"/>
    <x v="249"/>
  </r>
  <r>
    <x v="387"/>
    <x v="387"/>
    <x v="2"/>
    <x v="2"/>
    <n v="91"/>
    <x v="3"/>
    <n v="182"/>
    <x v="234"/>
  </r>
  <r>
    <x v="388"/>
    <x v="388"/>
    <x v="2"/>
    <x v="1"/>
    <n v="361.95"/>
    <x v="1"/>
    <n v="1085.8499999999999"/>
    <x v="250"/>
  </r>
  <r>
    <x v="389"/>
    <x v="389"/>
    <x v="1"/>
    <x v="3"/>
    <n v="278.51"/>
    <x v="0"/>
    <n v="1114.04"/>
    <x v="82"/>
  </r>
  <r>
    <x v="390"/>
    <x v="390"/>
    <x v="2"/>
    <x v="3"/>
    <n v="448.81"/>
    <x v="4"/>
    <n v="448.81"/>
    <x v="202"/>
  </r>
  <r>
    <x v="391"/>
    <x v="391"/>
    <x v="0"/>
    <x v="0"/>
    <n v="212.52"/>
    <x v="4"/>
    <n v="212.52"/>
    <x v="13"/>
  </r>
  <r>
    <x v="392"/>
    <x v="392"/>
    <x v="2"/>
    <x v="2"/>
    <n v="317.08"/>
    <x v="0"/>
    <n v="1268.32"/>
    <x v="237"/>
  </r>
  <r>
    <x v="393"/>
    <x v="393"/>
    <x v="0"/>
    <x v="1"/>
    <n v="365.42"/>
    <x v="3"/>
    <n v="730.84"/>
    <x v="251"/>
  </r>
  <r>
    <x v="394"/>
    <x v="394"/>
    <x v="2"/>
    <x v="0"/>
    <n v="95.85"/>
    <x v="3"/>
    <n v="191.7"/>
    <x v="95"/>
  </r>
  <r>
    <x v="395"/>
    <x v="395"/>
    <x v="1"/>
    <x v="3"/>
    <n v="398.23"/>
    <x v="4"/>
    <n v="398.23"/>
    <x v="252"/>
  </r>
  <r>
    <x v="396"/>
    <x v="396"/>
    <x v="0"/>
    <x v="4"/>
    <n v="358.09"/>
    <x v="0"/>
    <n v="1432.36"/>
    <x v="253"/>
  </r>
  <r>
    <x v="397"/>
    <x v="397"/>
    <x v="1"/>
    <x v="3"/>
    <n v="498.72"/>
    <x v="2"/>
    <n v="2493.6"/>
    <x v="0"/>
  </r>
  <r>
    <x v="398"/>
    <x v="398"/>
    <x v="1"/>
    <x v="2"/>
    <n v="101.62"/>
    <x v="4"/>
    <n v="101.62"/>
    <x v="254"/>
  </r>
  <r>
    <x v="399"/>
    <x v="399"/>
    <x v="0"/>
    <x v="2"/>
    <n v="107.83"/>
    <x v="0"/>
    <n v="431.32"/>
    <x v="8"/>
  </r>
  <r>
    <x v="400"/>
    <x v="400"/>
    <x v="1"/>
    <x v="2"/>
    <n v="143.31"/>
    <x v="1"/>
    <n v="429.93"/>
    <x v="168"/>
  </r>
  <r>
    <x v="401"/>
    <x v="401"/>
    <x v="0"/>
    <x v="1"/>
    <n v="39.57"/>
    <x v="1"/>
    <n v="118.71"/>
    <x v="171"/>
  </r>
  <r>
    <x v="402"/>
    <x v="402"/>
    <x v="0"/>
    <x v="3"/>
    <n v="60.19"/>
    <x v="3"/>
    <n v="120.38"/>
    <x v="62"/>
  </r>
  <r>
    <x v="403"/>
    <x v="403"/>
    <x v="1"/>
    <x v="4"/>
    <n v="444"/>
    <x v="3"/>
    <n v="888"/>
    <x v="182"/>
  </r>
  <r>
    <x v="404"/>
    <x v="404"/>
    <x v="2"/>
    <x v="1"/>
    <n v="467.51"/>
    <x v="2"/>
    <n v="2337.5500000000002"/>
    <x v="84"/>
  </r>
  <r>
    <x v="405"/>
    <x v="405"/>
    <x v="1"/>
    <x v="2"/>
    <n v="97.33"/>
    <x v="1"/>
    <n v="291.99"/>
    <x v="16"/>
  </r>
  <r>
    <x v="406"/>
    <x v="406"/>
    <x v="0"/>
    <x v="1"/>
    <n v="433.62"/>
    <x v="4"/>
    <n v="433.62"/>
    <x v="255"/>
  </r>
  <r>
    <x v="407"/>
    <x v="407"/>
    <x v="1"/>
    <x v="1"/>
    <n v="147.26"/>
    <x v="3"/>
    <n v="294.52"/>
    <x v="243"/>
  </r>
  <r>
    <x v="408"/>
    <x v="408"/>
    <x v="2"/>
    <x v="4"/>
    <n v="473.21"/>
    <x v="1"/>
    <n v="1419.63"/>
    <x v="256"/>
  </r>
  <r>
    <x v="409"/>
    <x v="409"/>
    <x v="1"/>
    <x v="4"/>
    <n v="240.48"/>
    <x v="1"/>
    <n v="721.44"/>
    <x v="257"/>
  </r>
  <r>
    <x v="410"/>
    <x v="410"/>
    <x v="0"/>
    <x v="2"/>
    <n v="196.8"/>
    <x v="0"/>
    <n v="787.2"/>
    <x v="248"/>
  </r>
  <r>
    <x v="411"/>
    <x v="411"/>
    <x v="0"/>
    <x v="4"/>
    <n v="15.92"/>
    <x v="3"/>
    <n v="31.84"/>
    <x v="258"/>
  </r>
  <r>
    <x v="412"/>
    <x v="412"/>
    <x v="2"/>
    <x v="2"/>
    <n v="96.59"/>
    <x v="3"/>
    <n v="193.18"/>
    <x v="155"/>
  </r>
  <r>
    <x v="413"/>
    <x v="413"/>
    <x v="2"/>
    <x v="4"/>
    <n v="19.239999999999998"/>
    <x v="2"/>
    <n v="96.2"/>
    <x v="206"/>
  </r>
  <r>
    <x v="414"/>
    <x v="414"/>
    <x v="0"/>
    <x v="3"/>
    <n v="349.89"/>
    <x v="3"/>
    <n v="699.78"/>
    <x v="198"/>
  </r>
  <r>
    <x v="415"/>
    <x v="415"/>
    <x v="2"/>
    <x v="1"/>
    <n v="101.97"/>
    <x v="0"/>
    <n v="407.88"/>
    <x v="111"/>
  </r>
  <r>
    <x v="416"/>
    <x v="416"/>
    <x v="0"/>
    <x v="0"/>
    <n v="142.59"/>
    <x v="1"/>
    <n v="427.77"/>
    <x v="90"/>
  </r>
  <r>
    <x v="417"/>
    <x v="417"/>
    <x v="0"/>
    <x v="3"/>
    <n v="63.19"/>
    <x v="1"/>
    <n v="189.57"/>
    <x v="259"/>
  </r>
  <r>
    <x v="418"/>
    <x v="418"/>
    <x v="2"/>
    <x v="1"/>
    <n v="336.43"/>
    <x v="0"/>
    <n v="1345.72"/>
    <x v="84"/>
  </r>
  <r>
    <x v="419"/>
    <x v="419"/>
    <x v="2"/>
    <x v="2"/>
    <n v="114.31"/>
    <x v="2"/>
    <n v="571.54999999999995"/>
    <x v="105"/>
  </r>
  <r>
    <x v="420"/>
    <x v="420"/>
    <x v="0"/>
    <x v="3"/>
    <n v="204.76"/>
    <x v="0"/>
    <n v="819.04"/>
    <x v="224"/>
  </r>
  <r>
    <x v="421"/>
    <x v="421"/>
    <x v="1"/>
    <x v="1"/>
    <n v="72.3"/>
    <x v="3"/>
    <n v="144.6"/>
    <x v="260"/>
  </r>
  <r>
    <x v="422"/>
    <x v="422"/>
    <x v="1"/>
    <x v="3"/>
    <n v="289.52999999999997"/>
    <x v="3"/>
    <n v="579.05999999999995"/>
    <x v="261"/>
  </r>
  <r>
    <x v="423"/>
    <x v="423"/>
    <x v="2"/>
    <x v="2"/>
    <n v="15.67"/>
    <x v="0"/>
    <n v="62.68"/>
    <x v="11"/>
  </r>
  <r>
    <x v="424"/>
    <x v="424"/>
    <x v="0"/>
    <x v="4"/>
    <n v="382.31"/>
    <x v="2"/>
    <n v="1911.55"/>
    <x v="172"/>
  </r>
  <r>
    <x v="425"/>
    <x v="425"/>
    <x v="2"/>
    <x v="3"/>
    <n v="486.6"/>
    <x v="3"/>
    <n v="973.2"/>
    <x v="262"/>
  </r>
  <r>
    <x v="426"/>
    <x v="426"/>
    <x v="0"/>
    <x v="3"/>
    <n v="453.87"/>
    <x v="2"/>
    <n v="2269.35"/>
    <x v="211"/>
  </r>
  <r>
    <x v="427"/>
    <x v="427"/>
    <x v="2"/>
    <x v="4"/>
    <n v="98.68"/>
    <x v="3"/>
    <n v="197.36"/>
    <x v="77"/>
  </r>
  <r>
    <x v="428"/>
    <x v="428"/>
    <x v="2"/>
    <x v="2"/>
    <n v="446.02"/>
    <x v="1"/>
    <n v="1338.06"/>
    <x v="148"/>
  </r>
  <r>
    <x v="429"/>
    <x v="429"/>
    <x v="1"/>
    <x v="2"/>
    <n v="432.96"/>
    <x v="0"/>
    <n v="1731.84"/>
    <x v="85"/>
  </r>
  <r>
    <x v="430"/>
    <x v="430"/>
    <x v="1"/>
    <x v="4"/>
    <n v="249.97"/>
    <x v="3"/>
    <n v="499.94"/>
    <x v="96"/>
  </r>
  <r>
    <x v="431"/>
    <x v="431"/>
    <x v="1"/>
    <x v="1"/>
    <n v="480.82"/>
    <x v="1"/>
    <n v="1442.46"/>
    <x v="238"/>
  </r>
  <r>
    <x v="432"/>
    <x v="432"/>
    <x v="1"/>
    <x v="4"/>
    <n v="103.22"/>
    <x v="2"/>
    <n v="516.1"/>
    <x v="260"/>
  </r>
  <r>
    <x v="433"/>
    <x v="433"/>
    <x v="2"/>
    <x v="2"/>
    <n v="89.11"/>
    <x v="1"/>
    <n v="267.33"/>
    <x v="71"/>
  </r>
  <r>
    <x v="434"/>
    <x v="434"/>
    <x v="1"/>
    <x v="4"/>
    <n v="92.04"/>
    <x v="0"/>
    <n v="368.16"/>
    <x v="59"/>
  </r>
  <r>
    <x v="435"/>
    <x v="435"/>
    <x v="1"/>
    <x v="0"/>
    <n v="286.63"/>
    <x v="2"/>
    <n v="1433.15"/>
    <x v="186"/>
  </r>
  <r>
    <x v="436"/>
    <x v="436"/>
    <x v="1"/>
    <x v="4"/>
    <n v="248.02"/>
    <x v="1"/>
    <n v="744.06"/>
    <x v="133"/>
  </r>
  <r>
    <x v="437"/>
    <x v="437"/>
    <x v="0"/>
    <x v="4"/>
    <n v="226.45"/>
    <x v="2"/>
    <n v="1132.25"/>
    <x v="263"/>
  </r>
  <r>
    <x v="438"/>
    <x v="438"/>
    <x v="1"/>
    <x v="4"/>
    <n v="405.71"/>
    <x v="1"/>
    <n v="1217.1300000000001"/>
    <x v="31"/>
  </r>
  <r>
    <x v="439"/>
    <x v="439"/>
    <x v="1"/>
    <x v="1"/>
    <n v="146.41999999999999"/>
    <x v="2"/>
    <n v="732.1"/>
    <x v="264"/>
  </r>
  <r>
    <x v="440"/>
    <x v="440"/>
    <x v="2"/>
    <x v="2"/>
    <n v="385.89"/>
    <x v="1"/>
    <n v="1157.67"/>
    <x v="62"/>
  </r>
  <r>
    <x v="441"/>
    <x v="441"/>
    <x v="2"/>
    <x v="4"/>
    <n v="252.98"/>
    <x v="2"/>
    <n v="1264.9000000000001"/>
    <x v="208"/>
  </r>
  <r>
    <x v="442"/>
    <x v="442"/>
    <x v="1"/>
    <x v="1"/>
    <n v="101.35"/>
    <x v="0"/>
    <n v="405.4"/>
    <x v="179"/>
  </r>
  <r>
    <x v="443"/>
    <x v="443"/>
    <x v="2"/>
    <x v="3"/>
    <n v="104.83"/>
    <x v="1"/>
    <n v="314.49"/>
    <x v="265"/>
  </r>
  <r>
    <x v="444"/>
    <x v="444"/>
    <x v="1"/>
    <x v="4"/>
    <n v="297.97000000000003"/>
    <x v="1"/>
    <n v="893.91"/>
    <x v="266"/>
  </r>
  <r>
    <x v="445"/>
    <x v="445"/>
    <x v="1"/>
    <x v="2"/>
    <n v="158.69"/>
    <x v="2"/>
    <n v="793.45"/>
    <x v="267"/>
  </r>
  <r>
    <x v="446"/>
    <x v="446"/>
    <x v="0"/>
    <x v="4"/>
    <n v="305.20999999999998"/>
    <x v="0"/>
    <n v="1220.8399999999999"/>
    <x v="202"/>
  </r>
  <r>
    <x v="447"/>
    <x v="447"/>
    <x v="0"/>
    <x v="2"/>
    <n v="392.7"/>
    <x v="4"/>
    <n v="392.7"/>
    <x v="259"/>
  </r>
  <r>
    <x v="448"/>
    <x v="448"/>
    <x v="0"/>
    <x v="3"/>
    <n v="177.24"/>
    <x v="0"/>
    <n v="708.96"/>
    <x v="268"/>
  </r>
  <r>
    <x v="449"/>
    <x v="449"/>
    <x v="0"/>
    <x v="0"/>
    <n v="149.65"/>
    <x v="1"/>
    <n v="448.95"/>
    <x v="177"/>
  </r>
  <r>
    <x v="450"/>
    <x v="450"/>
    <x v="0"/>
    <x v="2"/>
    <n v="69.91"/>
    <x v="0"/>
    <n v="279.64"/>
    <x v="233"/>
  </r>
  <r>
    <x v="451"/>
    <x v="451"/>
    <x v="2"/>
    <x v="0"/>
    <n v="296.01"/>
    <x v="2"/>
    <n v="1480.05"/>
    <x v="98"/>
  </r>
  <r>
    <x v="452"/>
    <x v="452"/>
    <x v="2"/>
    <x v="4"/>
    <n v="250.54"/>
    <x v="4"/>
    <n v="250.54"/>
    <x v="269"/>
  </r>
  <r>
    <x v="453"/>
    <x v="453"/>
    <x v="1"/>
    <x v="0"/>
    <n v="370.28"/>
    <x v="4"/>
    <n v="370.28"/>
    <x v="138"/>
  </r>
  <r>
    <x v="454"/>
    <x v="454"/>
    <x v="0"/>
    <x v="2"/>
    <n v="341.93"/>
    <x v="2"/>
    <n v="1709.65"/>
    <x v="161"/>
  </r>
  <r>
    <x v="455"/>
    <x v="455"/>
    <x v="0"/>
    <x v="4"/>
    <n v="269.02999999999997"/>
    <x v="2"/>
    <n v="1345.15"/>
    <x v="270"/>
  </r>
  <r>
    <x v="456"/>
    <x v="456"/>
    <x v="2"/>
    <x v="1"/>
    <n v="16.59"/>
    <x v="3"/>
    <n v="33.18"/>
    <x v="271"/>
  </r>
  <r>
    <x v="457"/>
    <x v="457"/>
    <x v="0"/>
    <x v="3"/>
    <n v="197.92"/>
    <x v="0"/>
    <n v="791.68"/>
    <x v="3"/>
  </r>
  <r>
    <x v="458"/>
    <x v="458"/>
    <x v="2"/>
    <x v="1"/>
    <n v="400.53"/>
    <x v="3"/>
    <n v="801.06"/>
    <x v="60"/>
  </r>
  <r>
    <x v="459"/>
    <x v="459"/>
    <x v="1"/>
    <x v="0"/>
    <n v="272.38"/>
    <x v="4"/>
    <n v="272.38"/>
    <x v="272"/>
  </r>
  <r>
    <x v="460"/>
    <x v="460"/>
    <x v="1"/>
    <x v="2"/>
    <n v="421.9"/>
    <x v="3"/>
    <n v="843.8"/>
    <x v="273"/>
  </r>
  <r>
    <x v="461"/>
    <x v="461"/>
    <x v="0"/>
    <x v="1"/>
    <n v="413.29"/>
    <x v="2"/>
    <n v="2066.4499999999998"/>
    <x v="274"/>
  </r>
  <r>
    <x v="462"/>
    <x v="462"/>
    <x v="0"/>
    <x v="1"/>
    <n v="271.62"/>
    <x v="4"/>
    <n v="271.62"/>
    <x v="143"/>
  </r>
  <r>
    <x v="463"/>
    <x v="463"/>
    <x v="2"/>
    <x v="1"/>
    <n v="359.98"/>
    <x v="3"/>
    <n v="719.96"/>
    <x v="275"/>
  </r>
  <r>
    <x v="464"/>
    <x v="464"/>
    <x v="0"/>
    <x v="1"/>
    <n v="449.69"/>
    <x v="1"/>
    <n v="1349.07"/>
    <x v="140"/>
  </r>
  <r>
    <x v="465"/>
    <x v="465"/>
    <x v="0"/>
    <x v="4"/>
    <n v="352.36"/>
    <x v="2"/>
    <n v="1761.8"/>
    <x v="276"/>
  </r>
  <r>
    <x v="466"/>
    <x v="466"/>
    <x v="1"/>
    <x v="3"/>
    <n v="342.91"/>
    <x v="4"/>
    <n v="342.91"/>
    <x v="277"/>
  </r>
  <r>
    <x v="467"/>
    <x v="467"/>
    <x v="2"/>
    <x v="3"/>
    <n v="162.43"/>
    <x v="3"/>
    <n v="324.86"/>
    <x v="278"/>
  </r>
  <r>
    <x v="468"/>
    <x v="468"/>
    <x v="2"/>
    <x v="4"/>
    <n v="361.18"/>
    <x v="0"/>
    <n v="1444.72"/>
    <x v="28"/>
  </r>
  <r>
    <x v="469"/>
    <x v="469"/>
    <x v="0"/>
    <x v="2"/>
    <n v="74.540000000000006"/>
    <x v="2"/>
    <n v="372.7"/>
    <x v="279"/>
  </r>
  <r>
    <x v="470"/>
    <x v="470"/>
    <x v="1"/>
    <x v="1"/>
    <n v="222.41"/>
    <x v="2"/>
    <n v="1112.05"/>
    <x v="222"/>
  </r>
  <r>
    <x v="471"/>
    <x v="471"/>
    <x v="2"/>
    <x v="4"/>
    <n v="94.66"/>
    <x v="0"/>
    <n v="378.64"/>
    <x v="57"/>
  </r>
  <r>
    <x v="472"/>
    <x v="472"/>
    <x v="0"/>
    <x v="2"/>
    <n v="108.85"/>
    <x v="0"/>
    <n v="435.4"/>
    <x v="184"/>
  </r>
  <r>
    <x v="473"/>
    <x v="473"/>
    <x v="0"/>
    <x v="1"/>
    <n v="247.9"/>
    <x v="4"/>
    <n v="247.9"/>
    <x v="280"/>
  </r>
  <r>
    <x v="474"/>
    <x v="474"/>
    <x v="0"/>
    <x v="2"/>
    <n v="434.81"/>
    <x v="2"/>
    <n v="2174.0500000000002"/>
    <x v="281"/>
  </r>
  <r>
    <x v="475"/>
    <x v="475"/>
    <x v="0"/>
    <x v="3"/>
    <n v="321.14999999999998"/>
    <x v="2"/>
    <n v="1605.75"/>
    <x v="211"/>
  </r>
  <r>
    <x v="476"/>
    <x v="476"/>
    <x v="0"/>
    <x v="4"/>
    <n v="268.14"/>
    <x v="2"/>
    <n v="1340.7"/>
    <x v="15"/>
  </r>
  <r>
    <x v="477"/>
    <x v="477"/>
    <x v="2"/>
    <x v="0"/>
    <n v="448.39"/>
    <x v="1"/>
    <n v="1345.17"/>
    <x v="221"/>
  </r>
  <r>
    <x v="478"/>
    <x v="478"/>
    <x v="2"/>
    <x v="2"/>
    <n v="283.77"/>
    <x v="2"/>
    <n v="1418.85"/>
    <x v="278"/>
  </r>
  <r>
    <x v="479"/>
    <x v="479"/>
    <x v="1"/>
    <x v="0"/>
    <n v="250.29"/>
    <x v="2"/>
    <n v="1251.45"/>
    <x v="277"/>
  </r>
  <r>
    <x v="480"/>
    <x v="480"/>
    <x v="1"/>
    <x v="2"/>
    <n v="117.74"/>
    <x v="3"/>
    <n v="235.48"/>
    <x v="282"/>
  </r>
  <r>
    <x v="481"/>
    <x v="481"/>
    <x v="2"/>
    <x v="0"/>
    <n v="272.45"/>
    <x v="2"/>
    <n v="1362.25"/>
    <x v="136"/>
  </r>
  <r>
    <x v="482"/>
    <x v="482"/>
    <x v="0"/>
    <x v="1"/>
    <n v="379.17"/>
    <x v="3"/>
    <n v="758.34"/>
    <x v="283"/>
  </r>
  <r>
    <x v="483"/>
    <x v="483"/>
    <x v="0"/>
    <x v="1"/>
    <n v="404.46"/>
    <x v="4"/>
    <n v="404.46"/>
    <x v="284"/>
  </r>
  <r>
    <x v="484"/>
    <x v="484"/>
    <x v="2"/>
    <x v="0"/>
    <n v="215.78"/>
    <x v="0"/>
    <n v="863.12"/>
    <x v="285"/>
  </r>
  <r>
    <x v="485"/>
    <x v="485"/>
    <x v="0"/>
    <x v="2"/>
    <n v="105.88"/>
    <x v="1"/>
    <n v="317.64"/>
    <x v="10"/>
  </r>
  <r>
    <x v="486"/>
    <x v="486"/>
    <x v="2"/>
    <x v="0"/>
    <n v="416.86"/>
    <x v="3"/>
    <n v="833.72"/>
    <x v="143"/>
  </r>
  <r>
    <x v="487"/>
    <x v="487"/>
    <x v="2"/>
    <x v="2"/>
    <n v="203.02"/>
    <x v="4"/>
    <n v="203.02"/>
    <x v="175"/>
  </r>
  <r>
    <x v="488"/>
    <x v="488"/>
    <x v="2"/>
    <x v="0"/>
    <n v="198.61"/>
    <x v="3"/>
    <n v="397.22"/>
    <x v="3"/>
  </r>
  <r>
    <x v="489"/>
    <x v="489"/>
    <x v="2"/>
    <x v="0"/>
    <n v="127.65"/>
    <x v="0"/>
    <n v="510.6"/>
    <x v="129"/>
  </r>
  <r>
    <x v="490"/>
    <x v="490"/>
    <x v="1"/>
    <x v="3"/>
    <n v="186.82"/>
    <x v="3"/>
    <n v="373.64"/>
    <x v="266"/>
  </r>
  <r>
    <x v="491"/>
    <x v="491"/>
    <x v="2"/>
    <x v="1"/>
    <n v="431.94"/>
    <x v="1"/>
    <n v="1295.82"/>
    <x v="143"/>
  </r>
  <r>
    <x v="492"/>
    <x v="492"/>
    <x v="2"/>
    <x v="0"/>
    <n v="186.68"/>
    <x v="4"/>
    <n v="186.68"/>
    <x v="86"/>
  </r>
  <r>
    <x v="493"/>
    <x v="493"/>
    <x v="2"/>
    <x v="0"/>
    <n v="358.59"/>
    <x v="1"/>
    <n v="1075.77"/>
    <x v="233"/>
  </r>
  <r>
    <x v="494"/>
    <x v="494"/>
    <x v="1"/>
    <x v="0"/>
    <n v="153.13"/>
    <x v="4"/>
    <n v="153.13"/>
    <x v="138"/>
  </r>
  <r>
    <x v="495"/>
    <x v="495"/>
    <x v="1"/>
    <x v="2"/>
    <n v="145.75"/>
    <x v="2"/>
    <n v="728.75"/>
    <x v="10"/>
  </r>
  <r>
    <x v="496"/>
    <x v="496"/>
    <x v="0"/>
    <x v="2"/>
    <n v="67.209999999999994"/>
    <x v="0"/>
    <n v="268.83999999999997"/>
    <x v="242"/>
  </r>
  <r>
    <x v="497"/>
    <x v="497"/>
    <x v="2"/>
    <x v="4"/>
    <n v="177.95"/>
    <x v="1"/>
    <n v="533.85"/>
    <x v="82"/>
  </r>
  <r>
    <x v="498"/>
    <x v="498"/>
    <x v="1"/>
    <x v="1"/>
    <n v="34.4"/>
    <x v="2"/>
    <n v="172"/>
    <x v="286"/>
  </r>
  <r>
    <x v="499"/>
    <x v="499"/>
    <x v="0"/>
    <x v="4"/>
    <n v="476.9"/>
    <x v="3"/>
    <n v="953.8"/>
    <x v="95"/>
  </r>
  <r>
    <x v="500"/>
    <x v="500"/>
    <x v="0"/>
    <x v="2"/>
    <n v="49.5"/>
    <x v="0"/>
    <n v="198"/>
    <x v="89"/>
  </r>
  <r>
    <x v="501"/>
    <x v="501"/>
    <x v="2"/>
    <x v="3"/>
    <n v="112.56"/>
    <x v="3"/>
    <n v="225.12"/>
    <x v="287"/>
  </r>
  <r>
    <x v="502"/>
    <x v="502"/>
    <x v="1"/>
    <x v="3"/>
    <n v="343.82"/>
    <x v="2"/>
    <n v="1719.1"/>
    <x v="153"/>
  </r>
  <r>
    <x v="503"/>
    <x v="503"/>
    <x v="2"/>
    <x v="2"/>
    <n v="121.29"/>
    <x v="0"/>
    <n v="485.16"/>
    <x v="288"/>
  </r>
  <r>
    <x v="504"/>
    <x v="504"/>
    <x v="0"/>
    <x v="3"/>
    <n v="282.5"/>
    <x v="4"/>
    <n v="282.5"/>
    <x v="46"/>
  </r>
  <r>
    <x v="505"/>
    <x v="505"/>
    <x v="2"/>
    <x v="3"/>
    <n v="463.77"/>
    <x v="1"/>
    <n v="1391.31"/>
    <x v="289"/>
  </r>
  <r>
    <x v="506"/>
    <x v="506"/>
    <x v="2"/>
    <x v="2"/>
    <n v="136.47"/>
    <x v="0"/>
    <n v="545.88"/>
    <x v="17"/>
  </r>
  <r>
    <x v="507"/>
    <x v="507"/>
    <x v="0"/>
    <x v="2"/>
    <n v="180.74"/>
    <x v="1"/>
    <n v="542.22"/>
    <x v="113"/>
  </r>
  <r>
    <x v="508"/>
    <x v="508"/>
    <x v="1"/>
    <x v="4"/>
    <n v="190.71"/>
    <x v="1"/>
    <n v="572.13"/>
    <x v="69"/>
  </r>
  <r>
    <x v="509"/>
    <x v="509"/>
    <x v="1"/>
    <x v="3"/>
    <n v="237.68"/>
    <x v="4"/>
    <n v="237.68"/>
    <x v="228"/>
  </r>
  <r>
    <x v="510"/>
    <x v="510"/>
    <x v="0"/>
    <x v="3"/>
    <n v="354.5"/>
    <x v="1"/>
    <n v="1063.5"/>
    <x v="165"/>
  </r>
  <r>
    <x v="511"/>
    <x v="511"/>
    <x v="0"/>
    <x v="4"/>
    <n v="86.19"/>
    <x v="2"/>
    <n v="430.95"/>
    <x v="53"/>
  </r>
  <r>
    <x v="512"/>
    <x v="512"/>
    <x v="2"/>
    <x v="0"/>
    <n v="136.33000000000001"/>
    <x v="3"/>
    <n v="272.66000000000003"/>
    <x v="85"/>
  </r>
  <r>
    <x v="513"/>
    <x v="513"/>
    <x v="0"/>
    <x v="1"/>
    <n v="118.37"/>
    <x v="4"/>
    <n v="118.37"/>
    <x v="290"/>
  </r>
  <r>
    <x v="514"/>
    <x v="514"/>
    <x v="0"/>
    <x v="0"/>
    <n v="146.5"/>
    <x v="3"/>
    <n v="293"/>
    <x v="291"/>
  </r>
  <r>
    <x v="515"/>
    <x v="515"/>
    <x v="2"/>
    <x v="1"/>
    <n v="74.67"/>
    <x v="3"/>
    <n v="149.34"/>
    <x v="124"/>
  </r>
  <r>
    <x v="516"/>
    <x v="516"/>
    <x v="1"/>
    <x v="4"/>
    <n v="251.59"/>
    <x v="1"/>
    <n v="754.77"/>
    <x v="20"/>
  </r>
  <r>
    <x v="517"/>
    <x v="517"/>
    <x v="1"/>
    <x v="2"/>
    <n v="418.68"/>
    <x v="0"/>
    <n v="1674.72"/>
    <x v="216"/>
  </r>
  <r>
    <x v="518"/>
    <x v="518"/>
    <x v="1"/>
    <x v="0"/>
    <n v="480.43"/>
    <x v="3"/>
    <n v="960.86"/>
    <x v="102"/>
  </r>
  <r>
    <x v="519"/>
    <x v="519"/>
    <x v="2"/>
    <x v="3"/>
    <n v="274.62"/>
    <x v="2"/>
    <n v="1373.1"/>
    <x v="292"/>
  </r>
  <r>
    <x v="520"/>
    <x v="520"/>
    <x v="0"/>
    <x v="4"/>
    <n v="130.08000000000001"/>
    <x v="2"/>
    <n v="650.4"/>
    <x v="259"/>
  </r>
  <r>
    <x v="521"/>
    <x v="521"/>
    <x v="1"/>
    <x v="4"/>
    <n v="391.56"/>
    <x v="3"/>
    <n v="783.12"/>
    <x v="134"/>
  </r>
  <r>
    <x v="522"/>
    <x v="522"/>
    <x v="2"/>
    <x v="2"/>
    <n v="281.86"/>
    <x v="4"/>
    <n v="281.86"/>
    <x v="165"/>
  </r>
  <r>
    <x v="523"/>
    <x v="523"/>
    <x v="0"/>
    <x v="4"/>
    <n v="278.89"/>
    <x v="4"/>
    <n v="278.89"/>
    <x v="212"/>
  </r>
  <r>
    <x v="524"/>
    <x v="524"/>
    <x v="0"/>
    <x v="3"/>
    <n v="470.47"/>
    <x v="0"/>
    <n v="1881.88"/>
    <x v="272"/>
  </r>
  <r>
    <x v="525"/>
    <x v="525"/>
    <x v="0"/>
    <x v="1"/>
    <n v="293.20999999999998"/>
    <x v="2"/>
    <n v="1466.05"/>
    <x v="161"/>
  </r>
  <r>
    <x v="526"/>
    <x v="526"/>
    <x v="1"/>
    <x v="0"/>
    <n v="343.2"/>
    <x v="3"/>
    <n v="686.4"/>
    <x v="223"/>
  </r>
  <r>
    <x v="527"/>
    <x v="527"/>
    <x v="0"/>
    <x v="1"/>
    <n v="59.54"/>
    <x v="0"/>
    <n v="238.16"/>
    <x v="204"/>
  </r>
  <r>
    <x v="528"/>
    <x v="528"/>
    <x v="0"/>
    <x v="2"/>
    <n v="462.69"/>
    <x v="2"/>
    <n v="2313.4499999999998"/>
    <x v="124"/>
  </r>
  <r>
    <x v="529"/>
    <x v="529"/>
    <x v="1"/>
    <x v="3"/>
    <n v="333.25"/>
    <x v="0"/>
    <n v="1333"/>
    <x v="101"/>
  </r>
  <r>
    <x v="530"/>
    <x v="530"/>
    <x v="0"/>
    <x v="1"/>
    <n v="325.05"/>
    <x v="0"/>
    <n v="1300.2"/>
    <x v="288"/>
  </r>
  <r>
    <x v="531"/>
    <x v="531"/>
    <x v="0"/>
    <x v="4"/>
    <n v="98.83"/>
    <x v="3"/>
    <n v="197.66"/>
    <x v="293"/>
  </r>
  <r>
    <x v="532"/>
    <x v="532"/>
    <x v="1"/>
    <x v="4"/>
    <n v="92.72"/>
    <x v="2"/>
    <n v="463.6"/>
    <x v="238"/>
  </r>
  <r>
    <x v="533"/>
    <x v="533"/>
    <x v="2"/>
    <x v="4"/>
    <n v="322.95999999999998"/>
    <x v="3"/>
    <n v="645.91999999999996"/>
    <x v="185"/>
  </r>
  <r>
    <x v="534"/>
    <x v="534"/>
    <x v="2"/>
    <x v="3"/>
    <n v="349.74"/>
    <x v="3"/>
    <n v="699.48"/>
    <x v="221"/>
  </r>
  <r>
    <x v="535"/>
    <x v="535"/>
    <x v="0"/>
    <x v="4"/>
    <n v="226.41"/>
    <x v="1"/>
    <n v="679.23"/>
    <x v="221"/>
  </r>
  <r>
    <x v="536"/>
    <x v="536"/>
    <x v="0"/>
    <x v="0"/>
    <n v="31.77"/>
    <x v="4"/>
    <n v="31.77"/>
    <x v="182"/>
  </r>
  <r>
    <x v="537"/>
    <x v="537"/>
    <x v="2"/>
    <x v="2"/>
    <n v="411.36"/>
    <x v="0"/>
    <n v="1645.44"/>
    <x v="81"/>
  </r>
  <r>
    <x v="538"/>
    <x v="538"/>
    <x v="1"/>
    <x v="2"/>
    <n v="140.62"/>
    <x v="2"/>
    <n v="703.1"/>
    <x v="191"/>
  </r>
  <r>
    <x v="539"/>
    <x v="539"/>
    <x v="1"/>
    <x v="2"/>
    <n v="449.37"/>
    <x v="3"/>
    <n v="898.74"/>
    <x v="62"/>
  </r>
  <r>
    <x v="540"/>
    <x v="540"/>
    <x v="2"/>
    <x v="4"/>
    <n v="294.77"/>
    <x v="1"/>
    <n v="884.31"/>
    <x v="92"/>
  </r>
  <r>
    <x v="541"/>
    <x v="541"/>
    <x v="0"/>
    <x v="4"/>
    <n v="110.59"/>
    <x v="3"/>
    <n v="221.18"/>
    <x v="294"/>
  </r>
  <r>
    <x v="542"/>
    <x v="542"/>
    <x v="0"/>
    <x v="2"/>
    <n v="283.27"/>
    <x v="3"/>
    <n v="566.54"/>
    <x v="210"/>
  </r>
  <r>
    <x v="543"/>
    <x v="543"/>
    <x v="1"/>
    <x v="2"/>
    <n v="421.74"/>
    <x v="2"/>
    <n v="2108.6999999999998"/>
    <x v="43"/>
  </r>
  <r>
    <x v="544"/>
    <x v="544"/>
    <x v="1"/>
    <x v="1"/>
    <n v="276.89999999999998"/>
    <x v="3"/>
    <n v="553.79999999999995"/>
    <x v="295"/>
  </r>
  <r>
    <x v="545"/>
    <x v="545"/>
    <x v="2"/>
    <x v="4"/>
    <n v="38.619999999999997"/>
    <x v="4"/>
    <n v="38.619999999999997"/>
    <x v="296"/>
  </r>
  <r>
    <x v="546"/>
    <x v="546"/>
    <x v="2"/>
    <x v="0"/>
    <n v="348.3"/>
    <x v="0"/>
    <n v="1393.2"/>
    <x v="15"/>
  </r>
  <r>
    <x v="547"/>
    <x v="547"/>
    <x v="0"/>
    <x v="3"/>
    <n v="239.4"/>
    <x v="0"/>
    <n v="957.6"/>
    <x v="297"/>
  </r>
  <r>
    <x v="548"/>
    <x v="548"/>
    <x v="1"/>
    <x v="1"/>
    <n v="149.38"/>
    <x v="2"/>
    <n v="746.9"/>
    <x v="298"/>
  </r>
  <r>
    <x v="549"/>
    <x v="549"/>
    <x v="1"/>
    <x v="0"/>
    <n v="434.26"/>
    <x v="1"/>
    <n v="1302.78"/>
    <x v="26"/>
  </r>
  <r>
    <x v="550"/>
    <x v="550"/>
    <x v="2"/>
    <x v="4"/>
    <n v="445.17"/>
    <x v="4"/>
    <n v="445.17"/>
    <x v="217"/>
  </r>
  <r>
    <x v="551"/>
    <x v="551"/>
    <x v="1"/>
    <x v="4"/>
    <n v="442.16"/>
    <x v="4"/>
    <n v="442.16"/>
    <x v="299"/>
  </r>
  <r>
    <x v="552"/>
    <x v="552"/>
    <x v="0"/>
    <x v="4"/>
    <n v="19.22"/>
    <x v="3"/>
    <n v="38.44"/>
    <x v="244"/>
  </r>
  <r>
    <x v="553"/>
    <x v="553"/>
    <x v="0"/>
    <x v="0"/>
    <n v="275.31"/>
    <x v="4"/>
    <n v="275.31"/>
    <x v="162"/>
  </r>
  <r>
    <x v="554"/>
    <x v="554"/>
    <x v="0"/>
    <x v="2"/>
    <n v="303.91000000000003"/>
    <x v="0"/>
    <n v="1215.6400000000001"/>
    <x v="165"/>
  </r>
  <r>
    <x v="555"/>
    <x v="555"/>
    <x v="2"/>
    <x v="1"/>
    <n v="276.14"/>
    <x v="1"/>
    <n v="828.42"/>
    <x v="73"/>
  </r>
  <r>
    <x v="556"/>
    <x v="556"/>
    <x v="0"/>
    <x v="0"/>
    <n v="59.06"/>
    <x v="3"/>
    <n v="118.12"/>
    <x v="45"/>
  </r>
  <r>
    <x v="557"/>
    <x v="557"/>
    <x v="0"/>
    <x v="3"/>
    <n v="204.9"/>
    <x v="4"/>
    <n v="204.9"/>
    <x v="300"/>
  </r>
  <r>
    <x v="558"/>
    <x v="558"/>
    <x v="0"/>
    <x v="4"/>
    <n v="148.65"/>
    <x v="2"/>
    <n v="743.25"/>
    <x v="208"/>
  </r>
  <r>
    <x v="559"/>
    <x v="559"/>
    <x v="0"/>
    <x v="2"/>
    <n v="450.45"/>
    <x v="4"/>
    <n v="450.45"/>
    <x v="301"/>
  </r>
  <r>
    <x v="560"/>
    <x v="560"/>
    <x v="2"/>
    <x v="2"/>
    <n v="202.53"/>
    <x v="3"/>
    <n v="405.06"/>
    <x v="261"/>
  </r>
  <r>
    <x v="561"/>
    <x v="561"/>
    <x v="2"/>
    <x v="0"/>
    <n v="275.2"/>
    <x v="1"/>
    <n v="825.6"/>
    <x v="94"/>
  </r>
  <r>
    <x v="562"/>
    <x v="562"/>
    <x v="0"/>
    <x v="0"/>
    <n v="267.64"/>
    <x v="1"/>
    <n v="802.92"/>
    <x v="217"/>
  </r>
  <r>
    <x v="563"/>
    <x v="563"/>
    <x v="2"/>
    <x v="2"/>
    <n v="468.89"/>
    <x v="0"/>
    <n v="1875.56"/>
    <x v="215"/>
  </r>
  <r>
    <x v="564"/>
    <x v="564"/>
    <x v="2"/>
    <x v="1"/>
    <n v="110.84"/>
    <x v="4"/>
    <n v="110.84"/>
    <x v="122"/>
  </r>
  <r>
    <x v="565"/>
    <x v="565"/>
    <x v="1"/>
    <x v="0"/>
    <n v="326.66000000000003"/>
    <x v="3"/>
    <n v="653.32000000000005"/>
    <x v="106"/>
  </r>
  <r>
    <x v="566"/>
    <x v="566"/>
    <x v="1"/>
    <x v="3"/>
    <n v="203.83"/>
    <x v="1"/>
    <n v="611.49"/>
    <x v="302"/>
  </r>
  <r>
    <x v="567"/>
    <x v="567"/>
    <x v="1"/>
    <x v="2"/>
    <n v="274.32"/>
    <x v="3"/>
    <n v="548.64"/>
    <x v="15"/>
  </r>
  <r>
    <x v="568"/>
    <x v="568"/>
    <x v="2"/>
    <x v="2"/>
    <n v="455.21"/>
    <x v="1"/>
    <n v="1365.63"/>
    <x v="205"/>
  </r>
  <r>
    <x v="569"/>
    <x v="569"/>
    <x v="1"/>
    <x v="1"/>
    <n v="299.02"/>
    <x v="3"/>
    <n v="598.04"/>
    <x v="282"/>
  </r>
  <r>
    <x v="570"/>
    <x v="570"/>
    <x v="0"/>
    <x v="3"/>
    <n v="225.43"/>
    <x v="4"/>
    <n v="225.43"/>
    <x v="39"/>
  </r>
  <r>
    <x v="571"/>
    <x v="571"/>
    <x v="2"/>
    <x v="1"/>
    <n v="299.87"/>
    <x v="1"/>
    <n v="899.61"/>
    <x v="265"/>
  </r>
  <r>
    <x v="572"/>
    <x v="572"/>
    <x v="1"/>
    <x v="1"/>
    <n v="186.01"/>
    <x v="0"/>
    <n v="744.04"/>
    <x v="90"/>
  </r>
  <r>
    <x v="573"/>
    <x v="573"/>
    <x v="0"/>
    <x v="1"/>
    <n v="224.08"/>
    <x v="4"/>
    <n v="224.08"/>
    <x v="99"/>
  </r>
  <r>
    <x v="574"/>
    <x v="574"/>
    <x v="2"/>
    <x v="1"/>
    <n v="376.2"/>
    <x v="1"/>
    <n v="1128.5999999999999"/>
    <x v="107"/>
  </r>
  <r>
    <x v="575"/>
    <x v="575"/>
    <x v="0"/>
    <x v="2"/>
    <n v="214.28"/>
    <x v="1"/>
    <n v="642.84"/>
    <x v="57"/>
  </r>
  <r>
    <x v="576"/>
    <x v="576"/>
    <x v="1"/>
    <x v="3"/>
    <n v="172.45"/>
    <x v="2"/>
    <n v="862.25"/>
    <x v="255"/>
  </r>
  <r>
    <x v="577"/>
    <x v="577"/>
    <x v="0"/>
    <x v="1"/>
    <n v="491.82"/>
    <x v="4"/>
    <n v="491.82"/>
    <x v="220"/>
  </r>
  <r>
    <x v="578"/>
    <x v="578"/>
    <x v="1"/>
    <x v="2"/>
    <n v="449.49"/>
    <x v="2"/>
    <n v="2247.4499999999998"/>
    <x v="76"/>
  </r>
  <r>
    <x v="579"/>
    <x v="579"/>
    <x v="1"/>
    <x v="2"/>
    <n v="257.17"/>
    <x v="3"/>
    <n v="514.34"/>
    <x v="271"/>
  </r>
  <r>
    <x v="580"/>
    <x v="580"/>
    <x v="1"/>
    <x v="1"/>
    <n v="480.51"/>
    <x v="2"/>
    <n v="2402.5500000000002"/>
    <x v="296"/>
  </r>
  <r>
    <x v="581"/>
    <x v="581"/>
    <x v="0"/>
    <x v="0"/>
    <n v="151.53"/>
    <x v="3"/>
    <n v="303.06"/>
    <x v="280"/>
  </r>
  <r>
    <x v="582"/>
    <x v="582"/>
    <x v="2"/>
    <x v="4"/>
    <n v="66.989999999999995"/>
    <x v="4"/>
    <n v="66.989999999999995"/>
    <x v="111"/>
  </r>
  <r>
    <x v="583"/>
    <x v="583"/>
    <x v="1"/>
    <x v="0"/>
    <n v="423.45"/>
    <x v="4"/>
    <n v="423.45"/>
    <x v="69"/>
  </r>
  <r>
    <x v="584"/>
    <x v="584"/>
    <x v="2"/>
    <x v="2"/>
    <n v="212.89"/>
    <x v="2"/>
    <n v="1064.45"/>
    <x v="40"/>
  </r>
  <r>
    <x v="585"/>
    <x v="585"/>
    <x v="2"/>
    <x v="1"/>
    <n v="403.9"/>
    <x v="4"/>
    <n v="403.9"/>
    <x v="222"/>
  </r>
  <r>
    <x v="586"/>
    <x v="586"/>
    <x v="2"/>
    <x v="4"/>
    <n v="355.19"/>
    <x v="4"/>
    <n v="355.19"/>
    <x v="101"/>
  </r>
  <r>
    <x v="587"/>
    <x v="587"/>
    <x v="2"/>
    <x v="1"/>
    <n v="331.76"/>
    <x v="1"/>
    <n v="995.28"/>
    <x v="139"/>
  </r>
  <r>
    <x v="588"/>
    <x v="588"/>
    <x v="0"/>
    <x v="0"/>
    <n v="434.03"/>
    <x v="0"/>
    <n v="1736.12"/>
    <x v="303"/>
  </r>
  <r>
    <x v="589"/>
    <x v="589"/>
    <x v="2"/>
    <x v="0"/>
    <n v="409.82"/>
    <x v="2"/>
    <n v="2049.1"/>
    <x v="304"/>
  </r>
  <r>
    <x v="590"/>
    <x v="590"/>
    <x v="2"/>
    <x v="2"/>
    <n v="31.5"/>
    <x v="4"/>
    <n v="31.5"/>
    <x v="305"/>
  </r>
  <r>
    <x v="591"/>
    <x v="591"/>
    <x v="2"/>
    <x v="0"/>
    <n v="230.73"/>
    <x v="2"/>
    <n v="1153.6500000000001"/>
    <x v="24"/>
  </r>
  <r>
    <x v="592"/>
    <x v="592"/>
    <x v="0"/>
    <x v="0"/>
    <n v="430.86"/>
    <x v="4"/>
    <n v="430.86"/>
    <x v="301"/>
  </r>
  <r>
    <x v="593"/>
    <x v="593"/>
    <x v="1"/>
    <x v="4"/>
    <n v="138.24"/>
    <x v="4"/>
    <n v="138.24"/>
    <x v="294"/>
  </r>
  <r>
    <x v="594"/>
    <x v="594"/>
    <x v="2"/>
    <x v="1"/>
    <n v="473.69"/>
    <x v="3"/>
    <n v="947.38"/>
    <x v="149"/>
  </r>
  <r>
    <x v="595"/>
    <x v="595"/>
    <x v="1"/>
    <x v="4"/>
    <n v="378.93"/>
    <x v="0"/>
    <n v="1515.72"/>
    <x v="51"/>
  </r>
  <r>
    <x v="596"/>
    <x v="596"/>
    <x v="2"/>
    <x v="0"/>
    <n v="290.56"/>
    <x v="3"/>
    <n v="581.12"/>
    <x v="306"/>
  </r>
  <r>
    <x v="597"/>
    <x v="597"/>
    <x v="1"/>
    <x v="2"/>
    <n v="195.91"/>
    <x v="4"/>
    <n v="195.91"/>
    <x v="208"/>
  </r>
  <r>
    <x v="598"/>
    <x v="598"/>
    <x v="1"/>
    <x v="2"/>
    <n v="454.05"/>
    <x v="0"/>
    <n v="1816.2"/>
    <x v="19"/>
  </r>
  <r>
    <x v="599"/>
    <x v="599"/>
    <x v="0"/>
    <x v="1"/>
    <n v="334.2"/>
    <x v="1"/>
    <n v="1002.6"/>
    <x v="307"/>
  </r>
  <r>
    <x v="600"/>
    <x v="600"/>
    <x v="0"/>
    <x v="0"/>
    <n v="261.79000000000002"/>
    <x v="4"/>
    <n v="261.79000000000002"/>
    <x v="40"/>
  </r>
  <r>
    <x v="601"/>
    <x v="601"/>
    <x v="0"/>
    <x v="2"/>
    <n v="169.09"/>
    <x v="4"/>
    <n v="169.09"/>
    <x v="95"/>
  </r>
  <r>
    <x v="602"/>
    <x v="602"/>
    <x v="0"/>
    <x v="2"/>
    <n v="71.959999999999994"/>
    <x v="4"/>
    <n v="71.959999999999994"/>
    <x v="156"/>
  </r>
  <r>
    <x v="603"/>
    <x v="603"/>
    <x v="0"/>
    <x v="1"/>
    <n v="231.25"/>
    <x v="0"/>
    <n v="925"/>
    <x v="290"/>
  </r>
  <r>
    <x v="604"/>
    <x v="604"/>
    <x v="0"/>
    <x v="3"/>
    <n v="138.4"/>
    <x v="1"/>
    <n v="415.2"/>
    <x v="308"/>
  </r>
  <r>
    <x v="605"/>
    <x v="605"/>
    <x v="1"/>
    <x v="4"/>
    <n v="227.95"/>
    <x v="2"/>
    <n v="1139.75"/>
    <x v="132"/>
  </r>
  <r>
    <x v="606"/>
    <x v="606"/>
    <x v="2"/>
    <x v="1"/>
    <n v="61.75"/>
    <x v="0"/>
    <n v="247"/>
    <x v="169"/>
  </r>
  <r>
    <x v="607"/>
    <x v="607"/>
    <x v="0"/>
    <x v="0"/>
    <n v="96.49"/>
    <x v="0"/>
    <n v="385.96"/>
    <x v="117"/>
  </r>
  <r>
    <x v="608"/>
    <x v="608"/>
    <x v="0"/>
    <x v="0"/>
    <n v="81.78"/>
    <x v="1"/>
    <n v="245.34"/>
    <x v="107"/>
  </r>
  <r>
    <x v="609"/>
    <x v="609"/>
    <x v="0"/>
    <x v="2"/>
    <n v="77.03"/>
    <x v="1"/>
    <n v="231.09"/>
    <x v="134"/>
  </r>
  <r>
    <x v="610"/>
    <x v="610"/>
    <x v="0"/>
    <x v="2"/>
    <n v="241.31"/>
    <x v="2"/>
    <n v="1206.55"/>
    <x v="300"/>
  </r>
  <r>
    <x v="611"/>
    <x v="611"/>
    <x v="2"/>
    <x v="0"/>
    <n v="146.08000000000001"/>
    <x v="0"/>
    <n v="584.32000000000005"/>
    <x v="309"/>
  </r>
  <r>
    <x v="612"/>
    <x v="612"/>
    <x v="0"/>
    <x v="3"/>
    <n v="460.66"/>
    <x v="0"/>
    <n v="1842.64"/>
    <x v="1"/>
  </r>
  <r>
    <x v="613"/>
    <x v="613"/>
    <x v="0"/>
    <x v="4"/>
    <n v="459.88"/>
    <x v="3"/>
    <n v="919.76"/>
    <x v="248"/>
  </r>
  <r>
    <x v="614"/>
    <x v="614"/>
    <x v="1"/>
    <x v="0"/>
    <n v="194.05"/>
    <x v="4"/>
    <n v="194.05"/>
    <x v="135"/>
  </r>
  <r>
    <x v="615"/>
    <x v="615"/>
    <x v="2"/>
    <x v="3"/>
    <n v="251.27"/>
    <x v="2"/>
    <n v="1256.3499999999999"/>
    <x v="229"/>
  </r>
  <r>
    <x v="616"/>
    <x v="616"/>
    <x v="1"/>
    <x v="0"/>
    <n v="482.01"/>
    <x v="0"/>
    <n v="1928.04"/>
    <x v="3"/>
  </r>
  <r>
    <x v="617"/>
    <x v="617"/>
    <x v="0"/>
    <x v="3"/>
    <n v="216.27"/>
    <x v="1"/>
    <n v="648.80999999999995"/>
    <x v="11"/>
  </r>
  <r>
    <x v="618"/>
    <x v="618"/>
    <x v="1"/>
    <x v="0"/>
    <n v="487.75"/>
    <x v="1"/>
    <n v="1463.25"/>
    <x v="221"/>
  </r>
  <r>
    <x v="619"/>
    <x v="619"/>
    <x v="0"/>
    <x v="3"/>
    <n v="175.95"/>
    <x v="4"/>
    <n v="175.95"/>
    <x v="48"/>
  </r>
  <r>
    <x v="620"/>
    <x v="620"/>
    <x v="0"/>
    <x v="4"/>
    <n v="118.27"/>
    <x v="4"/>
    <n v="118.27"/>
    <x v="111"/>
  </r>
  <r>
    <x v="621"/>
    <x v="621"/>
    <x v="0"/>
    <x v="0"/>
    <n v="234.44"/>
    <x v="0"/>
    <n v="937.76"/>
    <x v="146"/>
  </r>
  <r>
    <x v="622"/>
    <x v="622"/>
    <x v="0"/>
    <x v="3"/>
    <n v="203.83"/>
    <x v="3"/>
    <n v="407.66"/>
    <x v="310"/>
  </r>
  <r>
    <x v="623"/>
    <x v="623"/>
    <x v="1"/>
    <x v="2"/>
    <n v="437.23"/>
    <x v="2"/>
    <n v="2186.15"/>
    <x v="42"/>
  </r>
  <r>
    <x v="624"/>
    <x v="508"/>
    <x v="2"/>
    <x v="4"/>
    <n v="437.53"/>
    <x v="1"/>
    <n v="1312.59"/>
    <x v="311"/>
  </r>
  <r>
    <x v="625"/>
    <x v="624"/>
    <x v="0"/>
    <x v="3"/>
    <n v="142.51"/>
    <x v="2"/>
    <n v="712.55"/>
    <x v="137"/>
  </r>
  <r>
    <x v="626"/>
    <x v="625"/>
    <x v="1"/>
    <x v="1"/>
    <n v="389.28"/>
    <x v="0"/>
    <n v="1557.12"/>
    <x v="261"/>
  </r>
  <r>
    <x v="627"/>
    <x v="626"/>
    <x v="1"/>
    <x v="3"/>
    <n v="169.24"/>
    <x v="4"/>
    <n v="169.24"/>
    <x v="292"/>
  </r>
  <r>
    <x v="628"/>
    <x v="627"/>
    <x v="1"/>
    <x v="1"/>
    <n v="363.2"/>
    <x v="1"/>
    <n v="1089.5999999999999"/>
    <x v="312"/>
  </r>
  <r>
    <x v="629"/>
    <x v="628"/>
    <x v="2"/>
    <x v="3"/>
    <n v="312.08"/>
    <x v="4"/>
    <n v="312.08"/>
    <x v="55"/>
  </r>
  <r>
    <x v="630"/>
    <x v="629"/>
    <x v="0"/>
    <x v="1"/>
    <n v="239.31"/>
    <x v="1"/>
    <n v="717.93"/>
    <x v="245"/>
  </r>
  <r>
    <x v="631"/>
    <x v="630"/>
    <x v="2"/>
    <x v="0"/>
    <n v="101.72"/>
    <x v="2"/>
    <n v="508.6"/>
    <x v="313"/>
  </r>
  <r>
    <x v="632"/>
    <x v="631"/>
    <x v="2"/>
    <x v="0"/>
    <n v="451.86"/>
    <x v="2"/>
    <n v="2259.3000000000002"/>
    <x v="314"/>
  </r>
  <r>
    <x v="633"/>
    <x v="632"/>
    <x v="0"/>
    <x v="4"/>
    <n v="438.7"/>
    <x v="2"/>
    <n v="2193.5"/>
    <x v="315"/>
  </r>
  <r>
    <x v="634"/>
    <x v="633"/>
    <x v="2"/>
    <x v="3"/>
    <n v="191.25"/>
    <x v="3"/>
    <n v="382.5"/>
    <x v="48"/>
  </r>
  <r>
    <x v="635"/>
    <x v="634"/>
    <x v="1"/>
    <x v="0"/>
    <n v="282.68"/>
    <x v="4"/>
    <n v="282.68"/>
    <x v="243"/>
  </r>
  <r>
    <x v="636"/>
    <x v="635"/>
    <x v="1"/>
    <x v="4"/>
    <n v="402.22"/>
    <x v="0"/>
    <n v="1608.88"/>
    <x v="132"/>
  </r>
  <r>
    <x v="637"/>
    <x v="636"/>
    <x v="1"/>
    <x v="4"/>
    <n v="195.14"/>
    <x v="4"/>
    <n v="195.14"/>
    <x v="298"/>
  </r>
  <r>
    <x v="638"/>
    <x v="637"/>
    <x v="1"/>
    <x v="3"/>
    <n v="293.7"/>
    <x v="0"/>
    <n v="1174.8"/>
    <x v="242"/>
  </r>
  <r>
    <x v="639"/>
    <x v="638"/>
    <x v="1"/>
    <x v="3"/>
    <n v="264.27"/>
    <x v="1"/>
    <n v="792.81"/>
    <x v="233"/>
  </r>
  <r>
    <x v="640"/>
    <x v="639"/>
    <x v="2"/>
    <x v="3"/>
    <n v="211.8"/>
    <x v="3"/>
    <n v="423.6"/>
    <x v="316"/>
  </r>
  <r>
    <x v="641"/>
    <x v="640"/>
    <x v="0"/>
    <x v="3"/>
    <n v="47"/>
    <x v="1"/>
    <n v="141"/>
    <x v="229"/>
  </r>
  <r>
    <x v="642"/>
    <x v="641"/>
    <x v="1"/>
    <x v="1"/>
    <n v="254.83"/>
    <x v="4"/>
    <n v="254.83"/>
    <x v="13"/>
  </r>
  <r>
    <x v="643"/>
    <x v="642"/>
    <x v="0"/>
    <x v="3"/>
    <n v="242.41"/>
    <x v="4"/>
    <n v="242.41"/>
    <x v="317"/>
  </r>
  <r>
    <x v="644"/>
    <x v="643"/>
    <x v="2"/>
    <x v="0"/>
    <n v="52.15"/>
    <x v="1"/>
    <n v="156.44999999999999"/>
    <x v="318"/>
  </r>
  <r>
    <x v="645"/>
    <x v="644"/>
    <x v="0"/>
    <x v="1"/>
    <n v="324.51"/>
    <x v="4"/>
    <n v="324.51"/>
    <x v="99"/>
  </r>
  <r>
    <x v="646"/>
    <x v="645"/>
    <x v="2"/>
    <x v="3"/>
    <n v="389.13"/>
    <x v="0"/>
    <n v="1556.52"/>
    <x v="152"/>
  </r>
  <r>
    <x v="647"/>
    <x v="646"/>
    <x v="2"/>
    <x v="3"/>
    <n v="123.88"/>
    <x v="3"/>
    <n v="247.76"/>
    <x v="319"/>
  </r>
  <r>
    <x v="648"/>
    <x v="647"/>
    <x v="0"/>
    <x v="1"/>
    <n v="465.69"/>
    <x v="1"/>
    <n v="1397.07"/>
    <x v="173"/>
  </r>
  <r>
    <x v="649"/>
    <x v="648"/>
    <x v="1"/>
    <x v="3"/>
    <n v="272.51"/>
    <x v="1"/>
    <n v="817.53"/>
    <x v="156"/>
  </r>
  <r>
    <x v="650"/>
    <x v="649"/>
    <x v="2"/>
    <x v="2"/>
    <n v="88.24"/>
    <x v="0"/>
    <n v="352.96"/>
    <x v="133"/>
  </r>
  <r>
    <x v="651"/>
    <x v="650"/>
    <x v="1"/>
    <x v="1"/>
    <n v="242.07"/>
    <x v="4"/>
    <n v="242.07"/>
    <x v="111"/>
  </r>
  <r>
    <x v="652"/>
    <x v="651"/>
    <x v="2"/>
    <x v="3"/>
    <n v="454.36"/>
    <x v="4"/>
    <n v="454.36"/>
    <x v="320"/>
  </r>
  <r>
    <x v="653"/>
    <x v="652"/>
    <x v="2"/>
    <x v="2"/>
    <n v="472.87"/>
    <x v="4"/>
    <n v="472.87"/>
    <x v="186"/>
  </r>
  <r>
    <x v="654"/>
    <x v="653"/>
    <x v="0"/>
    <x v="0"/>
    <n v="36.020000000000003"/>
    <x v="1"/>
    <n v="108.06"/>
    <x v="117"/>
  </r>
  <r>
    <x v="655"/>
    <x v="654"/>
    <x v="2"/>
    <x v="0"/>
    <n v="198.45"/>
    <x v="3"/>
    <n v="396.9"/>
    <x v="312"/>
  </r>
  <r>
    <x v="656"/>
    <x v="655"/>
    <x v="2"/>
    <x v="3"/>
    <n v="143.44"/>
    <x v="1"/>
    <n v="430.32"/>
    <x v="321"/>
  </r>
  <r>
    <x v="657"/>
    <x v="656"/>
    <x v="2"/>
    <x v="0"/>
    <n v="104.44"/>
    <x v="3"/>
    <n v="208.88"/>
    <x v="322"/>
  </r>
  <r>
    <x v="658"/>
    <x v="45"/>
    <x v="1"/>
    <x v="3"/>
    <n v="81.48"/>
    <x v="4"/>
    <n v="81.48"/>
    <x v="323"/>
  </r>
  <r>
    <x v="659"/>
    <x v="657"/>
    <x v="2"/>
    <x v="0"/>
    <n v="69.63"/>
    <x v="3"/>
    <n v="139.26"/>
    <x v="159"/>
  </r>
  <r>
    <x v="660"/>
    <x v="658"/>
    <x v="2"/>
    <x v="2"/>
    <n v="63.08"/>
    <x v="4"/>
    <n v="63.08"/>
    <x v="83"/>
  </r>
  <r>
    <x v="661"/>
    <x v="659"/>
    <x v="0"/>
    <x v="1"/>
    <n v="375.96"/>
    <x v="2"/>
    <n v="1879.8"/>
    <x v="234"/>
  </r>
  <r>
    <x v="662"/>
    <x v="660"/>
    <x v="0"/>
    <x v="1"/>
    <n v="284.87"/>
    <x v="2"/>
    <n v="1424.35"/>
    <x v="1"/>
  </r>
  <r>
    <x v="663"/>
    <x v="661"/>
    <x v="0"/>
    <x v="1"/>
    <n v="233.72"/>
    <x v="1"/>
    <n v="701.16"/>
    <x v="324"/>
  </r>
  <r>
    <x v="664"/>
    <x v="662"/>
    <x v="2"/>
    <x v="3"/>
    <n v="292.74"/>
    <x v="3"/>
    <n v="585.48"/>
    <x v="250"/>
  </r>
  <r>
    <x v="665"/>
    <x v="663"/>
    <x v="1"/>
    <x v="3"/>
    <n v="252.23"/>
    <x v="0"/>
    <n v="1008.92"/>
    <x v="216"/>
  </r>
  <r>
    <x v="666"/>
    <x v="664"/>
    <x v="1"/>
    <x v="3"/>
    <n v="161.62"/>
    <x v="3"/>
    <n v="323.24"/>
    <x v="325"/>
  </r>
  <r>
    <x v="667"/>
    <x v="665"/>
    <x v="2"/>
    <x v="1"/>
    <n v="261.41000000000003"/>
    <x v="4"/>
    <n v="261.41000000000003"/>
    <x v="61"/>
  </r>
  <r>
    <x v="668"/>
    <x v="666"/>
    <x v="1"/>
    <x v="4"/>
    <n v="379.59"/>
    <x v="1"/>
    <n v="1138.77"/>
    <x v="6"/>
  </r>
  <r>
    <x v="669"/>
    <x v="667"/>
    <x v="2"/>
    <x v="0"/>
    <n v="426.94"/>
    <x v="3"/>
    <n v="853.88"/>
    <x v="171"/>
  </r>
  <r>
    <x v="670"/>
    <x v="668"/>
    <x v="0"/>
    <x v="3"/>
    <n v="393.95"/>
    <x v="1"/>
    <n v="1181.8499999999999"/>
    <x v="188"/>
  </r>
  <r>
    <x v="671"/>
    <x v="669"/>
    <x v="1"/>
    <x v="2"/>
    <n v="111.91"/>
    <x v="3"/>
    <n v="223.82"/>
    <x v="326"/>
  </r>
  <r>
    <x v="672"/>
    <x v="670"/>
    <x v="2"/>
    <x v="1"/>
    <n v="429.23"/>
    <x v="3"/>
    <n v="858.46"/>
    <x v="166"/>
  </r>
  <r>
    <x v="673"/>
    <x v="671"/>
    <x v="0"/>
    <x v="3"/>
    <n v="361.29"/>
    <x v="4"/>
    <n v="361.29"/>
    <x v="143"/>
  </r>
  <r>
    <x v="674"/>
    <x v="672"/>
    <x v="0"/>
    <x v="4"/>
    <n v="259.98"/>
    <x v="4"/>
    <n v="259.98"/>
    <x v="327"/>
  </r>
  <r>
    <x v="675"/>
    <x v="673"/>
    <x v="2"/>
    <x v="1"/>
    <n v="304.49"/>
    <x v="3"/>
    <n v="608.98"/>
    <x v="328"/>
  </r>
  <r>
    <x v="676"/>
    <x v="674"/>
    <x v="2"/>
    <x v="1"/>
    <n v="418.78"/>
    <x v="1"/>
    <n v="1256.3399999999999"/>
    <x v="72"/>
  </r>
  <r>
    <x v="677"/>
    <x v="675"/>
    <x v="2"/>
    <x v="1"/>
    <n v="370.17"/>
    <x v="3"/>
    <n v="740.34"/>
    <x v="104"/>
  </r>
  <r>
    <x v="678"/>
    <x v="676"/>
    <x v="2"/>
    <x v="1"/>
    <n v="385.66"/>
    <x v="1"/>
    <n v="1156.98"/>
    <x v="261"/>
  </r>
  <r>
    <x v="679"/>
    <x v="677"/>
    <x v="1"/>
    <x v="4"/>
    <n v="265.07"/>
    <x v="1"/>
    <n v="795.21"/>
    <x v="317"/>
  </r>
  <r>
    <x v="680"/>
    <x v="678"/>
    <x v="2"/>
    <x v="3"/>
    <n v="68.23"/>
    <x v="4"/>
    <n v="68.23"/>
    <x v="329"/>
  </r>
  <r>
    <x v="681"/>
    <x v="679"/>
    <x v="0"/>
    <x v="4"/>
    <n v="466.87"/>
    <x v="4"/>
    <n v="466.87"/>
    <x v="138"/>
  </r>
  <r>
    <x v="682"/>
    <x v="680"/>
    <x v="2"/>
    <x v="0"/>
    <n v="69.849999999999994"/>
    <x v="1"/>
    <n v="209.55"/>
    <x v="330"/>
  </r>
  <r>
    <x v="683"/>
    <x v="681"/>
    <x v="2"/>
    <x v="2"/>
    <n v="18.98"/>
    <x v="4"/>
    <n v="18.98"/>
    <x v="331"/>
  </r>
  <r>
    <x v="684"/>
    <x v="682"/>
    <x v="0"/>
    <x v="2"/>
    <n v="468.21"/>
    <x v="3"/>
    <n v="936.42"/>
    <x v="278"/>
  </r>
  <r>
    <x v="685"/>
    <x v="683"/>
    <x v="0"/>
    <x v="4"/>
    <n v="249.95"/>
    <x v="4"/>
    <n v="249.95"/>
    <x v="332"/>
  </r>
  <r>
    <x v="686"/>
    <x v="684"/>
    <x v="2"/>
    <x v="2"/>
    <n v="493.51"/>
    <x v="3"/>
    <n v="987.02"/>
    <x v="90"/>
  </r>
  <r>
    <x v="687"/>
    <x v="685"/>
    <x v="2"/>
    <x v="4"/>
    <n v="337.44"/>
    <x v="0"/>
    <n v="1349.76"/>
    <x v="92"/>
  </r>
  <r>
    <x v="688"/>
    <x v="686"/>
    <x v="1"/>
    <x v="1"/>
    <n v="23.89"/>
    <x v="3"/>
    <n v="47.78"/>
    <x v="333"/>
  </r>
  <r>
    <x v="689"/>
    <x v="687"/>
    <x v="0"/>
    <x v="2"/>
    <n v="355.03"/>
    <x v="4"/>
    <n v="355.03"/>
    <x v="73"/>
  </r>
  <r>
    <x v="690"/>
    <x v="688"/>
    <x v="2"/>
    <x v="2"/>
    <n v="485.24"/>
    <x v="4"/>
    <n v="485.24"/>
    <x v="225"/>
  </r>
  <r>
    <x v="691"/>
    <x v="689"/>
    <x v="2"/>
    <x v="3"/>
    <n v="428.23"/>
    <x v="0"/>
    <n v="1712.92"/>
    <x v="78"/>
  </r>
  <r>
    <x v="692"/>
    <x v="690"/>
    <x v="2"/>
    <x v="4"/>
    <n v="43.52"/>
    <x v="1"/>
    <n v="130.56"/>
    <x v="133"/>
  </r>
  <r>
    <x v="693"/>
    <x v="691"/>
    <x v="1"/>
    <x v="3"/>
    <n v="266.54000000000002"/>
    <x v="3"/>
    <n v="533.08000000000004"/>
    <x v="141"/>
  </r>
  <r>
    <x v="694"/>
    <x v="692"/>
    <x v="1"/>
    <x v="1"/>
    <n v="324.5"/>
    <x v="0"/>
    <n v="1298"/>
    <x v="314"/>
  </r>
  <r>
    <x v="695"/>
    <x v="693"/>
    <x v="2"/>
    <x v="4"/>
    <n v="22.08"/>
    <x v="4"/>
    <n v="22.08"/>
    <x v="229"/>
  </r>
  <r>
    <x v="696"/>
    <x v="377"/>
    <x v="1"/>
    <x v="1"/>
    <n v="401.61"/>
    <x v="4"/>
    <n v="401.61"/>
    <x v="334"/>
  </r>
  <r>
    <x v="697"/>
    <x v="694"/>
    <x v="2"/>
    <x v="3"/>
    <n v="98.76"/>
    <x v="1"/>
    <n v="296.27999999999997"/>
    <x v="321"/>
  </r>
  <r>
    <x v="698"/>
    <x v="695"/>
    <x v="2"/>
    <x v="1"/>
    <n v="435.13"/>
    <x v="3"/>
    <n v="870.26"/>
    <x v="76"/>
  </r>
  <r>
    <x v="699"/>
    <x v="696"/>
    <x v="0"/>
    <x v="4"/>
    <n v="356.85"/>
    <x v="3"/>
    <n v="713.7"/>
    <x v="33"/>
  </r>
  <r>
    <x v="700"/>
    <x v="697"/>
    <x v="1"/>
    <x v="2"/>
    <n v="483.47"/>
    <x v="2"/>
    <n v="2417.35"/>
    <x v="45"/>
  </r>
  <r>
    <x v="701"/>
    <x v="698"/>
    <x v="1"/>
    <x v="2"/>
    <n v="191.16"/>
    <x v="1"/>
    <n v="573.48"/>
    <x v="220"/>
  </r>
  <r>
    <x v="702"/>
    <x v="699"/>
    <x v="1"/>
    <x v="4"/>
    <n v="410.28"/>
    <x v="2"/>
    <n v="2051.4"/>
    <x v="161"/>
  </r>
  <r>
    <x v="703"/>
    <x v="700"/>
    <x v="0"/>
    <x v="1"/>
    <n v="408.6"/>
    <x v="0"/>
    <n v="1634.4"/>
    <x v="47"/>
  </r>
  <r>
    <x v="704"/>
    <x v="701"/>
    <x v="0"/>
    <x v="2"/>
    <n v="453.3"/>
    <x v="0"/>
    <n v="1813.2"/>
    <x v="114"/>
  </r>
  <r>
    <x v="705"/>
    <x v="702"/>
    <x v="0"/>
    <x v="3"/>
    <n v="264.44"/>
    <x v="0"/>
    <n v="1057.76"/>
    <x v="69"/>
  </r>
  <r>
    <x v="706"/>
    <x v="703"/>
    <x v="2"/>
    <x v="0"/>
    <n v="85.33"/>
    <x v="1"/>
    <n v="255.99"/>
    <x v="299"/>
  </r>
  <r>
    <x v="707"/>
    <x v="704"/>
    <x v="0"/>
    <x v="3"/>
    <n v="40.15"/>
    <x v="1"/>
    <n v="120.45"/>
    <x v="321"/>
  </r>
  <r>
    <x v="708"/>
    <x v="705"/>
    <x v="0"/>
    <x v="3"/>
    <n v="183.27"/>
    <x v="2"/>
    <n v="916.35"/>
    <x v="70"/>
  </r>
  <r>
    <x v="709"/>
    <x v="706"/>
    <x v="2"/>
    <x v="2"/>
    <n v="457.9"/>
    <x v="3"/>
    <n v="915.8"/>
    <x v="102"/>
  </r>
  <r>
    <x v="710"/>
    <x v="707"/>
    <x v="2"/>
    <x v="3"/>
    <n v="364.89"/>
    <x v="1"/>
    <n v="1094.67"/>
    <x v="194"/>
  </r>
  <r>
    <x v="711"/>
    <x v="708"/>
    <x v="2"/>
    <x v="1"/>
    <n v="386.18"/>
    <x v="2"/>
    <n v="1930.9"/>
    <x v="268"/>
  </r>
  <r>
    <x v="712"/>
    <x v="709"/>
    <x v="1"/>
    <x v="1"/>
    <n v="241.74"/>
    <x v="4"/>
    <n v="241.74"/>
    <x v="214"/>
  </r>
  <r>
    <x v="713"/>
    <x v="710"/>
    <x v="0"/>
    <x v="2"/>
    <n v="313.36"/>
    <x v="2"/>
    <n v="1566.8"/>
    <x v="2"/>
  </r>
  <r>
    <x v="714"/>
    <x v="711"/>
    <x v="1"/>
    <x v="4"/>
    <n v="497.08"/>
    <x v="3"/>
    <n v="994.16"/>
    <x v="167"/>
  </r>
  <r>
    <x v="715"/>
    <x v="712"/>
    <x v="2"/>
    <x v="1"/>
    <n v="441.1"/>
    <x v="0"/>
    <n v="1764.4"/>
    <x v="168"/>
  </r>
  <r>
    <x v="716"/>
    <x v="713"/>
    <x v="0"/>
    <x v="1"/>
    <n v="381.8"/>
    <x v="3"/>
    <n v="763.6"/>
    <x v="26"/>
  </r>
  <r>
    <x v="717"/>
    <x v="714"/>
    <x v="0"/>
    <x v="0"/>
    <n v="355.36"/>
    <x v="4"/>
    <n v="355.36"/>
    <x v="139"/>
  </r>
  <r>
    <x v="718"/>
    <x v="715"/>
    <x v="1"/>
    <x v="3"/>
    <n v="11.31"/>
    <x v="4"/>
    <n v="11.31"/>
    <x v="333"/>
  </r>
  <r>
    <x v="719"/>
    <x v="716"/>
    <x v="0"/>
    <x v="1"/>
    <n v="18.920000000000002"/>
    <x v="2"/>
    <n v="94.6"/>
    <x v="187"/>
  </r>
  <r>
    <x v="720"/>
    <x v="717"/>
    <x v="2"/>
    <x v="2"/>
    <n v="43.76"/>
    <x v="4"/>
    <n v="43.76"/>
    <x v="335"/>
  </r>
  <r>
    <x v="721"/>
    <x v="718"/>
    <x v="0"/>
    <x v="0"/>
    <n v="78.83"/>
    <x v="2"/>
    <n v="394.15"/>
    <x v="105"/>
  </r>
  <r>
    <x v="722"/>
    <x v="719"/>
    <x v="2"/>
    <x v="3"/>
    <n v="179.09"/>
    <x v="4"/>
    <n v="179.09"/>
    <x v="336"/>
  </r>
  <r>
    <x v="723"/>
    <x v="720"/>
    <x v="2"/>
    <x v="1"/>
    <n v="33.479999999999997"/>
    <x v="4"/>
    <n v="33.479999999999997"/>
    <x v="32"/>
  </r>
  <r>
    <x v="724"/>
    <x v="721"/>
    <x v="0"/>
    <x v="0"/>
    <n v="281.77"/>
    <x v="1"/>
    <n v="845.31"/>
    <x v="203"/>
  </r>
  <r>
    <x v="725"/>
    <x v="722"/>
    <x v="0"/>
    <x v="0"/>
    <n v="282.72000000000003"/>
    <x v="3"/>
    <n v="565.44000000000005"/>
    <x v="303"/>
  </r>
  <r>
    <x v="726"/>
    <x v="723"/>
    <x v="0"/>
    <x v="1"/>
    <n v="207.56"/>
    <x v="1"/>
    <n v="622.67999999999995"/>
    <x v="226"/>
  </r>
  <r>
    <x v="727"/>
    <x v="724"/>
    <x v="1"/>
    <x v="3"/>
    <n v="36.21"/>
    <x v="2"/>
    <n v="181.05"/>
    <x v="337"/>
  </r>
  <r>
    <x v="728"/>
    <x v="725"/>
    <x v="1"/>
    <x v="3"/>
    <n v="459.77"/>
    <x v="1"/>
    <n v="1379.31"/>
    <x v="206"/>
  </r>
  <r>
    <x v="729"/>
    <x v="726"/>
    <x v="1"/>
    <x v="1"/>
    <n v="137.57"/>
    <x v="2"/>
    <n v="687.85"/>
    <x v="38"/>
  </r>
  <r>
    <x v="730"/>
    <x v="727"/>
    <x v="1"/>
    <x v="0"/>
    <n v="350.86"/>
    <x v="4"/>
    <n v="350.86"/>
    <x v="289"/>
  </r>
  <r>
    <x v="731"/>
    <x v="728"/>
    <x v="0"/>
    <x v="1"/>
    <n v="279.36"/>
    <x v="3"/>
    <n v="558.72"/>
    <x v="338"/>
  </r>
  <r>
    <x v="732"/>
    <x v="729"/>
    <x v="1"/>
    <x v="1"/>
    <n v="72.89"/>
    <x v="1"/>
    <n v="218.67"/>
    <x v="241"/>
  </r>
  <r>
    <x v="733"/>
    <x v="730"/>
    <x v="2"/>
    <x v="4"/>
    <n v="58.54"/>
    <x v="4"/>
    <n v="58.54"/>
    <x v="339"/>
  </r>
  <r>
    <x v="734"/>
    <x v="731"/>
    <x v="0"/>
    <x v="2"/>
    <n v="165.05"/>
    <x v="3"/>
    <n v="330.1"/>
    <x v="176"/>
  </r>
  <r>
    <x v="735"/>
    <x v="732"/>
    <x v="0"/>
    <x v="1"/>
    <n v="19.75"/>
    <x v="3"/>
    <n v="39.5"/>
    <x v="112"/>
  </r>
  <r>
    <x v="736"/>
    <x v="733"/>
    <x v="0"/>
    <x v="0"/>
    <n v="228.52"/>
    <x v="1"/>
    <n v="685.56"/>
    <x v="102"/>
  </r>
  <r>
    <x v="737"/>
    <x v="734"/>
    <x v="1"/>
    <x v="3"/>
    <n v="491.8"/>
    <x v="2"/>
    <n v="2459"/>
    <x v="340"/>
  </r>
  <r>
    <x v="738"/>
    <x v="735"/>
    <x v="2"/>
    <x v="0"/>
    <n v="116.61"/>
    <x v="2"/>
    <n v="583.04999999999995"/>
    <x v="238"/>
  </r>
  <r>
    <x v="739"/>
    <x v="736"/>
    <x v="1"/>
    <x v="1"/>
    <n v="216.06"/>
    <x v="3"/>
    <n v="432.12"/>
    <x v="168"/>
  </r>
  <r>
    <x v="740"/>
    <x v="737"/>
    <x v="0"/>
    <x v="2"/>
    <n v="313.99"/>
    <x v="2"/>
    <n v="1569.95"/>
    <x v="95"/>
  </r>
  <r>
    <x v="741"/>
    <x v="738"/>
    <x v="0"/>
    <x v="4"/>
    <n v="303.17"/>
    <x v="4"/>
    <n v="303.17"/>
    <x v="123"/>
  </r>
  <r>
    <x v="742"/>
    <x v="739"/>
    <x v="2"/>
    <x v="1"/>
    <n v="445.23"/>
    <x v="2"/>
    <n v="2226.15"/>
    <x v="238"/>
  </r>
  <r>
    <x v="743"/>
    <x v="740"/>
    <x v="2"/>
    <x v="4"/>
    <n v="485.66"/>
    <x v="4"/>
    <n v="485.66"/>
    <x v="188"/>
  </r>
  <r>
    <x v="744"/>
    <x v="741"/>
    <x v="2"/>
    <x v="2"/>
    <n v="307.27999999999997"/>
    <x v="1"/>
    <n v="921.84"/>
    <x v="15"/>
  </r>
  <r>
    <x v="745"/>
    <x v="742"/>
    <x v="0"/>
    <x v="2"/>
    <n v="315.58"/>
    <x v="0"/>
    <n v="1262.32"/>
    <x v="341"/>
  </r>
  <r>
    <x v="746"/>
    <x v="743"/>
    <x v="2"/>
    <x v="3"/>
    <n v="328.62"/>
    <x v="3"/>
    <n v="657.24"/>
    <x v="338"/>
  </r>
  <r>
    <x v="747"/>
    <x v="744"/>
    <x v="2"/>
    <x v="3"/>
    <n v="229.94"/>
    <x v="1"/>
    <n v="689.82"/>
    <x v="18"/>
  </r>
  <r>
    <x v="748"/>
    <x v="745"/>
    <x v="2"/>
    <x v="4"/>
    <n v="404.95"/>
    <x v="0"/>
    <n v="1619.8"/>
    <x v="87"/>
  </r>
  <r>
    <x v="749"/>
    <x v="746"/>
    <x v="2"/>
    <x v="4"/>
    <n v="341.05"/>
    <x v="2"/>
    <n v="1705.25"/>
    <x v="267"/>
  </r>
  <r>
    <x v="750"/>
    <x v="747"/>
    <x v="0"/>
    <x v="3"/>
    <n v="53.49"/>
    <x v="2"/>
    <n v="267.45"/>
    <x v="300"/>
  </r>
  <r>
    <x v="751"/>
    <x v="748"/>
    <x v="0"/>
    <x v="0"/>
    <n v="13.15"/>
    <x v="2"/>
    <n v="65.75"/>
    <x v="153"/>
  </r>
  <r>
    <x v="752"/>
    <x v="749"/>
    <x v="1"/>
    <x v="3"/>
    <n v="21.05"/>
    <x v="2"/>
    <n v="105.25"/>
    <x v="127"/>
  </r>
  <r>
    <x v="753"/>
    <x v="750"/>
    <x v="0"/>
    <x v="0"/>
    <n v="222.55"/>
    <x v="2"/>
    <n v="1112.75"/>
    <x v="170"/>
  </r>
  <r>
    <x v="754"/>
    <x v="751"/>
    <x v="0"/>
    <x v="1"/>
    <n v="237.35"/>
    <x v="1"/>
    <n v="712.05"/>
    <x v="342"/>
  </r>
  <r>
    <x v="755"/>
    <x v="752"/>
    <x v="0"/>
    <x v="4"/>
    <n v="191.68"/>
    <x v="1"/>
    <n v="575.04"/>
    <x v="298"/>
  </r>
  <r>
    <x v="756"/>
    <x v="753"/>
    <x v="2"/>
    <x v="4"/>
    <n v="285.05"/>
    <x v="4"/>
    <n v="285.05"/>
    <x v="287"/>
  </r>
  <r>
    <x v="757"/>
    <x v="754"/>
    <x v="1"/>
    <x v="1"/>
    <n v="245.42"/>
    <x v="1"/>
    <n v="736.26"/>
    <x v="343"/>
  </r>
  <r>
    <x v="758"/>
    <x v="755"/>
    <x v="1"/>
    <x v="3"/>
    <n v="94.6"/>
    <x v="1"/>
    <n v="283.8"/>
    <x v="76"/>
  </r>
  <r>
    <x v="759"/>
    <x v="756"/>
    <x v="2"/>
    <x v="0"/>
    <n v="380.85"/>
    <x v="1"/>
    <n v="1142.55"/>
    <x v="344"/>
  </r>
  <r>
    <x v="760"/>
    <x v="757"/>
    <x v="1"/>
    <x v="4"/>
    <n v="183.57"/>
    <x v="0"/>
    <n v="734.28"/>
    <x v="152"/>
  </r>
  <r>
    <x v="761"/>
    <x v="758"/>
    <x v="1"/>
    <x v="4"/>
    <n v="466.88"/>
    <x v="2"/>
    <n v="2334.4"/>
    <x v="200"/>
  </r>
  <r>
    <x v="762"/>
    <x v="759"/>
    <x v="1"/>
    <x v="4"/>
    <n v="241.3"/>
    <x v="1"/>
    <n v="723.9"/>
    <x v="116"/>
  </r>
  <r>
    <x v="763"/>
    <x v="760"/>
    <x v="0"/>
    <x v="1"/>
    <n v="374.38"/>
    <x v="3"/>
    <n v="748.76"/>
    <x v="192"/>
  </r>
  <r>
    <x v="764"/>
    <x v="761"/>
    <x v="2"/>
    <x v="3"/>
    <n v="444.15"/>
    <x v="4"/>
    <n v="444.15"/>
    <x v="239"/>
  </r>
  <r>
    <x v="765"/>
    <x v="148"/>
    <x v="2"/>
    <x v="4"/>
    <n v="72.27"/>
    <x v="0"/>
    <n v="289.08"/>
    <x v="234"/>
  </r>
  <r>
    <x v="766"/>
    <x v="762"/>
    <x v="0"/>
    <x v="1"/>
    <n v="69.7"/>
    <x v="2"/>
    <n v="348.5"/>
    <x v="257"/>
  </r>
  <r>
    <x v="767"/>
    <x v="763"/>
    <x v="0"/>
    <x v="2"/>
    <n v="334.63"/>
    <x v="2"/>
    <n v="1673.15"/>
    <x v="113"/>
  </r>
  <r>
    <x v="768"/>
    <x v="764"/>
    <x v="0"/>
    <x v="3"/>
    <n v="430.95"/>
    <x v="4"/>
    <n v="430.95"/>
    <x v="52"/>
  </r>
  <r>
    <x v="769"/>
    <x v="765"/>
    <x v="0"/>
    <x v="3"/>
    <n v="255.81"/>
    <x v="2"/>
    <n v="1279.05"/>
    <x v="345"/>
  </r>
  <r>
    <x v="770"/>
    <x v="766"/>
    <x v="0"/>
    <x v="4"/>
    <n v="167.66"/>
    <x v="1"/>
    <n v="502.98"/>
    <x v="37"/>
  </r>
  <r>
    <x v="771"/>
    <x v="767"/>
    <x v="2"/>
    <x v="0"/>
    <n v="61.98"/>
    <x v="2"/>
    <n v="309.89999999999998"/>
    <x v="227"/>
  </r>
  <r>
    <x v="772"/>
    <x v="768"/>
    <x v="1"/>
    <x v="1"/>
    <n v="458.97"/>
    <x v="4"/>
    <n v="458.97"/>
    <x v="33"/>
  </r>
  <r>
    <x v="773"/>
    <x v="769"/>
    <x v="0"/>
    <x v="0"/>
    <n v="499.47"/>
    <x v="4"/>
    <n v="499.47"/>
    <x v="254"/>
  </r>
  <r>
    <x v="774"/>
    <x v="770"/>
    <x v="0"/>
    <x v="4"/>
    <n v="161.97"/>
    <x v="0"/>
    <n v="647.88"/>
    <x v="245"/>
  </r>
  <r>
    <x v="775"/>
    <x v="771"/>
    <x v="1"/>
    <x v="2"/>
    <n v="459.6"/>
    <x v="2"/>
    <n v="2298"/>
    <x v="321"/>
  </r>
  <r>
    <x v="776"/>
    <x v="772"/>
    <x v="2"/>
    <x v="4"/>
    <n v="14.42"/>
    <x v="3"/>
    <n v="28.84"/>
    <x v="234"/>
  </r>
  <r>
    <x v="777"/>
    <x v="773"/>
    <x v="1"/>
    <x v="2"/>
    <n v="215.99"/>
    <x v="3"/>
    <n v="431.98"/>
    <x v="289"/>
  </r>
  <r>
    <x v="778"/>
    <x v="774"/>
    <x v="0"/>
    <x v="1"/>
    <n v="164.07"/>
    <x v="1"/>
    <n v="492.21"/>
    <x v="51"/>
  </r>
  <r>
    <x v="779"/>
    <x v="775"/>
    <x v="1"/>
    <x v="4"/>
    <n v="338.16"/>
    <x v="4"/>
    <n v="338.16"/>
    <x v="86"/>
  </r>
  <r>
    <x v="780"/>
    <x v="776"/>
    <x v="2"/>
    <x v="1"/>
    <n v="315.38"/>
    <x v="3"/>
    <n v="630.76"/>
    <x v="208"/>
  </r>
  <r>
    <x v="781"/>
    <x v="777"/>
    <x v="1"/>
    <x v="4"/>
    <n v="318.8"/>
    <x v="4"/>
    <n v="318.8"/>
    <x v="346"/>
  </r>
  <r>
    <x v="782"/>
    <x v="778"/>
    <x v="1"/>
    <x v="4"/>
    <n v="325.87"/>
    <x v="1"/>
    <n v="977.61"/>
    <x v="89"/>
  </r>
  <r>
    <x v="783"/>
    <x v="779"/>
    <x v="2"/>
    <x v="3"/>
    <n v="319.22000000000003"/>
    <x v="0"/>
    <n v="1276.8800000000001"/>
    <x v="254"/>
  </r>
  <r>
    <x v="784"/>
    <x v="780"/>
    <x v="2"/>
    <x v="4"/>
    <n v="213.62"/>
    <x v="0"/>
    <n v="854.48"/>
    <x v="46"/>
  </r>
  <r>
    <x v="785"/>
    <x v="781"/>
    <x v="1"/>
    <x v="2"/>
    <n v="495.19"/>
    <x v="0"/>
    <n v="1980.76"/>
    <x v="326"/>
  </r>
  <r>
    <x v="786"/>
    <x v="782"/>
    <x v="2"/>
    <x v="2"/>
    <n v="49.72"/>
    <x v="2"/>
    <n v="248.6"/>
    <x v="273"/>
  </r>
  <r>
    <x v="787"/>
    <x v="783"/>
    <x v="2"/>
    <x v="3"/>
    <n v="473.01"/>
    <x v="0"/>
    <n v="1892.04"/>
    <x v="238"/>
  </r>
  <r>
    <x v="788"/>
    <x v="784"/>
    <x v="1"/>
    <x v="4"/>
    <n v="379.26"/>
    <x v="2"/>
    <n v="1896.3"/>
    <x v="142"/>
  </r>
  <r>
    <x v="789"/>
    <x v="785"/>
    <x v="2"/>
    <x v="1"/>
    <n v="300.25"/>
    <x v="4"/>
    <n v="300.25"/>
    <x v="151"/>
  </r>
  <r>
    <x v="790"/>
    <x v="786"/>
    <x v="2"/>
    <x v="2"/>
    <n v="494.55"/>
    <x v="3"/>
    <n v="989.1"/>
    <x v="218"/>
  </r>
  <r>
    <x v="791"/>
    <x v="787"/>
    <x v="0"/>
    <x v="0"/>
    <n v="477.3"/>
    <x v="1"/>
    <n v="1431.9"/>
    <x v="210"/>
  </r>
  <r>
    <x v="792"/>
    <x v="788"/>
    <x v="0"/>
    <x v="4"/>
    <n v="342.78"/>
    <x v="3"/>
    <n v="685.56"/>
    <x v="33"/>
  </r>
  <r>
    <x v="793"/>
    <x v="789"/>
    <x v="2"/>
    <x v="0"/>
    <n v="487.94"/>
    <x v="2"/>
    <n v="2439.6999999999998"/>
    <x v="347"/>
  </r>
  <r>
    <x v="794"/>
    <x v="790"/>
    <x v="1"/>
    <x v="4"/>
    <n v="48.32"/>
    <x v="3"/>
    <n v="96.64"/>
    <x v="75"/>
  </r>
  <r>
    <x v="795"/>
    <x v="791"/>
    <x v="1"/>
    <x v="1"/>
    <n v="343.57"/>
    <x v="4"/>
    <n v="343.57"/>
    <x v="195"/>
  </r>
  <r>
    <x v="796"/>
    <x v="792"/>
    <x v="0"/>
    <x v="0"/>
    <n v="288.99"/>
    <x v="1"/>
    <n v="866.97"/>
    <x v="69"/>
  </r>
  <r>
    <x v="797"/>
    <x v="793"/>
    <x v="2"/>
    <x v="0"/>
    <n v="73.95"/>
    <x v="0"/>
    <n v="295.8"/>
    <x v="209"/>
  </r>
  <r>
    <x v="798"/>
    <x v="794"/>
    <x v="1"/>
    <x v="4"/>
    <n v="242.78"/>
    <x v="3"/>
    <n v="485.56"/>
    <x v="231"/>
  </r>
  <r>
    <x v="799"/>
    <x v="795"/>
    <x v="0"/>
    <x v="1"/>
    <n v="426.37"/>
    <x v="2"/>
    <n v="2131.85"/>
    <x v="90"/>
  </r>
  <r>
    <x v="800"/>
    <x v="513"/>
    <x v="0"/>
    <x v="1"/>
    <n v="233.07"/>
    <x v="1"/>
    <n v="699.21"/>
    <x v="30"/>
  </r>
  <r>
    <x v="801"/>
    <x v="796"/>
    <x v="2"/>
    <x v="4"/>
    <n v="123.83"/>
    <x v="2"/>
    <n v="619.15"/>
    <x v="348"/>
  </r>
  <r>
    <x v="802"/>
    <x v="797"/>
    <x v="0"/>
    <x v="0"/>
    <n v="361.65"/>
    <x v="1"/>
    <n v="1084.95"/>
    <x v="179"/>
  </r>
  <r>
    <x v="803"/>
    <x v="798"/>
    <x v="0"/>
    <x v="3"/>
    <n v="253.75"/>
    <x v="2"/>
    <n v="1268.75"/>
    <x v="299"/>
  </r>
  <r>
    <x v="804"/>
    <x v="799"/>
    <x v="1"/>
    <x v="1"/>
    <n v="312.13"/>
    <x v="0"/>
    <n v="1248.52"/>
    <x v="199"/>
  </r>
  <r>
    <x v="805"/>
    <x v="800"/>
    <x v="2"/>
    <x v="2"/>
    <n v="445.91"/>
    <x v="3"/>
    <n v="891.82"/>
    <x v="98"/>
  </r>
  <r>
    <x v="806"/>
    <x v="801"/>
    <x v="1"/>
    <x v="3"/>
    <n v="41.22"/>
    <x v="0"/>
    <n v="164.88"/>
    <x v="19"/>
  </r>
  <r>
    <x v="807"/>
    <x v="802"/>
    <x v="2"/>
    <x v="1"/>
    <n v="212.03"/>
    <x v="3"/>
    <n v="424.06"/>
    <x v="232"/>
  </r>
  <r>
    <x v="808"/>
    <x v="803"/>
    <x v="2"/>
    <x v="2"/>
    <n v="428.3"/>
    <x v="2"/>
    <n v="2141.5"/>
    <x v="104"/>
  </r>
  <r>
    <x v="809"/>
    <x v="804"/>
    <x v="0"/>
    <x v="4"/>
    <n v="400.81"/>
    <x v="1"/>
    <n v="1202.43"/>
    <x v="48"/>
  </r>
  <r>
    <x v="810"/>
    <x v="805"/>
    <x v="1"/>
    <x v="1"/>
    <n v="285.68"/>
    <x v="1"/>
    <n v="857.04"/>
    <x v="6"/>
  </r>
  <r>
    <x v="811"/>
    <x v="806"/>
    <x v="0"/>
    <x v="1"/>
    <n v="37.270000000000003"/>
    <x v="0"/>
    <n v="149.08000000000001"/>
    <x v="128"/>
  </r>
  <r>
    <x v="812"/>
    <x v="807"/>
    <x v="2"/>
    <x v="3"/>
    <n v="196.52"/>
    <x v="3"/>
    <n v="393.04"/>
    <x v="83"/>
  </r>
  <r>
    <x v="813"/>
    <x v="808"/>
    <x v="1"/>
    <x v="0"/>
    <n v="123.56"/>
    <x v="3"/>
    <n v="247.12"/>
    <x v="56"/>
  </r>
  <r>
    <x v="814"/>
    <x v="809"/>
    <x v="0"/>
    <x v="1"/>
    <n v="371.71"/>
    <x v="2"/>
    <n v="1858.55"/>
    <x v="106"/>
  </r>
  <r>
    <x v="815"/>
    <x v="810"/>
    <x v="1"/>
    <x v="2"/>
    <n v="185.81"/>
    <x v="1"/>
    <n v="557.42999999999995"/>
    <x v="35"/>
  </r>
  <r>
    <x v="816"/>
    <x v="811"/>
    <x v="0"/>
    <x v="1"/>
    <n v="479.63"/>
    <x v="2"/>
    <n v="2398.15"/>
    <x v="230"/>
  </r>
  <r>
    <x v="817"/>
    <x v="812"/>
    <x v="0"/>
    <x v="3"/>
    <n v="213.62"/>
    <x v="2"/>
    <n v="1068.0999999999999"/>
    <x v="140"/>
  </r>
  <r>
    <x v="818"/>
    <x v="813"/>
    <x v="0"/>
    <x v="4"/>
    <n v="108.28"/>
    <x v="1"/>
    <n v="324.83999999999997"/>
    <x v="118"/>
  </r>
  <r>
    <x v="819"/>
    <x v="814"/>
    <x v="0"/>
    <x v="4"/>
    <n v="32.049999999999997"/>
    <x v="2"/>
    <n v="160.25"/>
    <x v="328"/>
  </r>
  <r>
    <x v="820"/>
    <x v="815"/>
    <x v="1"/>
    <x v="4"/>
    <n v="158.87"/>
    <x v="4"/>
    <n v="158.87"/>
    <x v="36"/>
  </r>
  <r>
    <x v="821"/>
    <x v="816"/>
    <x v="2"/>
    <x v="2"/>
    <n v="191.64"/>
    <x v="0"/>
    <n v="766.56"/>
    <x v="308"/>
  </r>
  <r>
    <x v="822"/>
    <x v="817"/>
    <x v="0"/>
    <x v="1"/>
    <n v="210.56"/>
    <x v="1"/>
    <n v="631.67999999999995"/>
    <x v="240"/>
  </r>
  <r>
    <x v="823"/>
    <x v="818"/>
    <x v="2"/>
    <x v="2"/>
    <n v="232.86"/>
    <x v="0"/>
    <n v="931.44"/>
    <x v="21"/>
  </r>
  <r>
    <x v="824"/>
    <x v="819"/>
    <x v="2"/>
    <x v="3"/>
    <n v="26.8"/>
    <x v="4"/>
    <n v="26.8"/>
    <x v="205"/>
  </r>
  <r>
    <x v="825"/>
    <x v="820"/>
    <x v="1"/>
    <x v="1"/>
    <n v="116.63"/>
    <x v="4"/>
    <n v="116.63"/>
    <x v="90"/>
  </r>
  <r>
    <x v="826"/>
    <x v="821"/>
    <x v="2"/>
    <x v="2"/>
    <n v="307.24"/>
    <x v="4"/>
    <n v="307.24"/>
    <x v="68"/>
  </r>
  <r>
    <x v="827"/>
    <x v="822"/>
    <x v="2"/>
    <x v="3"/>
    <n v="395.45"/>
    <x v="0"/>
    <n v="1581.8"/>
    <x v="90"/>
  </r>
  <r>
    <x v="828"/>
    <x v="823"/>
    <x v="2"/>
    <x v="2"/>
    <n v="152.6"/>
    <x v="3"/>
    <n v="305.2"/>
    <x v="91"/>
  </r>
  <r>
    <x v="829"/>
    <x v="824"/>
    <x v="2"/>
    <x v="0"/>
    <n v="249.67"/>
    <x v="1"/>
    <n v="749.01"/>
    <x v="84"/>
  </r>
  <r>
    <x v="830"/>
    <x v="825"/>
    <x v="1"/>
    <x v="0"/>
    <n v="186.53"/>
    <x v="4"/>
    <n v="186.53"/>
    <x v="172"/>
  </r>
  <r>
    <x v="831"/>
    <x v="826"/>
    <x v="1"/>
    <x v="1"/>
    <n v="180.19"/>
    <x v="0"/>
    <n v="720.76"/>
    <x v="46"/>
  </r>
  <r>
    <x v="832"/>
    <x v="827"/>
    <x v="2"/>
    <x v="4"/>
    <n v="406.18"/>
    <x v="3"/>
    <n v="812.36"/>
    <x v="101"/>
  </r>
  <r>
    <x v="833"/>
    <x v="828"/>
    <x v="2"/>
    <x v="0"/>
    <n v="177.54"/>
    <x v="1"/>
    <n v="532.62"/>
    <x v="339"/>
  </r>
  <r>
    <x v="834"/>
    <x v="829"/>
    <x v="2"/>
    <x v="1"/>
    <n v="424.53"/>
    <x v="1"/>
    <n v="1273.5899999999999"/>
    <x v="30"/>
  </r>
  <r>
    <x v="835"/>
    <x v="830"/>
    <x v="1"/>
    <x v="3"/>
    <n v="248.48"/>
    <x v="4"/>
    <n v="248.48"/>
    <x v="44"/>
  </r>
  <r>
    <x v="836"/>
    <x v="831"/>
    <x v="2"/>
    <x v="0"/>
    <n v="105.33"/>
    <x v="4"/>
    <n v="105.33"/>
    <x v="215"/>
  </r>
  <r>
    <x v="837"/>
    <x v="832"/>
    <x v="2"/>
    <x v="4"/>
    <n v="149.68"/>
    <x v="0"/>
    <n v="598.72"/>
    <x v="57"/>
  </r>
  <r>
    <x v="838"/>
    <x v="833"/>
    <x v="0"/>
    <x v="0"/>
    <n v="183.21"/>
    <x v="2"/>
    <n v="916.05"/>
    <x v="60"/>
  </r>
  <r>
    <x v="839"/>
    <x v="834"/>
    <x v="1"/>
    <x v="3"/>
    <n v="325.16000000000003"/>
    <x v="4"/>
    <n v="325.16000000000003"/>
    <x v="349"/>
  </r>
  <r>
    <x v="840"/>
    <x v="835"/>
    <x v="2"/>
    <x v="2"/>
    <n v="425.14"/>
    <x v="2"/>
    <n v="2125.6999999999998"/>
    <x v="161"/>
  </r>
  <r>
    <x v="841"/>
    <x v="836"/>
    <x v="1"/>
    <x v="4"/>
    <n v="493.76"/>
    <x v="1"/>
    <n v="1481.28"/>
    <x v="260"/>
  </r>
  <r>
    <x v="842"/>
    <x v="837"/>
    <x v="1"/>
    <x v="0"/>
    <n v="106.49"/>
    <x v="1"/>
    <n v="319.47000000000003"/>
    <x v="339"/>
  </r>
  <r>
    <x v="843"/>
    <x v="838"/>
    <x v="2"/>
    <x v="4"/>
    <n v="219.02"/>
    <x v="3"/>
    <n v="438.04"/>
    <x v="298"/>
  </r>
  <r>
    <x v="844"/>
    <x v="839"/>
    <x v="2"/>
    <x v="4"/>
    <n v="46.61"/>
    <x v="0"/>
    <n v="186.44"/>
    <x v="246"/>
  </r>
  <r>
    <x v="845"/>
    <x v="840"/>
    <x v="0"/>
    <x v="0"/>
    <n v="446.39"/>
    <x v="1"/>
    <n v="1339.17"/>
    <x v="148"/>
  </r>
  <r>
    <x v="846"/>
    <x v="841"/>
    <x v="0"/>
    <x v="0"/>
    <n v="420.09"/>
    <x v="2"/>
    <n v="2100.4499999999998"/>
    <x v="131"/>
  </r>
  <r>
    <x v="847"/>
    <x v="842"/>
    <x v="0"/>
    <x v="0"/>
    <n v="375.87"/>
    <x v="4"/>
    <n v="375.87"/>
    <x v="165"/>
  </r>
  <r>
    <x v="848"/>
    <x v="843"/>
    <x v="1"/>
    <x v="1"/>
    <n v="317.72000000000003"/>
    <x v="3"/>
    <n v="635.44000000000005"/>
    <x v="285"/>
  </r>
  <r>
    <x v="849"/>
    <x v="844"/>
    <x v="2"/>
    <x v="2"/>
    <n v="102.96"/>
    <x v="0"/>
    <n v="411.84"/>
    <x v="350"/>
  </r>
  <r>
    <x v="850"/>
    <x v="845"/>
    <x v="2"/>
    <x v="3"/>
    <n v="417.52"/>
    <x v="2"/>
    <n v="2087.6"/>
    <x v="159"/>
  </r>
  <r>
    <x v="851"/>
    <x v="846"/>
    <x v="2"/>
    <x v="0"/>
    <n v="176.15"/>
    <x v="2"/>
    <n v="880.75"/>
    <x v="180"/>
  </r>
  <r>
    <x v="852"/>
    <x v="847"/>
    <x v="0"/>
    <x v="1"/>
    <n v="361.07"/>
    <x v="1"/>
    <n v="1083.21"/>
    <x v="351"/>
  </r>
  <r>
    <x v="853"/>
    <x v="848"/>
    <x v="0"/>
    <x v="2"/>
    <n v="258.95999999999998"/>
    <x v="1"/>
    <n v="776.88"/>
    <x v="27"/>
  </r>
  <r>
    <x v="854"/>
    <x v="849"/>
    <x v="1"/>
    <x v="4"/>
    <n v="43.31"/>
    <x v="0"/>
    <n v="173.24"/>
    <x v="235"/>
  </r>
  <r>
    <x v="855"/>
    <x v="850"/>
    <x v="0"/>
    <x v="0"/>
    <n v="34.51"/>
    <x v="2"/>
    <n v="172.55"/>
    <x v="12"/>
  </r>
  <r>
    <x v="856"/>
    <x v="851"/>
    <x v="2"/>
    <x v="3"/>
    <n v="237.98"/>
    <x v="3"/>
    <n v="475.96"/>
    <x v="281"/>
  </r>
  <r>
    <x v="857"/>
    <x v="852"/>
    <x v="1"/>
    <x v="0"/>
    <n v="392.59"/>
    <x v="0"/>
    <n v="1570.36"/>
    <x v="204"/>
  </r>
  <r>
    <x v="858"/>
    <x v="853"/>
    <x v="0"/>
    <x v="3"/>
    <n v="124.91"/>
    <x v="0"/>
    <n v="499.64"/>
    <x v="107"/>
  </r>
  <r>
    <x v="859"/>
    <x v="854"/>
    <x v="2"/>
    <x v="4"/>
    <n v="138.5"/>
    <x v="3"/>
    <n v="277"/>
    <x v="134"/>
  </r>
  <r>
    <x v="860"/>
    <x v="855"/>
    <x v="0"/>
    <x v="0"/>
    <n v="87.15"/>
    <x v="3"/>
    <n v="174.3"/>
    <x v="352"/>
  </r>
  <r>
    <x v="861"/>
    <x v="856"/>
    <x v="1"/>
    <x v="3"/>
    <n v="48.19"/>
    <x v="0"/>
    <n v="192.76"/>
    <x v="43"/>
  </r>
  <r>
    <x v="862"/>
    <x v="857"/>
    <x v="1"/>
    <x v="0"/>
    <n v="260.99"/>
    <x v="4"/>
    <n v="260.99"/>
    <x v="271"/>
  </r>
  <r>
    <x v="863"/>
    <x v="858"/>
    <x v="2"/>
    <x v="0"/>
    <n v="91.95"/>
    <x v="3"/>
    <n v="183.9"/>
    <x v="22"/>
  </r>
  <r>
    <x v="864"/>
    <x v="859"/>
    <x v="2"/>
    <x v="1"/>
    <n v="429.53"/>
    <x v="4"/>
    <n v="429.53"/>
    <x v="232"/>
  </r>
  <r>
    <x v="865"/>
    <x v="860"/>
    <x v="0"/>
    <x v="1"/>
    <n v="79.48"/>
    <x v="3"/>
    <n v="158.96"/>
    <x v="328"/>
  </r>
  <r>
    <x v="866"/>
    <x v="861"/>
    <x v="0"/>
    <x v="2"/>
    <n v="127.18"/>
    <x v="3"/>
    <n v="254.36"/>
    <x v="50"/>
  </r>
  <r>
    <x v="867"/>
    <x v="862"/>
    <x v="0"/>
    <x v="0"/>
    <n v="472.36"/>
    <x v="0"/>
    <n v="1889.44"/>
    <x v="353"/>
  </r>
  <r>
    <x v="868"/>
    <x v="863"/>
    <x v="0"/>
    <x v="3"/>
    <n v="185.65"/>
    <x v="0"/>
    <n v="742.6"/>
    <x v="253"/>
  </r>
  <r>
    <x v="869"/>
    <x v="864"/>
    <x v="1"/>
    <x v="4"/>
    <n v="433.88"/>
    <x v="1"/>
    <n v="1301.6400000000001"/>
    <x v="105"/>
  </r>
  <r>
    <x v="870"/>
    <x v="865"/>
    <x v="2"/>
    <x v="2"/>
    <n v="245.75"/>
    <x v="1"/>
    <n v="737.25"/>
    <x v="121"/>
  </r>
  <r>
    <x v="871"/>
    <x v="866"/>
    <x v="0"/>
    <x v="3"/>
    <n v="129.54"/>
    <x v="0"/>
    <n v="518.16"/>
    <x v="283"/>
  </r>
  <r>
    <x v="872"/>
    <x v="867"/>
    <x v="2"/>
    <x v="2"/>
    <n v="77.069999999999993"/>
    <x v="3"/>
    <n v="154.13999999999999"/>
    <x v="322"/>
  </r>
  <r>
    <x v="873"/>
    <x v="868"/>
    <x v="0"/>
    <x v="2"/>
    <n v="68.8"/>
    <x v="2"/>
    <n v="344"/>
    <x v="329"/>
  </r>
  <r>
    <x v="874"/>
    <x v="869"/>
    <x v="0"/>
    <x v="3"/>
    <n v="153.07"/>
    <x v="2"/>
    <n v="765.35"/>
    <x v="63"/>
  </r>
  <r>
    <x v="875"/>
    <x v="870"/>
    <x v="1"/>
    <x v="0"/>
    <n v="320.95"/>
    <x v="0"/>
    <n v="1283.8"/>
    <x v="210"/>
  </r>
  <r>
    <x v="876"/>
    <x v="871"/>
    <x v="2"/>
    <x v="0"/>
    <n v="347"/>
    <x v="4"/>
    <n v="347"/>
    <x v="80"/>
  </r>
  <r>
    <x v="877"/>
    <x v="872"/>
    <x v="2"/>
    <x v="0"/>
    <n v="258.02999999999997"/>
    <x v="2"/>
    <n v="1290.1500000000001"/>
    <x v="354"/>
  </r>
  <r>
    <x v="878"/>
    <x v="873"/>
    <x v="2"/>
    <x v="1"/>
    <n v="241.55"/>
    <x v="3"/>
    <n v="483.1"/>
    <x v="106"/>
  </r>
  <r>
    <x v="879"/>
    <x v="874"/>
    <x v="2"/>
    <x v="2"/>
    <n v="22.6"/>
    <x v="3"/>
    <n v="45.2"/>
    <x v="255"/>
  </r>
  <r>
    <x v="880"/>
    <x v="875"/>
    <x v="2"/>
    <x v="2"/>
    <n v="484.94"/>
    <x v="0"/>
    <n v="1939.76"/>
    <x v="102"/>
  </r>
  <r>
    <x v="881"/>
    <x v="876"/>
    <x v="0"/>
    <x v="4"/>
    <n v="91.8"/>
    <x v="0"/>
    <n v="367.2"/>
    <x v="31"/>
  </r>
  <r>
    <x v="882"/>
    <x v="877"/>
    <x v="1"/>
    <x v="0"/>
    <n v="362.87"/>
    <x v="1"/>
    <n v="1088.6099999999999"/>
    <x v="247"/>
  </r>
  <r>
    <x v="883"/>
    <x v="878"/>
    <x v="0"/>
    <x v="1"/>
    <n v="380.7"/>
    <x v="3"/>
    <n v="761.4"/>
    <x v="292"/>
  </r>
  <r>
    <x v="884"/>
    <x v="879"/>
    <x v="2"/>
    <x v="4"/>
    <n v="469.12"/>
    <x v="2"/>
    <n v="2345.6"/>
    <x v="300"/>
  </r>
  <r>
    <x v="885"/>
    <x v="880"/>
    <x v="1"/>
    <x v="2"/>
    <n v="490.68"/>
    <x v="3"/>
    <n v="981.36"/>
    <x v="27"/>
  </r>
  <r>
    <x v="886"/>
    <x v="881"/>
    <x v="0"/>
    <x v="4"/>
    <n v="251.94"/>
    <x v="1"/>
    <n v="755.82"/>
    <x v="90"/>
  </r>
  <r>
    <x v="887"/>
    <x v="882"/>
    <x v="0"/>
    <x v="2"/>
    <n v="165.3"/>
    <x v="3"/>
    <n v="330.6"/>
    <x v="355"/>
  </r>
  <r>
    <x v="888"/>
    <x v="883"/>
    <x v="1"/>
    <x v="4"/>
    <n v="309.91000000000003"/>
    <x v="2"/>
    <n v="1549.55"/>
    <x v="306"/>
  </r>
  <r>
    <x v="889"/>
    <x v="884"/>
    <x v="0"/>
    <x v="1"/>
    <n v="389.47"/>
    <x v="3"/>
    <n v="778.94"/>
    <x v="355"/>
  </r>
  <r>
    <x v="890"/>
    <x v="885"/>
    <x v="1"/>
    <x v="2"/>
    <n v="420.16"/>
    <x v="4"/>
    <n v="420.16"/>
    <x v="19"/>
  </r>
  <r>
    <x v="891"/>
    <x v="886"/>
    <x v="1"/>
    <x v="0"/>
    <n v="408.48"/>
    <x v="2"/>
    <n v="2042.4"/>
    <x v="320"/>
  </r>
  <r>
    <x v="892"/>
    <x v="887"/>
    <x v="1"/>
    <x v="0"/>
    <n v="387.86"/>
    <x v="4"/>
    <n v="387.86"/>
    <x v="228"/>
  </r>
  <r>
    <x v="893"/>
    <x v="888"/>
    <x v="1"/>
    <x v="2"/>
    <n v="73.87"/>
    <x v="4"/>
    <n v="73.87"/>
    <x v="72"/>
  </r>
  <r>
    <x v="894"/>
    <x v="889"/>
    <x v="0"/>
    <x v="1"/>
    <n v="168.02"/>
    <x v="0"/>
    <n v="672.08"/>
    <x v="228"/>
  </r>
  <r>
    <x v="895"/>
    <x v="890"/>
    <x v="2"/>
    <x v="1"/>
    <n v="382.61"/>
    <x v="1"/>
    <n v="1147.83"/>
    <x v="158"/>
  </r>
  <r>
    <x v="896"/>
    <x v="891"/>
    <x v="2"/>
    <x v="0"/>
    <n v="145.69"/>
    <x v="3"/>
    <n v="291.38"/>
    <x v="179"/>
  </r>
  <r>
    <x v="897"/>
    <x v="892"/>
    <x v="0"/>
    <x v="4"/>
    <n v="411.89"/>
    <x v="1"/>
    <n v="1235.67"/>
    <x v="7"/>
  </r>
  <r>
    <x v="898"/>
    <x v="893"/>
    <x v="0"/>
    <x v="0"/>
    <n v="225.07"/>
    <x v="1"/>
    <n v="675.21"/>
    <x v="90"/>
  </r>
  <r>
    <x v="899"/>
    <x v="894"/>
    <x v="2"/>
    <x v="1"/>
    <n v="43.04"/>
    <x v="2"/>
    <n v="215.2"/>
    <x v="211"/>
  </r>
  <r>
    <x v="900"/>
    <x v="895"/>
    <x v="0"/>
    <x v="3"/>
    <n v="55"/>
    <x v="2"/>
    <n v="275"/>
    <x v="109"/>
  </r>
  <r>
    <x v="901"/>
    <x v="896"/>
    <x v="2"/>
    <x v="1"/>
    <n v="54.72"/>
    <x v="0"/>
    <n v="218.88"/>
    <x v="67"/>
  </r>
  <r>
    <x v="902"/>
    <x v="897"/>
    <x v="1"/>
    <x v="2"/>
    <n v="87.59"/>
    <x v="3"/>
    <n v="175.18"/>
    <x v="176"/>
  </r>
  <r>
    <x v="903"/>
    <x v="898"/>
    <x v="1"/>
    <x v="2"/>
    <n v="407.27"/>
    <x v="1"/>
    <n v="1221.81"/>
    <x v="48"/>
  </r>
  <r>
    <x v="904"/>
    <x v="899"/>
    <x v="2"/>
    <x v="2"/>
    <n v="160.66999999999999"/>
    <x v="4"/>
    <n v="160.66999999999999"/>
    <x v="262"/>
  </r>
  <r>
    <x v="905"/>
    <x v="900"/>
    <x v="0"/>
    <x v="0"/>
    <n v="11.01"/>
    <x v="0"/>
    <n v="44.04"/>
    <x v="257"/>
  </r>
  <r>
    <x v="906"/>
    <x v="901"/>
    <x v="2"/>
    <x v="1"/>
    <n v="126.25"/>
    <x v="4"/>
    <n v="126.25"/>
    <x v="264"/>
  </r>
  <r>
    <x v="907"/>
    <x v="902"/>
    <x v="1"/>
    <x v="0"/>
    <n v="258.44"/>
    <x v="2"/>
    <n v="1292.2"/>
    <x v="44"/>
  </r>
  <r>
    <x v="908"/>
    <x v="903"/>
    <x v="2"/>
    <x v="3"/>
    <n v="236.73"/>
    <x v="4"/>
    <n v="236.73"/>
    <x v="39"/>
  </r>
  <r>
    <x v="909"/>
    <x v="904"/>
    <x v="2"/>
    <x v="4"/>
    <n v="284.57"/>
    <x v="1"/>
    <n v="853.71"/>
    <x v="36"/>
  </r>
  <r>
    <x v="910"/>
    <x v="905"/>
    <x v="1"/>
    <x v="3"/>
    <n v="465.82"/>
    <x v="2"/>
    <n v="2329.1"/>
    <x v="199"/>
  </r>
  <r>
    <x v="911"/>
    <x v="906"/>
    <x v="0"/>
    <x v="1"/>
    <n v="361.46"/>
    <x v="4"/>
    <n v="361.46"/>
    <x v="356"/>
  </r>
  <r>
    <x v="912"/>
    <x v="907"/>
    <x v="2"/>
    <x v="3"/>
    <n v="246.46"/>
    <x v="1"/>
    <n v="739.38"/>
    <x v="77"/>
  </r>
  <r>
    <x v="913"/>
    <x v="908"/>
    <x v="0"/>
    <x v="3"/>
    <n v="275.66000000000003"/>
    <x v="1"/>
    <n v="826.98"/>
    <x v="330"/>
  </r>
  <r>
    <x v="914"/>
    <x v="909"/>
    <x v="2"/>
    <x v="4"/>
    <n v="294.60000000000002"/>
    <x v="1"/>
    <n v="883.8"/>
    <x v="64"/>
  </r>
  <r>
    <x v="915"/>
    <x v="910"/>
    <x v="1"/>
    <x v="3"/>
    <n v="400.51"/>
    <x v="3"/>
    <n v="801.02"/>
    <x v="275"/>
  </r>
  <r>
    <x v="916"/>
    <x v="911"/>
    <x v="2"/>
    <x v="2"/>
    <n v="211.74"/>
    <x v="3"/>
    <n v="423.48"/>
    <x v="97"/>
  </r>
  <r>
    <x v="917"/>
    <x v="912"/>
    <x v="0"/>
    <x v="0"/>
    <n v="128.41999999999999"/>
    <x v="0"/>
    <n v="513.67999999999995"/>
    <x v="199"/>
  </r>
  <r>
    <x v="918"/>
    <x v="913"/>
    <x v="1"/>
    <x v="0"/>
    <n v="326.14"/>
    <x v="1"/>
    <n v="978.42"/>
    <x v="357"/>
  </r>
  <r>
    <x v="919"/>
    <x v="914"/>
    <x v="2"/>
    <x v="2"/>
    <n v="339.93"/>
    <x v="3"/>
    <n v="679.86"/>
    <x v="157"/>
  </r>
  <r>
    <x v="920"/>
    <x v="915"/>
    <x v="0"/>
    <x v="4"/>
    <n v="272.92"/>
    <x v="3"/>
    <n v="545.84"/>
    <x v="305"/>
  </r>
  <r>
    <x v="921"/>
    <x v="916"/>
    <x v="0"/>
    <x v="2"/>
    <n v="494.87"/>
    <x v="1"/>
    <n v="1484.61"/>
    <x v="269"/>
  </r>
  <r>
    <x v="922"/>
    <x v="917"/>
    <x v="2"/>
    <x v="4"/>
    <n v="482.49"/>
    <x v="2"/>
    <n v="2412.4499999999998"/>
    <x v="305"/>
  </r>
  <r>
    <x v="923"/>
    <x v="918"/>
    <x v="0"/>
    <x v="4"/>
    <n v="159.49"/>
    <x v="2"/>
    <n v="797.45"/>
    <x v="348"/>
  </r>
  <r>
    <x v="924"/>
    <x v="919"/>
    <x v="1"/>
    <x v="1"/>
    <n v="442.12"/>
    <x v="0"/>
    <n v="1768.48"/>
    <x v="133"/>
  </r>
  <r>
    <x v="925"/>
    <x v="920"/>
    <x v="1"/>
    <x v="1"/>
    <n v="413.31"/>
    <x v="4"/>
    <n v="413.31"/>
    <x v="298"/>
  </r>
  <r>
    <x v="926"/>
    <x v="921"/>
    <x v="0"/>
    <x v="3"/>
    <n v="207.8"/>
    <x v="2"/>
    <n v="1039"/>
    <x v="275"/>
  </r>
  <r>
    <x v="927"/>
    <x v="922"/>
    <x v="1"/>
    <x v="1"/>
    <n v="384.31"/>
    <x v="0"/>
    <n v="1537.24"/>
    <x v="306"/>
  </r>
  <r>
    <x v="404"/>
    <x v="923"/>
    <x v="1"/>
    <x v="2"/>
    <n v="345.9"/>
    <x v="3"/>
    <n v="691.8"/>
    <x v="273"/>
  </r>
  <r>
    <x v="928"/>
    <x v="924"/>
    <x v="1"/>
    <x v="0"/>
    <n v="213.45"/>
    <x v="2"/>
    <n v="1067.25"/>
    <x v="42"/>
  </r>
  <r>
    <x v="929"/>
    <x v="925"/>
    <x v="1"/>
    <x v="4"/>
    <n v="76.16"/>
    <x v="2"/>
    <n v="380.8"/>
    <x v="12"/>
  </r>
  <r>
    <x v="930"/>
    <x v="926"/>
    <x v="1"/>
    <x v="2"/>
    <n v="483.8"/>
    <x v="4"/>
    <n v="483.8"/>
    <x v="133"/>
  </r>
  <r>
    <x v="931"/>
    <x v="927"/>
    <x v="1"/>
    <x v="3"/>
    <n v="407.27"/>
    <x v="2"/>
    <n v="2036.35"/>
    <x v="114"/>
  </r>
  <r>
    <x v="932"/>
    <x v="928"/>
    <x v="0"/>
    <x v="1"/>
    <n v="241.71"/>
    <x v="0"/>
    <n v="966.84"/>
    <x v="169"/>
  </r>
  <r>
    <x v="933"/>
    <x v="929"/>
    <x v="2"/>
    <x v="0"/>
    <n v="137.25"/>
    <x v="3"/>
    <n v="274.5"/>
    <x v="65"/>
  </r>
  <r>
    <x v="934"/>
    <x v="930"/>
    <x v="0"/>
    <x v="2"/>
    <n v="135.68"/>
    <x v="4"/>
    <n v="135.68"/>
    <x v="339"/>
  </r>
  <r>
    <x v="935"/>
    <x v="931"/>
    <x v="0"/>
    <x v="0"/>
    <n v="160.46"/>
    <x v="3"/>
    <n v="320.92"/>
    <x v="280"/>
  </r>
  <r>
    <x v="936"/>
    <x v="932"/>
    <x v="1"/>
    <x v="2"/>
    <n v="102.92"/>
    <x v="4"/>
    <n v="102.92"/>
    <x v="358"/>
  </r>
  <r>
    <x v="937"/>
    <x v="933"/>
    <x v="2"/>
    <x v="2"/>
    <n v="416.46"/>
    <x v="3"/>
    <n v="832.92"/>
    <x v="64"/>
  </r>
  <r>
    <x v="938"/>
    <x v="934"/>
    <x v="1"/>
    <x v="0"/>
    <n v="323.02999999999997"/>
    <x v="1"/>
    <n v="969.09"/>
    <x v="249"/>
  </r>
  <r>
    <x v="939"/>
    <x v="935"/>
    <x v="0"/>
    <x v="0"/>
    <n v="400.27"/>
    <x v="3"/>
    <n v="800.54"/>
    <x v="215"/>
  </r>
  <r>
    <x v="940"/>
    <x v="936"/>
    <x v="0"/>
    <x v="0"/>
    <n v="375.34"/>
    <x v="1"/>
    <n v="1126.02"/>
    <x v="206"/>
  </r>
  <r>
    <x v="941"/>
    <x v="937"/>
    <x v="2"/>
    <x v="4"/>
    <n v="213.89"/>
    <x v="2"/>
    <n v="1069.45"/>
    <x v="44"/>
  </r>
  <r>
    <x v="942"/>
    <x v="938"/>
    <x v="0"/>
    <x v="1"/>
    <n v="259.94"/>
    <x v="1"/>
    <n v="779.82"/>
    <x v="38"/>
  </r>
  <r>
    <x v="943"/>
    <x v="939"/>
    <x v="2"/>
    <x v="0"/>
    <n v="437.05"/>
    <x v="2"/>
    <n v="2185.25"/>
    <x v="5"/>
  </r>
  <r>
    <x v="944"/>
    <x v="940"/>
    <x v="0"/>
    <x v="2"/>
    <n v="143.66"/>
    <x v="2"/>
    <n v="718.3"/>
    <x v="264"/>
  </r>
  <r>
    <x v="945"/>
    <x v="941"/>
    <x v="1"/>
    <x v="4"/>
    <n v="150.66999999999999"/>
    <x v="1"/>
    <n v="452.01"/>
    <x v="359"/>
  </r>
  <r>
    <x v="946"/>
    <x v="942"/>
    <x v="2"/>
    <x v="3"/>
    <n v="404.35"/>
    <x v="0"/>
    <n v="1617.4"/>
    <x v="4"/>
  </r>
  <r>
    <x v="947"/>
    <x v="943"/>
    <x v="2"/>
    <x v="0"/>
    <n v="419.84"/>
    <x v="1"/>
    <n v="1259.52"/>
    <x v="111"/>
  </r>
  <r>
    <x v="948"/>
    <x v="944"/>
    <x v="0"/>
    <x v="1"/>
    <n v="374.53"/>
    <x v="4"/>
    <n v="374.53"/>
    <x v="294"/>
  </r>
  <r>
    <x v="949"/>
    <x v="945"/>
    <x v="1"/>
    <x v="2"/>
    <n v="358.87"/>
    <x v="0"/>
    <n v="1435.48"/>
    <x v="33"/>
  </r>
  <r>
    <x v="950"/>
    <x v="946"/>
    <x v="2"/>
    <x v="0"/>
    <n v="457.22"/>
    <x v="0"/>
    <n v="1828.88"/>
    <x v="9"/>
  </r>
  <r>
    <x v="951"/>
    <x v="947"/>
    <x v="0"/>
    <x v="0"/>
    <n v="453.63"/>
    <x v="1"/>
    <n v="1360.89"/>
    <x v="126"/>
  </r>
  <r>
    <x v="952"/>
    <x v="948"/>
    <x v="0"/>
    <x v="3"/>
    <n v="458.32"/>
    <x v="4"/>
    <n v="458.32"/>
    <x v="41"/>
  </r>
  <r>
    <x v="953"/>
    <x v="931"/>
    <x v="2"/>
    <x v="2"/>
    <n v="345.19"/>
    <x v="3"/>
    <n v="690.38"/>
    <x v="358"/>
  </r>
  <r>
    <x v="954"/>
    <x v="949"/>
    <x v="1"/>
    <x v="2"/>
    <n v="339.71"/>
    <x v="1"/>
    <n v="1019.13"/>
    <x v="282"/>
  </r>
  <r>
    <x v="955"/>
    <x v="950"/>
    <x v="0"/>
    <x v="2"/>
    <n v="385.17"/>
    <x v="2"/>
    <n v="1925.85"/>
    <x v="7"/>
  </r>
  <r>
    <x v="956"/>
    <x v="951"/>
    <x v="1"/>
    <x v="3"/>
    <n v="219"/>
    <x v="1"/>
    <n v="657"/>
    <x v="145"/>
  </r>
  <r>
    <x v="957"/>
    <x v="952"/>
    <x v="0"/>
    <x v="3"/>
    <n v="489.08"/>
    <x v="1"/>
    <n v="1467.24"/>
    <x v="275"/>
  </r>
  <r>
    <x v="958"/>
    <x v="953"/>
    <x v="2"/>
    <x v="2"/>
    <n v="57.72"/>
    <x v="2"/>
    <n v="288.60000000000002"/>
    <x v="182"/>
  </r>
  <r>
    <x v="959"/>
    <x v="954"/>
    <x v="2"/>
    <x v="0"/>
    <n v="410.55"/>
    <x v="2"/>
    <n v="2052.75"/>
    <x v="284"/>
  </r>
  <r>
    <x v="960"/>
    <x v="955"/>
    <x v="0"/>
    <x v="2"/>
    <n v="27.55"/>
    <x v="2"/>
    <n v="137.75"/>
    <x v="213"/>
  </r>
  <r>
    <x v="961"/>
    <x v="956"/>
    <x v="0"/>
    <x v="3"/>
    <n v="252.93"/>
    <x v="1"/>
    <n v="758.79"/>
    <x v="102"/>
  </r>
  <r>
    <x v="962"/>
    <x v="957"/>
    <x v="2"/>
    <x v="0"/>
    <n v="381.94"/>
    <x v="2"/>
    <n v="1909.7"/>
    <x v="245"/>
  </r>
  <r>
    <x v="963"/>
    <x v="958"/>
    <x v="1"/>
    <x v="2"/>
    <n v="398.86"/>
    <x v="2"/>
    <n v="1994.3"/>
    <x v="209"/>
  </r>
  <r>
    <x v="964"/>
    <x v="959"/>
    <x v="2"/>
    <x v="2"/>
    <n v="172.17"/>
    <x v="2"/>
    <n v="860.85"/>
    <x v="84"/>
  </r>
  <r>
    <x v="965"/>
    <x v="960"/>
    <x v="2"/>
    <x v="4"/>
    <n v="476.55"/>
    <x v="1"/>
    <n v="1429.65"/>
    <x v="274"/>
  </r>
  <r>
    <x v="966"/>
    <x v="961"/>
    <x v="0"/>
    <x v="1"/>
    <n v="274.20999999999998"/>
    <x v="1"/>
    <n v="822.63"/>
    <x v="29"/>
  </r>
  <r>
    <x v="967"/>
    <x v="962"/>
    <x v="1"/>
    <x v="4"/>
    <n v="82.36"/>
    <x v="2"/>
    <n v="411.8"/>
    <x v="311"/>
  </r>
  <r>
    <x v="968"/>
    <x v="963"/>
    <x v="1"/>
    <x v="2"/>
    <n v="183.4"/>
    <x v="2"/>
    <n v="917"/>
    <x v="211"/>
  </r>
  <r>
    <x v="969"/>
    <x v="964"/>
    <x v="1"/>
    <x v="3"/>
    <n v="432.68"/>
    <x v="3"/>
    <n v="865.36"/>
    <x v="228"/>
  </r>
  <r>
    <x v="970"/>
    <x v="965"/>
    <x v="2"/>
    <x v="4"/>
    <n v="451.22"/>
    <x v="4"/>
    <n v="451.22"/>
    <x v="350"/>
  </r>
  <r>
    <x v="971"/>
    <x v="966"/>
    <x v="0"/>
    <x v="2"/>
    <n v="80.62"/>
    <x v="3"/>
    <n v="161.24"/>
    <x v="6"/>
  </r>
  <r>
    <x v="972"/>
    <x v="967"/>
    <x v="1"/>
    <x v="0"/>
    <n v="106.95"/>
    <x v="0"/>
    <n v="427.8"/>
    <x v="55"/>
  </r>
  <r>
    <x v="973"/>
    <x v="968"/>
    <x v="1"/>
    <x v="2"/>
    <n v="259.77999999999997"/>
    <x v="2"/>
    <n v="1298.9000000000001"/>
    <x v="137"/>
  </r>
  <r>
    <x v="974"/>
    <x v="969"/>
    <x v="1"/>
    <x v="2"/>
    <n v="326.81"/>
    <x v="2"/>
    <n v="1634.05"/>
    <x v="30"/>
  </r>
  <r>
    <x v="975"/>
    <x v="970"/>
    <x v="0"/>
    <x v="1"/>
    <n v="197.84"/>
    <x v="4"/>
    <n v="197.84"/>
    <x v="273"/>
  </r>
  <r>
    <x v="976"/>
    <x v="971"/>
    <x v="2"/>
    <x v="2"/>
    <n v="110.97"/>
    <x v="0"/>
    <n v="443.88"/>
    <x v="90"/>
  </r>
  <r>
    <x v="977"/>
    <x v="972"/>
    <x v="1"/>
    <x v="2"/>
    <n v="74.260000000000005"/>
    <x v="0"/>
    <n v="297.04000000000002"/>
    <x v="306"/>
  </r>
  <r>
    <x v="978"/>
    <x v="973"/>
    <x v="2"/>
    <x v="4"/>
    <n v="434.1"/>
    <x v="2"/>
    <n v="2170.5"/>
    <x v="99"/>
  </r>
  <r>
    <x v="979"/>
    <x v="974"/>
    <x v="1"/>
    <x v="4"/>
    <n v="468.77"/>
    <x v="4"/>
    <n v="468.77"/>
    <x v="323"/>
  </r>
  <r>
    <x v="980"/>
    <x v="975"/>
    <x v="0"/>
    <x v="2"/>
    <n v="149.52000000000001"/>
    <x v="3"/>
    <n v="299.04000000000002"/>
    <x v="276"/>
  </r>
  <r>
    <x v="981"/>
    <x v="976"/>
    <x v="1"/>
    <x v="0"/>
    <n v="478.3"/>
    <x v="2"/>
    <n v="2391.5"/>
    <x v="104"/>
  </r>
  <r>
    <x v="982"/>
    <x v="977"/>
    <x v="0"/>
    <x v="0"/>
    <n v="129.96"/>
    <x v="1"/>
    <n v="389.88"/>
    <x v="130"/>
  </r>
  <r>
    <x v="983"/>
    <x v="978"/>
    <x v="2"/>
    <x v="0"/>
    <n v="160.02000000000001"/>
    <x v="4"/>
    <n v="160.02000000000001"/>
    <x v="127"/>
  </r>
  <r>
    <x v="984"/>
    <x v="979"/>
    <x v="1"/>
    <x v="4"/>
    <n v="169.78"/>
    <x v="1"/>
    <n v="509.34"/>
    <x v="308"/>
  </r>
  <r>
    <x v="985"/>
    <x v="980"/>
    <x v="0"/>
    <x v="2"/>
    <n v="57.39"/>
    <x v="4"/>
    <n v="57.39"/>
    <x v="132"/>
  </r>
  <r>
    <x v="986"/>
    <x v="981"/>
    <x v="1"/>
    <x v="2"/>
    <n v="475.87"/>
    <x v="3"/>
    <n v="951.74"/>
    <x v="226"/>
  </r>
  <r>
    <x v="987"/>
    <x v="982"/>
    <x v="1"/>
    <x v="2"/>
    <n v="58.93"/>
    <x v="3"/>
    <n v="117.86"/>
    <x v="320"/>
  </r>
  <r>
    <x v="988"/>
    <x v="983"/>
    <x v="2"/>
    <x v="3"/>
    <n v="369.86"/>
    <x v="2"/>
    <n v="1849.3"/>
    <x v="36"/>
  </r>
  <r>
    <x v="989"/>
    <x v="984"/>
    <x v="2"/>
    <x v="0"/>
    <n v="173.18"/>
    <x v="3"/>
    <n v="346.36"/>
    <x v="272"/>
  </r>
  <r>
    <x v="990"/>
    <x v="985"/>
    <x v="0"/>
    <x v="2"/>
    <n v="389.53"/>
    <x v="2"/>
    <n v="1947.65"/>
    <x v="360"/>
  </r>
  <r>
    <x v="991"/>
    <x v="986"/>
    <x v="2"/>
    <x v="0"/>
    <n v="33.08"/>
    <x v="1"/>
    <n v="99.24"/>
    <x v="298"/>
  </r>
  <r>
    <x v="992"/>
    <x v="987"/>
    <x v="0"/>
    <x v="3"/>
    <n v="397.16"/>
    <x v="4"/>
    <n v="397.16"/>
    <x v="170"/>
  </r>
  <r>
    <x v="993"/>
    <x v="988"/>
    <x v="2"/>
    <x v="0"/>
    <n v="410.64"/>
    <x v="4"/>
    <n v="410.64"/>
    <x v="361"/>
  </r>
  <r>
    <x v="994"/>
    <x v="989"/>
    <x v="2"/>
    <x v="2"/>
    <n v="342.12"/>
    <x v="0"/>
    <n v="1368.48"/>
    <x v="114"/>
  </r>
  <r>
    <x v="995"/>
    <x v="990"/>
    <x v="1"/>
    <x v="0"/>
    <n v="378.24"/>
    <x v="1"/>
    <n v="1134.72"/>
    <x v="113"/>
  </r>
  <r>
    <x v="996"/>
    <x v="991"/>
    <x v="1"/>
    <x v="0"/>
    <n v="395.13"/>
    <x v="2"/>
    <n v="1975.65"/>
    <x v="107"/>
  </r>
  <r>
    <x v="997"/>
    <x v="992"/>
    <x v="1"/>
    <x v="1"/>
    <n v="11.53"/>
    <x v="4"/>
    <n v="11.53"/>
    <x v="125"/>
  </r>
  <r>
    <x v="998"/>
    <x v="993"/>
    <x v="2"/>
    <x v="3"/>
    <n v="214.91"/>
    <x v="3"/>
    <n v="429.82"/>
    <x v="200"/>
  </r>
  <r>
    <x v="999"/>
    <x v="994"/>
    <x v="0"/>
    <x v="2"/>
    <n v="499.9"/>
    <x v="2"/>
    <n v="2499.5"/>
    <x v="211"/>
  </r>
  <r>
    <x v="1000"/>
    <x v="995"/>
    <x v="2"/>
    <x v="4"/>
    <n v="444"/>
    <x v="1"/>
    <n v="1332"/>
    <x v="28"/>
  </r>
  <r>
    <x v="1001"/>
    <x v="996"/>
    <x v="0"/>
    <x v="3"/>
    <n v="97.8"/>
    <x v="1"/>
    <n v="293.39999999999998"/>
    <x v="8"/>
  </r>
  <r>
    <x v="1002"/>
    <x v="997"/>
    <x v="1"/>
    <x v="2"/>
    <n v="339.67"/>
    <x v="1"/>
    <n v="1019.01"/>
    <x v="301"/>
  </r>
  <r>
    <x v="1003"/>
    <x v="998"/>
    <x v="1"/>
    <x v="4"/>
    <n v="46.49"/>
    <x v="4"/>
    <n v="46.49"/>
    <x v="248"/>
  </r>
  <r>
    <x v="1004"/>
    <x v="999"/>
    <x v="0"/>
    <x v="0"/>
    <n v="103.94"/>
    <x v="2"/>
    <n v="519.70000000000005"/>
    <x v="53"/>
  </r>
  <r>
    <x v="1005"/>
    <x v="1000"/>
    <x v="0"/>
    <x v="4"/>
    <n v="15.36"/>
    <x v="3"/>
    <n v="30.72"/>
    <x v="304"/>
  </r>
  <r>
    <x v="1006"/>
    <x v="1001"/>
    <x v="2"/>
    <x v="2"/>
    <n v="35.549999999999997"/>
    <x v="4"/>
    <n v="35.549999999999997"/>
    <x v="3"/>
  </r>
  <r>
    <x v="1007"/>
    <x v="1002"/>
    <x v="0"/>
    <x v="1"/>
    <n v="304.67"/>
    <x v="4"/>
    <n v="304.67"/>
    <x v="349"/>
  </r>
  <r>
    <x v="1008"/>
    <x v="1003"/>
    <x v="2"/>
    <x v="2"/>
    <n v="326.66000000000003"/>
    <x v="3"/>
    <n v="653.32000000000005"/>
    <x v="56"/>
  </r>
  <r>
    <x v="1009"/>
    <x v="1004"/>
    <x v="0"/>
    <x v="1"/>
    <n v="258.60000000000002"/>
    <x v="1"/>
    <n v="775.8"/>
    <x v="332"/>
  </r>
  <r>
    <x v="1010"/>
    <x v="1005"/>
    <x v="2"/>
    <x v="0"/>
    <n v="38.31"/>
    <x v="1"/>
    <n v="114.93"/>
    <x v="45"/>
  </r>
  <r>
    <x v="1011"/>
    <x v="1006"/>
    <x v="1"/>
    <x v="2"/>
    <n v="415.19"/>
    <x v="4"/>
    <n v="415.19"/>
    <x v="137"/>
  </r>
  <r>
    <x v="1012"/>
    <x v="1007"/>
    <x v="1"/>
    <x v="3"/>
    <n v="121.96"/>
    <x v="4"/>
    <n v="121.96"/>
    <x v="40"/>
  </r>
  <r>
    <x v="1013"/>
    <x v="1008"/>
    <x v="1"/>
    <x v="1"/>
    <n v="324.69"/>
    <x v="3"/>
    <n v="649.38"/>
    <x v="362"/>
  </r>
  <r>
    <x v="1014"/>
    <x v="1009"/>
    <x v="1"/>
    <x v="3"/>
    <n v="435.27"/>
    <x v="3"/>
    <n v="870.54"/>
    <x v="40"/>
  </r>
  <r>
    <x v="1015"/>
    <x v="1010"/>
    <x v="1"/>
    <x v="3"/>
    <n v="463.32"/>
    <x v="3"/>
    <n v="926.64"/>
    <x v="253"/>
  </r>
  <r>
    <x v="1016"/>
    <x v="1011"/>
    <x v="2"/>
    <x v="4"/>
    <n v="113.97"/>
    <x v="1"/>
    <n v="341.91"/>
    <x v="108"/>
  </r>
  <r>
    <x v="1017"/>
    <x v="1012"/>
    <x v="2"/>
    <x v="4"/>
    <n v="166.71"/>
    <x v="1"/>
    <n v="500.13"/>
    <x v="117"/>
  </r>
  <r>
    <x v="1018"/>
    <x v="1013"/>
    <x v="0"/>
    <x v="2"/>
    <n v="135.26"/>
    <x v="2"/>
    <n v="676.3"/>
    <x v="15"/>
  </r>
  <r>
    <x v="1019"/>
    <x v="1014"/>
    <x v="2"/>
    <x v="4"/>
    <n v="137.13999999999999"/>
    <x v="1"/>
    <n v="411.42"/>
    <x v="67"/>
  </r>
  <r>
    <x v="1020"/>
    <x v="513"/>
    <x v="0"/>
    <x v="2"/>
    <n v="459.19"/>
    <x v="2"/>
    <n v="2295.9499999999998"/>
    <x v="72"/>
  </r>
  <r>
    <x v="1021"/>
    <x v="1015"/>
    <x v="0"/>
    <x v="4"/>
    <n v="344.72"/>
    <x v="2"/>
    <n v="1723.6"/>
    <x v="87"/>
  </r>
  <r>
    <x v="1022"/>
    <x v="1016"/>
    <x v="0"/>
    <x v="2"/>
    <n v="232.6"/>
    <x v="1"/>
    <n v="697.8"/>
    <x v="294"/>
  </r>
  <r>
    <x v="1023"/>
    <x v="1017"/>
    <x v="2"/>
    <x v="2"/>
    <n v="357.62"/>
    <x v="3"/>
    <n v="715.24"/>
    <x v="347"/>
  </r>
  <r>
    <x v="1024"/>
    <x v="1018"/>
    <x v="0"/>
    <x v="3"/>
    <n v="363.39"/>
    <x v="1"/>
    <n v="1090.17"/>
    <x v="47"/>
  </r>
  <r>
    <x v="1025"/>
    <x v="1019"/>
    <x v="0"/>
    <x v="0"/>
    <n v="91.37"/>
    <x v="4"/>
    <n v="91.37"/>
    <x v="363"/>
  </r>
  <r>
    <x v="1026"/>
    <x v="1020"/>
    <x v="2"/>
    <x v="1"/>
    <n v="93.75"/>
    <x v="2"/>
    <n v="468.75"/>
    <x v="99"/>
  </r>
  <r>
    <x v="1027"/>
    <x v="1021"/>
    <x v="1"/>
    <x v="1"/>
    <n v="424.81"/>
    <x v="3"/>
    <n v="849.62"/>
    <x v="165"/>
  </r>
  <r>
    <x v="1028"/>
    <x v="1022"/>
    <x v="1"/>
    <x v="1"/>
    <n v="278.31"/>
    <x v="2"/>
    <n v="1391.55"/>
    <x v="301"/>
  </r>
  <r>
    <x v="1029"/>
    <x v="1023"/>
    <x v="0"/>
    <x v="3"/>
    <n v="90.96"/>
    <x v="3"/>
    <n v="181.92"/>
    <x v="343"/>
  </r>
  <r>
    <x v="1030"/>
    <x v="1024"/>
    <x v="0"/>
    <x v="4"/>
    <n v="209.9"/>
    <x v="2"/>
    <n v="1049.5"/>
    <x v="155"/>
  </r>
  <r>
    <x v="1031"/>
    <x v="1025"/>
    <x v="2"/>
    <x v="3"/>
    <n v="454.87"/>
    <x v="0"/>
    <n v="1819.48"/>
    <x v="364"/>
  </r>
  <r>
    <x v="1032"/>
    <x v="1026"/>
    <x v="0"/>
    <x v="0"/>
    <n v="446.97"/>
    <x v="4"/>
    <n v="446.97"/>
    <x v="137"/>
  </r>
  <r>
    <x v="1033"/>
    <x v="1027"/>
    <x v="2"/>
    <x v="4"/>
    <n v="352.93"/>
    <x v="2"/>
    <n v="1764.65"/>
    <x v="260"/>
  </r>
  <r>
    <x v="1034"/>
    <x v="1028"/>
    <x v="2"/>
    <x v="1"/>
    <n v="72.78"/>
    <x v="3"/>
    <n v="145.56"/>
    <x v="69"/>
  </r>
  <r>
    <x v="1035"/>
    <x v="1029"/>
    <x v="0"/>
    <x v="4"/>
    <n v="322.44"/>
    <x v="3"/>
    <n v="644.88"/>
    <x v="365"/>
  </r>
  <r>
    <x v="1036"/>
    <x v="1030"/>
    <x v="2"/>
    <x v="1"/>
    <n v="148.66999999999999"/>
    <x v="1"/>
    <n v="446.01"/>
    <x v="145"/>
  </r>
  <r>
    <x v="1037"/>
    <x v="1031"/>
    <x v="2"/>
    <x v="0"/>
    <n v="125.89"/>
    <x v="2"/>
    <n v="629.45000000000005"/>
    <x v="136"/>
  </r>
  <r>
    <x v="1038"/>
    <x v="1032"/>
    <x v="0"/>
    <x v="2"/>
    <n v="243.29"/>
    <x v="4"/>
    <n v="243.29"/>
    <x v="184"/>
  </r>
  <r>
    <x v="1039"/>
    <x v="1033"/>
    <x v="2"/>
    <x v="4"/>
    <n v="458.83"/>
    <x v="1"/>
    <n v="1376.49"/>
    <x v="195"/>
  </r>
  <r>
    <x v="1040"/>
    <x v="1034"/>
    <x v="1"/>
    <x v="1"/>
    <n v="454.78"/>
    <x v="0"/>
    <n v="1819.12"/>
    <x v="18"/>
  </r>
  <r>
    <x v="1041"/>
    <x v="1035"/>
    <x v="2"/>
    <x v="4"/>
    <n v="39.31"/>
    <x v="3"/>
    <n v="78.62"/>
    <x v="244"/>
  </r>
  <r>
    <x v="1042"/>
    <x v="1036"/>
    <x v="0"/>
    <x v="3"/>
    <n v="303.05"/>
    <x v="3"/>
    <n v="606.1"/>
    <x v="66"/>
  </r>
  <r>
    <x v="1043"/>
    <x v="1037"/>
    <x v="0"/>
    <x v="2"/>
    <n v="321.01"/>
    <x v="1"/>
    <n v="963.03"/>
    <x v="40"/>
  </r>
  <r>
    <x v="1044"/>
    <x v="1038"/>
    <x v="1"/>
    <x v="2"/>
    <n v="397.41"/>
    <x v="0"/>
    <n v="1589.64"/>
    <x v="265"/>
  </r>
  <r>
    <x v="1045"/>
    <x v="1039"/>
    <x v="1"/>
    <x v="3"/>
    <n v="272.64999999999998"/>
    <x v="2"/>
    <n v="1363.25"/>
    <x v="366"/>
  </r>
  <r>
    <x v="1046"/>
    <x v="1040"/>
    <x v="2"/>
    <x v="2"/>
    <n v="362.4"/>
    <x v="4"/>
    <n v="362.4"/>
    <x v="199"/>
  </r>
  <r>
    <x v="1047"/>
    <x v="1041"/>
    <x v="2"/>
    <x v="0"/>
    <n v="419.19"/>
    <x v="0"/>
    <n v="1676.76"/>
    <x v="135"/>
  </r>
  <r>
    <x v="1048"/>
    <x v="1042"/>
    <x v="0"/>
    <x v="4"/>
    <n v="381.84"/>
    <x v="1"/>
    <n v="1145.52"/>
    <x v="111"/>
  </r>
  <r>
    <x v="1049"/>
    <x v="1043"/>
    <x v="1"/>
    <x v="3"/>
    <n v="496.98"/>
    <x v="0"/>
    <n v="1987.92"/>
    <x v="176"/>
  </r>
  <r>
    <x v="1050"/>
    <x v="1044"/>
    <x v="0"/>
    <x v="1"/>
    <n v="436.97"/>
    <x v="1"/>
    <n v="1310.91"/>
    <x v="292"/>
  </r>
  <r>
    <x v="1051"/>
    <x v="1045"/>
    <x v="1"/>
    <x v="2"/>
    <n v="71.83"/>
    <x v="4"/>
    <n v="71.83"/>
    <x v="141"/>
  </r>
  <r>
    <x v="1052"/>
    <x v="1046"/>
    <x v="1"/>
    <x v="1"/>
    <n v="203.46"/>
    <x v="4"/>
    <n v="203.46"/>
    <x v="240"/>
  </r>
  <r>
    <x v="1053"/>
    <x v="1047"/>
    <x v="0"/>
    <x v="1"/>
    <n v="282.22000000000003"/>
    <x v="0"/>
    <n v="1128.8800000000001"/>
    <x v="257"/>
  </r>
  <r>
    <x v="1054"/>
    <x v="1048"/>
    <x v="1"/>
    <x v="1"/>
    <n v="16.420000000000002"/>
    <x v="0"/>
    <n v="65.680000000000007"/>
    <x v="367"/>
  </r>
  <r>
    <x v="1055"/>
    <x v="1049"/>
    <x v="2"/>
    <x v="3"/>
    <n v="481.02"/>
    <x v="0"/>
    <n v="1924.08"/>
    <x v="274"/>
  </r>
  <r>
    <x v="1056"/>
    <x v="1050"/>
    <x v="1"/>
    <x v="0"/>
    <n v="486.15"/>
    <x v="3"/>
    <n v="972.3"/>
    <x v="213"/>
  </r>
  <r>
    <x v="1057"/>
    <x v="1051"/>
    <x v="0"/>
    <x v="4"/>
    <n v="454.2"/>
    <x v="0"/>
    <n v="1816.8"/>
    <x v="89"/>
  </r>
  <r>
    <x v="1058"/>
    <x v="1052"/>
    <x v="0"/>
    <x v="2"/>
    <n v="424.6"/>
    <x v="3"/>
    <n v="849.2"/>
    <x v="368"/>
  </r>
  <r>
    <x v="1059"/>
    <x v="1053"/>
    <x v="0"/>
    <x v="2"/>
    <n v="69.83"/>
    <x v="2"/>
    <n v="349.15"/>
    <x v="139"/>
  </r>
  <r>
    <x v="1060"/>
    <x v="1054"/>
    <x v="0"/>
    <x v="4"/>
    <n v="417.53"/>
    <x v="3"/>
    <n v="835.06"/>
    <x v="138"/>
  </r>
  <r>
    <x v="1061"/>
    <x v="1055"/>
    <x v="1"/>
    <x v="1"/>
    <n v="84.1"/>
    <x v="4"/>
    <n v="84.1"/>
    <x v="354"/>
  </r>
  <r>
    <x v="1062"/>
    <x v="1056"/>
    <x v="1"/>
    <x v="0"/>
    <n v="229.59"/>
    <x v="2"/>
    <n v="1147.95"/>
    <x v="244"/>
  </r>
  <r>
    <x v="1063"/>
    <x v="1057"/>
    <x v="1"/>
    <x v="4"/>
    <n v="215.66"/>
    <x v="0"/>
    <n v="862.64"/>
    <x v="73"/>
  </r>
  <r>
    <x v="1064"/>
    <x v="1058"/>
    <x v="0"/>
    <x v="1"/>
    <n v="289.02"/>
    <x v="0"/>
    <n v="1156.08"/>
    <x v="76"/>
  </r>
  <r>
    <x v="1065"/>
    <x v="1059"/>
    <x v="1"/>
    <x v="0"/>
    <n v="292.66000000000003"/>
    <x v="2"/>
    <n v="1463.3"/>
    <x v="321"/>
  </r>
  <r>
    <x v="1066"/>
    <x v="1060"/>
    <x v="2"/>
    <x v="3"/>
    <n v="254.74"/>
    <x v="1"/>
    <n v="764.22"/>
    <x v="62"/>
  </r>
  <r>
    <x v="1067"/>
    <x v="1061"/>
    <x v="1"/>
    <x v="3"/>
    <n v="137.94"/>
    <x v="2"/>
    <n v="689.7"/>
    <x v="345"/>
  </r>
  <r>
    <x v="1068"/>
    <x v="1062"/>
    <x v="1"/>
    <x v="3"/>
    <n v="307.74"/>
    <x v="0"/>
    <n v="1230.96"/>
    <x v="126"/>
  </r>
  <r>
    <x v="1069"/>
    <x v="1063"/>
    <x v="2"/>
    <x v="1"/>
    <n v="298.72000000000003"/>
    <x v="2"/>
    <n v="1493.6"/>
    <x v="369"/>
  </r>
  <r>
    <x v="1070"/>
    <x v="1064"/>
    <x v="0"/>
    <x v="4"/>
    <n v="237.81"/>
    <x v="4"/>
    <n v="237.81"/>
    <x v="143"/>
  </r>
  <r>
    <x v="1071"/>
    <x v="1065"/>
    <x v="1"/>
    <x v="3"/>
    <n v="76.400000000000006"/>
    <x v="4"/>
    <n v="76.400000000000006"/>
    <x v="66"/>
  </r>
  <r>
    <x v="1072"/>
    <x v="1066"/>
    <x v="2"/>
    <x v="3"/>
    <n v="154.06"/>
    <x v="4"/>
    <n v="154.06"/>
    <x v="273"/>
  </r>
  <r>
    <x v="1073"/>
    <x v="1067"/>
    <x v="2"/>
    <x v="1"/>
    <n v="75.02"/>
    <x v="2"/>
    <n v="375.1"/>
    <x v="196"/>
  </r>
  <r>
    <x v="1074"/>
    <x v="1068"/>
    <x v="1"/>
    <x v="4"/>
    <n v="35.51"/>
    <x v="4"/>
    <n v="35.51"/>
    <x v="276"/>
  </r>
  <r>
    <x v="1075"/>
    <x v="1069"/>
    <x v="0"/>
    <x v="0"/>
    <n v="348.23"/>
    <x v="2"/>
    <n v="1741.15"/>
    <x v="279"/>
  </r>
  <r>
    <x v="1076"/>
    <x v="1070"/>
    <x v="2"/>
    <x v="2"/>
    <n v="113.57"/>
    <x v="2"/>
    <n v="567.85"/>
    <x v="244"/>
  </r>
  <r>
    <x v="1077"/>
    <x v="1071"/>
    <x v="0"/>
    <x v="1"/>
    <n v="360.45"/>
    <x v="1"/>
    <n v="1081.3499999999999"/>
    <x v="8"/>
  </r>
  <r>
    <x v="1078"/>
    <x v="1072"/>
    <x v="1"/>
    <x v="4"/>
    <n v="243.92"/>
    <x v="0"/>
    <n v="975.68"/>
    <x v="216"/>
  </r>
  <r>
    <x v="1079"/>
    <x v="1073"/>
    <x v="0"/>
    <x v="2"/>
    <n v="209.11"/>
    <x v="1"/>
    <n v="627.33000000000004"/>
    <x v="201"/>
  </r>
  <r>
    <x v="1080"/>
    <x v="1074"/>
    <x v="1"/>
    <x v="2"/>
    <n v="204.57"/>
    <x v="1"/>
    <n v="613.71"/>
    <x v="124"/>
  </r>
  <r>
    <x v="1081"/>
    <x v="1075"/>
    <x v="1"/>
    <x v="3"/>
    <n v="175.6"/>
    <x v="2"/>
    <n v="878"/>
    <x v="178"/>
  </r>
  <r>
    <x v="1082"/>
    <x v="1076"/>
    <x v="1"/>
    <x v="1"/>
    <n v="39.06"/>
    <x v="3"/>
    <n v="78.12"/>
    <x v="119"/>
  </r>
  <r>
    <x v="1083"/>
    <x v="1077"/>
    <x v="0"/>
    <x v="2"/>
    <n v="24.19"/>
    <x v="3"/>
    <n v="48.38"/>
    <x v="187"/>
  </r>
  <r>
    <x v="1084"/>
    <x v="1078"/>
    <x v="1"/>
    <x v="0"/>
    <n v="451.01"/>
    <x v="1"/>
    <n v="1353.03"/>
    <x v="154"/>
  </r>
  <r>
    <x v="1085"/>
    <x v="1079"/>
    <x v="0"/>
    <x v="2"/>
    <n v="55.27"/>
    <x v="0"/>
    <n v="221.08"/>
    <x v="153"/>
  </r>
  <r>
    <x v="1086"/>
    <x v="1080"/>
    <x v="1"/>
    <x v="3"/>
    <n v="252.97"/>
    <x v="1"/>
    <n v="758.91"/>
    <x v="307"/>
  </r>
  <r>
    <x v="1087"/>
    <x v="1081"/>
    <x v="1"/>
    <x v="2"/>
    <n v="92.86"/>
    <x v="2"/>
    <n v="464.3"/>
    <x v="148"/>
  </r>
  <r>
    <x v="1088"/>
    <x v="1082"/>
    <x v="1"/>
    <x v="2"/>
    <n v="389.7"/>
    <x v="2"/>
    <n v="1948.5"/>
    <x v="136"/>
  </r>
  <r>
    <x v="1089"/>
    <x v="1083"/>
    <x v="2"/>
    <x v="1"/>
    <n v="166.74"/>
    <x v="0"/>
    <n v="666.96"/>
    <x v="58"/>
  </r>
  <r>
    <x v="1090"/>
    <x v="1084"/>
    <x v="2"/>
    <x v="4"/>
    <n v="263.95999999999998"/>
    <x v="4"/>
    <n v="263.95999999999998"/>
    <x v="109"/>
  </r>
  <r>
    <x v="1091"/>
    <x v="1085"/>
    <x v="0"/>
    <x v="3"/>
    <n v="253.91"/>
    <x v="4"/>
    <n v="253.91"/>
    <x v="86"/>
  </r>
  <r>
    <x v="1092"/>
    <x v="1086"/>
    <x v="1"/>
    <x v="3"/>
    <n v="476.31"/>
    <x v="4"/>
    <n v="476.31"/>
    <x v="302"/>
  </r>
  <r>
    <x v="1093"/>
    <x v="1087"/>
    <x v="1"/>
    <x v="3"/>
    <n v="75.73"/>
    <x v="0"/>
    <n v="302.92"/>
    <x v="256"/>
  </r>
  <r>
    <x v="1094"/>
    <x v="1088"/>
    <x v="1"/>
    <x v="2"/>
    <n v="14.31"/>
    <x v="3"/>
    <n v="28.62"/>
    <x v="105"/>
  </r>
  <r>
    <x v="1095"/>
    <x v="1089"/>
    <x v="2"/>
    <x v="4"/>
    <n v="261.2"/>
    <x v="1"/>
    <n v="783.6"/>
    <x v="45"/>
  </r>
  <r>
    <x v="1096"/>
    <x v="1090"/>
    <x v="0"/>
    <x v="3"/>
    <n v="42.52"/>
    <x v="3"/>
    <n v="85.04"/>
    <x v="73"/>
  </r>
  <r>
    <x v="1097"/>
    <x v="1091"/>
    <x v="2"/>
    <x v="3"/>
    <n v="382.83"/>
    <x v="4"/>
    <n v="382.83"/>
    <x v="197"/>
  </r>
  <r>
    <x v="1098"/>
    <x v="1092"/>
    <x v="2"/>
    <x v="3"/>
    <n v="187.15"/>
    <x v="0"/>
    <n v="748.6"/>
    <x v="356"/>
  </r>
  <r>
    <x v="1099"/>
    <x v="1093"/>
    <x v="2"/>
    <x v="3"/>
    <n v="36.35"/>
    <x v="3"/>
    <n v="72.7"/>
    <x v="296"/>
  </r>
  <r>
    <x v="1100"/>
    <x v="1094"/>
    <x v="2"/>
    <x v="0"/>
    <n v="369.92"/>
    <x v="2"/>
    <n v="1849.6"/>
    <x v="234"/>
  </r>
  <r>
    <x v="1101"/>
    <x v="1095"/>
    <x v="0"/>
    <x v="4"/>
    <n v="360.06"/>
    <x v="4"/>
    <n v="360.06"/>
    <x v="163"/>
  </r>
  <r>
    <x v="1102"/>
    <x v="1096"/>
    <x v="1"/>
    <x v="3"/>
    <n v="226.8"/>
    <x v="1"/>
    <n v="680.4"/>
    <x v="294"/>
  </r>
  <r>
    <x v="1103"/>
    <x v="1097"/>
    <x v="2"/>
    <x v="2"/>
    <n v="414.5"/>
    <x v="0"/>
    <n v="1658"/>
    <x v="370"/>
  </r>
  <r>
    <x v="1104"/>
    <x v="1098"/>
    <x v="1"/>
    <x v="3"/>
    <n v="481.81"/>
    <x v="1"/>
    <n v="1445.43"/>
    <x v="209"/>
  </r>
  <r>
    <x v="1105"/>
    <x v="1099"/>
    <x v="1"/>
    <x v="1"/>
    <n v="362.29"/>
    <x v="3"/>
    <n v="724.58"/>
    <x v="89"/>
  </r>
  <r>
    <x v="1106"/>
    <x v="1100"/>
    <x v="1"/>
    <x v="1"/>
    <n v="247.94"/>
    <x v="3"/>
    <n v="495.88"/>
    <x v="81"/>
  </r>
  <r>
    <x v="1107"/>
    <x v="1101"/>
    <x v="2"/>
    <x v="1"/>
    <n v="179"/>
    <x v="2"/>
    <n v="895"/>
    <x v="344"/>
  </r>
  <r>
    <x v="1108"/>
    <x v="1102"/>
    <x v="2"/>
    <x v="0"/>
    <n v="298.64"/>
    <x v="1"/>
    <n v="895.92"/>
    <x v="24"/>
  </r>
  <r>
    <x v="1109"/>
    <x v="1103"/>
    <x v="1"/>
    <x v="0"/>
    <n v="101.21"/>
    <x v="1"/>
    <n v="303.63"/>
    <x v="156"/>
  </r>
  <r>
    <x v="1110"/>
    <x v="1104"/>
    <x v="0"/>
    <x v="1"/>
    <n v="479.58"/>
    <x v="4"/>
    <n v="479.58"/>
    <x v="280"/>
  </r>
  <r>
    <x v="1111"/>
    <x v="1105"/>
    <x v="1"/>
    <x v="2"/>
    <n v="177.73"/>
    <x v="4"/>
    <n v="177.73"/>
    <x v="356"/>
  </r>
  <r>
    <x v="1112"/>
    <x v="1106"/>
    <x v="1"/>
    <x v="4"/>
    <n v="59.37"/>
    <x v="0"/>
    <n v="237.48"/>
    <x v="223"/>
  </r>
  <r>
    <x v="1113"/>
    <x v="1107"/>
    <x v="1"/>
    <x v="3"/>
    <n v="300.45"/>
    <x v="0"/>
    <n v="1201.8"/>
    <x v="232"/>
  </r>
  <r>
    <x v="1114"/>
    <x v="1108"/>
    <x v="1"/>
    <x v="4"/>
    <n v="69.81"/>
    <x v="0"/>
    <n v="279.24"/>
    <x v="105"/>
  </r>
  <r>
    <x v="1115"/>
    <x v="1109"/>
    <x v="1"/>
    <x v="1"/>
    <n v="310.81"/>
    <x v="0"/>
    <n v="1243.24"/>
    <x v="270"/>
  </r>
  <r>
    <x v="1116"/>
    <x v="1110"/>
    <x v="2"/>
    <x v="0"/>
    <n v="69.41"/>
    <x v="2"/>
    <n v="347.05"/>
    <x v="85"/>
  </r>
  <r>
    <x v="1117"/>
    <x v="1111"/>
    <x v="0"/>
    <x v="1"/>
    <n v="482.69"/>
    <x v="0"/>
    <n v="1930.76"/>
    <x v="371"/>
  </r>
  <r>
    <x v="1118"/>
    <x v="1112"/>
    <x v="1"/>
    <x v="0"/>
    <n v="86.42"/>
    <x v="3"/>
    <n v="172.84"/>
    <x v="227"/>
  </r>
  <r>
    <x v="1119"/>
    <x v="1113"/>
    <x v="1"/>
    <x v="4"/>
    <n v="320.68"/>
    <x v="1"/>
    <n v="962.04"/>
    <x v="299"/>
  </r>
  <r>
    <x v="1120"/>
    <x v="1114"/>
    <x v="1"/>
    <x v="3"/>
    <n v="104.56"/>
    <x v="0"/>
    <n v="418.24"/>
    <x v="157"/>
  </r>
  <r>
    <x v="1121"/>
    <x v="1115"/>
    <x v="0"/>
    <x v="4"/>
    <n v="326.10000000000002"/>
    <x v="1"/>
    <n v="978.3"/>
    <x v="8"/>
  </r>
  <r>
    <x v="1122"/>
    <x v="1116"/>
    <x v="0"/>
    <x v="0"/>
    <n v="277.38"/>
    <x v="1"/>
    <n v="832.14"/>
    <x v="319"/>
  </r>
  <r>
    <x v="1123"/>
    <x v="1117"/>
    <x v="1"/>
    <x v="1"/>
    <n v="417.81"/>
    <x v="1"/>
    <n v="1253.43"/>
    <x v="171"/>
  </r>
  <r>
    <x v="1124"/>
    <x v="1118"/>
    <x v="0"/>
    <x v="3"/>
    <n v="356.61"/>
    <x v="3"/>
    <n v="713.22"/>
    <x v="372"/>
  </r>
  <r>
    <x v="1125"/>
    <x v="1119"/>
    <x v="1"/>
    <x v="3"/>
    <n v="361.38"/>
    <x v="1"/>
    <n v="1084.1400000000001"/>
    <x v="264"/>
  </r>
  <r>
    <x v="1126"/>
    <x v="1120"/>
    <x v="0"/>
    <x v="4"/>
    <n v="84.74"/>
    <x v="4"/>
    <n v="84.74"/>
    <x v="373"/>
  </r>
  <r>
    <x v="1127"/>
    <x v="1121"/>
    <x v="0"/>
    <x v="4"/>
    <n v="282.45999999999998"/>
    <x v="3"/>
    <n v="564.91999999999996"/>
    <x v="52"/>
  </r>
  <r>
    <x v="1128"/>
    <x v="1122"/>
    <x v="2"/>
    <x v="1"/>
    <n v="40.07"/>
    <x v="0"/>
    <n v="160.28"/>
    <x v="246"/>
  </r>
  <r>
    <x v="1129"/>
    <x v="1123"/>
    <x v="0"/>
    <x v="4"/>
    <n v="151.59"/>
    <x v="0"/>
    <n v="606.36"/>
    <x v="348"/>
  </r>
  <r>
    <x v="1130"/>
    <x v="1124"/>
    <x v="1"/>
    <x v="1"/>
    <n v="182.72"/>
    <x v="0"/>
    <n v="730.88"/>
    <x v="265"/>
  </r>
  <r>
    <x v="1131"/>
    <x v="1125"/>
    <x v="0"/>
    <x v="0"/>
    <n v="478.03"/>
    <x v="0"/>
    <n v="1912.12"/>
    <x v="364"/>
  </r>
  <r>
    <x v="1132"/>
    <x v="1126"/>
    <x v="1"/>
    <x v="0"/>
    <n v="331.4"/>
    <x v="0"/>
    <n v="1325.6"/>
    <x v="23"/>
  </r>
  <r>
    <x v="1133"/>
    <x v="1127"/>
    <x v="0"/>
    <x v="1"/>
    <n v="100.39"/>
    <x v="4"/>
    <n v="100.39"/>
    <x v="374"/>
  </r>
  <r>
    <x v="1134"/>
    <x v="1128"/>
    <x v="0"/>
    <x v="3"/>
    <n v="251.14"/>
    <x v="2"/>
    <n v="1255.7"/>
    <x v="152"/>
  </r>
  <r>
    <x v="1135"/>
    <x v="1129"/>
    <x v="0"/>
    <x v="4"/>
    <n v="62.15"/>
    <x v="0"/>
    <n v="248.6"/>
    <x v="37"/>
  </r>
  <r>
    <x v="1136"/>
    <x v="1130"/>
    <x v="0"/>
    <x v="4"/>
    <n v="28.49"/>
    <x v="2"/>
    <n v="142.44999999999999"/>
    <x v="359"/>
  </r>
  <r>
    <x v="1137"/>
    <x v="1131"/>
    <x v="1"/>
    <x v="0"/>
    <n v="224.83"/>
    <x v="4"/>
    <n v="224.83"/>
    <x v="124"/>
  </r>
  <r>
    <x v="1138"/>
    <x v="1132"/>
    <x v="0"/>
    <x v="1"/>
    <n v="354.04"/>
    <x v="1"/>
    <n v="1062.1199999999999"/>
    <x v="40"/>
  </r>
  <r>
    <x v="1139"/>
    <x v="1133"/>
    <x v="2"/>
    <x v="3"/>
    <n v="457.77"/>
    <x v="2"/>
    <n v="2288.85"/>
    <x v="158"/>
  </r>
  <r>
    <x v="1140"/>
    <x v="1134"/>
    <x v="2"/>
    <x v="0"/>
    <n v="54.2"/>
    <x v="0"/>
    <n v="216.8"/>
    <x v="208"/>
  </r>
  <r>
    <x v="1141"/>
    <x v="1135"/>
    <x v="2"/>
    <x v="3"/>
    <n v="479.93"/>
    <x v="2"/>
    <n v="2399.65"/>
    <x v="361"/>
  </r>
  <r>
    <x v="1142"/>
    <x v="1136"/>
    <x v="1"/>
    <x v="3"/>
    <n v="304.57"/>
    <x v="2"/>
    <n v="1522.85"/>
    <x v="313"/>
  </r>
  <r>
    <x v="1143"/>
    <x v="1137"/>
    <x v="0"/>
    <x v="4"/>
    <n v="280.29000000000002"/>
    <x v="3"/>
    <n v="560.58000000000004"/>
    <x v="359"/>
  </r>
  <r>
    <x v="1144"/>
    <x v="1138"/>
    <x v="1"/>
    <x v="3"/>
    <n v="379.54"/>
    <x v="3"/>
    <n v="759.08"/>
    <x v="267"/>
  </r>
  <r>
    <x v="1145"/>
    <x v="1139"/>
    <x v="1"/>
    <x v="3"/>
    <n v="96.64"/>
    <x v="1"/>
    <n v="289.92"/>
    <x v="154"/>
  </r>
  <r>
    <x v="1146"/>
    <x v="1140"/>
    <x v="1"/>
    <x v="3"/>
    <n v="487.31"/>
    <x v="0"/>
    <n v="1949.24"/>
    <x v="25"/>
  </r>
  <r>
    <x v="1147"/>
    <x v="1141"/>
    <x v="0"/>
    <x v="1"/>
    <n v="379.41"/>
    <x v="2"/>
    <n v="1897.05"/>
    <x v="324"/>
  </r>
  <r>
    <x v="1148"/>
    <x v="1142"/>
    <x v="0"/>
    <x v="0"/>
    <n v="263.32"/>
    <x v="0"/>
    <n v="1053.28"/>
    <x v="258"/>
  </r>
  <r>
    <x v="1149"/>
    <x v="1143"/>
    <x v="0"/>
    <x v="0"/>
    <n v="206.52"/>
    <x v="2"/>
    <n v="1032.5999999999999"/>
    <x v="86"/>
  </r>
  <r>
    <x v="1150"/>
    <x v="1144"/>
    <x v="1"/>
    <x v="4"/>
    <n v="342.59"/>
    <x v="1"/>
    <n v="1027.77"/>
    <x v="255"/>
  </r>
  <r>
    <x v="1151"/>
    <x v="1145"/>
    <x v="0"/>
    <x v="4"/>
    <n v="203.22"/>
    <x v="4"/>
    <n v="203.22"/>
    <x v="221"/>
  </r>
  <r>
    <x v="1152"/>
    <x v="1146"/>
    <x v="2"/>
    <x v="4"/>
    <n v="169.42"/>
    <x v="2"/>
    <n v="847.1"/>
    <x v="294"/>
  </r>
  <r>
    <x v="1153"/>
    <x v="1147"/>
    <x v="2"/>
    <x v="4"/>
    <n v="214.17"/>
    <x v="4"/>
    <n v="214.17"/>
    <x v="54"/>
  </r>
  <r>
    <x v="1154"/>
    <x v="1148"/>
    <x v="2"/>
    <x v="2"/>
    <n v="485.3"/>
    <x v="1"/>
    <n v="1455.9"/>
    <x v="105"/>
  </r>
  <r>
    <x v="1155"/>
    <x v="1149"/>
    <x v="1"/>
    <x v="2"/>
    <n v="430.49"/>
    <x v="0"/>
    <n v="1721.96"/>
    <x v="29"/>
  </r>
  <r>
    <x v="1156"/>
    <x v="1150"/>
    <x v="1"/>
    <x v="2"/>
    <n v="372.85"/>
    <x v="4"/>
    <n v="372.85"/>
    <x v="352"/>
  </r>
  <r>
    <x v="1157"/>
    <x v="1151"/>
    <x v="1"/>
    <x v="2"/>
    <n v="455.44"/>
    <x v="2"/>
    <n v="2277.1999999999998"/>
    <x v="290"/>
  </r>
  <r>
    <x v="1158"/>
    <x v="1152"/>
    <x v="1"/>
    <x v="2"/>
    <n v="384.76"/>
    <x v="0"/>
    <n v="1539.04"/>
    <x v="359"/>
  </r>
  <r>
    <x v="1159"/>
    <x v="1153"/>
    <x v="1"/>
    <x v="0"/>
    <n v="82.14"/>
    <x v="0"/>
    <n v="328.56"/>
    <x v="300"/>
  </r>
  <r>
    <x v="1160"/>
    <x v="1154"/>
    <x v="0"/>
    <x v="2"/>
    <n v="372.16"/>
    <x v="4"/>
    <n v="372.16"/>
    <x v="116"/>
  </r>
  <r>
    <x v="1161"/>
    <x v="1155"/>
    <x v="1"/>
    <x v="4"/>
    <n v="254.82"/>
    <x v="3"/>
    <n v="509.64"/>
    <x v="262"/>
  </r>
  <r>
    <x v="1162"/>
    <x v="1156"/>
    <x v="2"/>
    <x v="2"/>
    <n v="42.19"/>
    <x v="2"/>
    <n v="210.95"/>
    <x v="347"/>
  </r>
  <r>
    <x v="1163"/>
    <x v="1157"/>
    <x v="1"/>
    <x v="3"/>
    <n v="176.08"/>
    <x v="4"/>
    <n v="176.08"/>
    <x v="236"/>
  </r>
  <r>
    <x v="1164"/>
    <x v="1158"/>
    <x v="1"/>
    <x v="1"/>
    <n v="344.54"/>
    <x v="1"/>
    <n v="1033.6199999999999"/>
    <x v="225"/>
  </r>
  <r>
    <x v="1165"/>
    <x v="1159"/>
    <x v="1"/>
    <x v="2"/>
    <n v="189.4"/>
    <x v="3"/>
    <n v="378.8"/>
    <x v="74"/>
  </r>
  <r>
    <x v="1166"/>
    <x v="1160"/>
    <x v="1"/>
    <x v="2"/>
    <n v="442.6"/>
    <x v="4"/>
    <n v="442.6"/>
    <x v="88"/>
  </r>
  <r>
    <x v="1167"/>
    <x v="1161"/>
    <x v="2"/>
    <x v="1"/>
    <n v="413.75"/>
    <x v="4"/>
    <n v="413.75"/>
    <x v="166"/>
  </r>
  <r>
    <x v="1168"/>
    <x v="1162"/>
    <x v="2"/>
    <x v="1"/>
    <n v="129.86000000000001"/>
    <x v="1"/>
    <n v="389.58"/>
    <x v="142"/>
  </r>
  <r>
    <x v="1169"/>
    <x v="1163"/>
    <x v="2"/>
    <x v="0"/>
    <n v="142.91999999999999"/>
    <x v="0"/>
    <n v="571.67999999999995"/>
    <x v="102"/>
  </r>
  <r>
    <x v="1170"/>
    <x v="1164"/>
    <x v="1"/>
    <x v="0"/>
    <n v="499.03"/>
    <x v="3"/>
    <n v="998.06"/>
    <x v="50"/>
  </r>
  <r>
    <x v="1171"/>
    <x v="1165"/>
    <x v="0"/>
    <x v="0"/>
    <n v="491.81"/>
    <x v="1"/>
    <n v="1475.43"/>
    <x v="95"/>
  </r>
  <r>
    <x v="1172"/>
    <x v="1166"/>
    <x v="0"/>
    <x v="2"/>
    <n v="183.51"/>
    <x v="1"/>
    <n v="550.53"/>
    <x v="63"/>
  </r>
  <r>
    <x v="1173"/>
    <x v="1167"/>
    <x v="2"/>
    <x v="4"/>
    <n v="187.35"/>
    <x v="4"/>
    <n v="187.35"/>
    <x v="239"/>
  </r>
  <r>
    <x v="1174"/>
    <x v="1168"/>
    <x v="0"/>
    <x v="2"/>
    <n v="126.75"/>
    <x v="3"/>
    <n v="253.5"/>
    <x v="369"/>
  </r>
  <r>
    <x v="1175"/>
    <x v="1169"/>
    <x v="0"/>
    <x v="4"/>
    <n v="128.30000000000001"/>
    <x v="0"/>
    <n v="513.20000000000005"/>
    <x v="375"/>
  </r>
  <r>
    <x v="1176"/>
    <x v="1170"/>
    <x v="1"/>
    <x v="4"/>
    <n v="190.11"/>
    <x v="3"/>
    <n v="380.22"/>
    <x v="208"/>
  </r>
  <r>
    <x v="1177"/>
    <x v="1171"/>
    <x v="0"/>
    <x v="0"/>
    <n v="13.91"/>
    <x v="0"/>
    <n v="55.64"/>
    <x v="66"/>
  </r>
  <r>
    <x v="1178"/>
    <x v="1172"/>
    <x v="1"/>
    <x v="1"/>
    <n v="89.12"/>
    <x v="0"/>
    <n v="356.48"/>
    <x v="319"/>
  </r>
  <r>
    <x v="1179"/>
    <x v="1173"/>
    <x v="0"/>
    <x v="2"/>
    <n v="416.65"/>
    <x v="0"/>
    <n v="1666.6"/>
    <x v="4"/>
  </r>
  <r>
    <x v="1180"/>
    <x v="1174"/>
    <x v="0"/>
    <x v="2"/>
    <n v="282.33"/>
    <x v="2"/>
    <n v="1411.65"/>
    <x v="26"/>
  </r>
  <r>
    <x v="1181"/>
    <x v="1175"/>
    <x v="0"/>
    <x v="1"/>
    <n v="495.95"/>
    <x v="3"/>
    <n v="991.9"/>
    <x v="274"/>
  </r>
  <r>
    <x v="1182"/>
    <x v="1176"/>
    <x v="2"/>
    <x v="0"/>
    <n v="350.13"/>
    <x v="1"/>
    <n v="1050.3900000000001"/>
    <x v="309"/>
  </r>
  <r>
    <x v="1183"/>
    <x v="1177"/>
    <x v="0"/>
    <x v="1"/>
    <n v="204.76"/>
    <x v="0"/>
    <n v="819.04"/>
    <x v="150"/>
  </r>
  <r>
    <x v="1184"/>
    <x v="1178"/>
    <x v="0"/>
    <x v="3"/>
    <n v="165.65"/>
    <x v="1"/>
    <n v="496.95"/>
    <x v="1"/>
  </r>
  <r>
    <x v="1185"/>
    <x v="1179"/>
    <x v="1"/>
    <x v="0"/>
    <n v="150.80000000000001"/>
    <x v="2"/>
    <n v="754"/>
    <x v="121"/>
  </r>
  <r>
    <x v="1186"/>
    <x v="1180"/>
    <x v="2"/>
    <x v="0"/>
    <n v="424.32"/>
    <x v="4"/>
    <n v="424.32"/>
    <x v="246"/>
  </r>
  <r>
    <x v="1187"/>
    <x v="1181"/>
    <x v="1"/>
    <x v="4"/>
    <n v="16.100000000000001"/>
    <x v="2"/>
    <n v="80.5"/>
    <x v="297"/>
  </r>
  <r>
    <x v="1188"/>
    <x v="1182"/>
    <x v="1"/>
    <x v="4"/>
    <n v="358.63"/>
    <x v="0"/>
    <n v="1434.52"/>
    <x v="366"/>
  </r>
  <r>
    <x v="1189"/>
    <x v="1183"/>
    <x v="0"/>
    <x v="1"/>
    <n v="45.72"/>
    <x v="1"/>
    <n v="137.16"/>
    <x v="162"/>
  </r>
  <r>
    <x v="1190"/>
    <x v="1184"/>
    <x v="0"/>
    <x v="4"/>
    <n v="35.409999999999997"/>
    <x v="4"/>
    <n v="35.409999999999997"/>
    <x v="307"/>
  </r>
  <r>
    <x v="1191"/>
    <x v="1185"/>
    <x v="1"/>
    <x v="0"/>
    <n v="144.29"/>
    <x v="0"/>
    <n v="577.16"/>
    <x v="344"/>
  </r>
  <r>
    <x v="1192"/>
    <x v="1186"/>
    <x v="1"/>
    <x v="1"/>
    <n v="149.55000000000001"/>
    <x v="2"/>
    <n v="747.75"/>
    <x v="78"/>
  </r>
  <r>
    <x v="1193"/>
    <x v="1187"/>
    <x v="0"/>
    <x v="2"/>
    <n v="197.37"/>
    <x v="1"/>
    <n v="592.11"/>
    <x v="253"/>
  </r>
  <r>
    <x v="1194"/>
    <x v="1188"/>
    <x v="1"/>
    <x v="0"/>
    <n v="345.58"/>
    <x v="2"/>
    <n v="1727.9"/>
    <x v="337"/>
  </r>
  <r>
    <x v="1195"/>
    <x v="1189"/>
    <x v="1"/>
    <x v="1"/>
    <n v="36.090000000000003"/>
    <x v="0"/>
    <n v="144.36000000000001"/>
    <x v="375"/>
  </r>
  <r>
    <x v="1196"/>
    <x v="1190"/>
    <x v="1"/>
    <x v="0"/>
    <n v="139.75"/>
    <x v="1"/>
    <n v="419.25"/>
    <x v="170"/>
  </r>
  <r>
    <x v="1197"/>
    <x v="1191"/>
    <x v="0"/>
    <x v="1"/>
    <n v="356.64"/>
    <x v="1"/>
    <n v="1069.92"/>
    <x v="167"/>
  </r>
  <r>
    <x v="1198"/>
    <x v="1192"/>
    <x v="0"/>
    <x v="3"/>
    <n v="477.42"/>
    <x v="2"/>
    <n v="2387.1"/>
    <x v="318"/>
  </r>
  <r>
    <x v="1199"/>
    <x v="1193"/>
    <x v="1"/>
    <x v="4"/>
    <n v="97.9"/>
    <x v="0"/>
    <n v="391.6"/>
    <x v="208"/>
  </r>
  <r>
    <x v="1200"/>
    <x v="1194"/>
    <x v="2"/>
    <x v="0"/>
    <n v="168.05"/>
    <x v="3"/>
    <n v="336.1"/>
    <x v="253"/>
  </r>
  <r>
    <x v="1201"/>
    <x v="1195"/>
    <x v="2"/>
    <x v="0"/>
    <n v="369.94"/>
    <x v="2"/>
    <n v="1849.7"/>
    <x v="376"/>
  </r>
  <r>
    <x v="1202"/>
    <x v="1196"/>
    <x v="1"/>
    <x v="3"/>
    <n v="131.52000000000001"/>
    <x v="3"/>
    <n v="263.04000000000002"/>
    <x v="352"/>
  </r>
  <r>
    <x v="1203"/>
    <x v="1197"/>
    <x v="2"/>
    <x v="0"/>
    <n v="487.29"/>
    <x v="1"/>
    <n v="1461.87"/>
    <x v="377"/>
  </r>
  <r>
    <x v="1204"/>
    <x v="1198"/>
    <x v="1"/>
    <x v="4"/>
    <n v="112.08"/>
    <x v="1"/>
    <n v="336.24"/>
    <x v="31"/>
  </r>
  <r>
    <x v="1205"/>
    <x v="1199"/>
    <x v="0"/>
    <x v="0"/>
    <n v="57.86"/>
    <x v="1"/>
    <n v="173.58"/>
    <x v="363"/>
  </r>
  <r>
    <x v="1206"/>
    <x v="1200"/>
    <x v="2"/>
    <x v="2"/>
    <n v="374.95"/>
    <x v="4"/>
    <n v="374.95"/>
    <x v="20"/>
  </r>
  <r>
    <x v="1207"/>
    <x v="1201"/>
    <x v="2"/>
    <x v="1"/>
    <n v="217.43"/>
    <x v="1"/>
    <n v="652.29"/>
    <x v="260"/>
  </r>
  <r>
    <x v="1208"/>
    <x v="1202"/>
    <x v="1"/>
    <x v="2"/>
    <n v="95.34"/>
    <x v="4"/>
    <n v="95.34"/>
    <x v="58"/>
  </r>
  <r>
    <x v="1209"/>
    <x v="1203"/>
    <x v="2"/>
    <x v="2"/>
    <n v="24.96"/>
    <x v="0"/>
    <n v="99.84"/>
    <x v="378"/>
  </r>
  <r>
    <x v="1210"/>
    <x v="1204"/>
    <x v="0"/>
    <x v="2"/>
    <n v="32.299999999999997"/>
    <x v="0"/>
    <n v="129.19999999999999"/>
    <x v="7"/>
  </r>
  <r>
    <x v="1211"/>
    <x v="1205"/>
    <x v="1"/>
    <x v="3"/>
    <n v="211.34"/>
    <x v="0"/>
    <n v="845.36"/>
    <x v="174"/>
  </r>
  <r>
    <x v="1212"/>
    <x v="1206"/>
    <x v="0"/>
    <x v="2"/>
    <n v="314.8"/>
    <x v="4"/>
    <n v="314.8"/>
    <x v="59"/>
  </r>
  <r>
    <x v="1213"/>
    <x v="905"/>
    <x v="2"/>
    <x v="0"/>
    <n v="439.48"/>
    <x v="1"/>
    <n v="1318.44"/>
    <x v="190"/>
  </r>
  <r>
    <x v="1214"/>
    <x v="1207"/>
    <x v="2"/>
    <x v="0"/>
    <n v="213.91"/>
    <x v="4"/>
    <n v="213.91"/>
    <x v="180"/>
  </r>
  <r>
    <x v="1215"/>
    <x v="1208"/>
    <x v="2"/>
    <x v="0"/>
    <n v="204.9"/>
    <x v="4"/>
    <n v="204.9"/>
    <x v="154"/>
  </r>
  <r>
    <x v="1216"/>
    <x v="1209"/>
    <x v="2"/>
    <x v="4"/>
    <n v="471.7"/>
    <x v="2"/>
    <n v="2358.5"/>
    <x v="61"/>
  </r>
  <r>
    <x v="1217"/>
    <x v="1210"/>
    <x v="1"/>
    <x v="1"/>
    <n v="280.99"/>
    <x v="1"/>
    <n v="842.97"/>
    <x v="379"/>
  </r>
  <r>
    <x v="1218"/>
    <x v="1211"/>
    <x v="0"/>
    <x v="4"/>
    <n v="383.34"/>
    <x v="3"/>
    <n v="766.68"/>
    <x v="13"/>
  </r>
  <r>
    <x v="1219"/>
    <x v="1212"/>
    <x v="2"/>
    <x v="1"/>
    <n v="281.58999999999997"/>
    <x v="2"/>
    <n v="1407.95"/>
    <x v="164"/>
  </r>
  <r>
    <x v="1220"/>
    <x v="1213"/>
    <x v="2"/>
    <x v="0"/>
    <n v="445.66"/>
    <x v="4"/>
    <n v="445.66"/>
    <x v="270"/>
  </r>
  <r>
    <x v="1221"/>
    <x v="1214"/>
    <x v="1"/>
    <x v="2"/>
    <n v="90.16"/>
    <x v="4"/>
    <n v="90.16"/>
    <x v="99"/>
  </r>
  <r>
    <x v="1222"/>
    <x v="1215"/>
    <x v="1"/>
    <x v="3"/>
    <n v="350.76"/>
    <x v="3"/>
    <n v="701.52"/>
    <x v="374"/>
  </r>
  <r>
    <x v="1223"/>
    <x v="1216"/>
    <x v="1"/>
    <x v="0"/>
    <n v="129.07"/>
    <x v="4"/>
    <n v="129.07"/>
    <x v="18"/>
  </r>
  <r>
    <x v="1224"/>
    <x v="1217"/>
    <x v="1"/>
    <x v="3"/>
    <n v="17.57"/>
    <x v="4"/>
    <n v="17.57"/>
    <x v="204"/>
  </r>
  <r>
    <x v="1225"/>
    <x v="1218"/>
    <x v="0"/>
    <x v="0"/>
    <n v="454.56"/>
    <x v="1"/>
    <n v="1363.68"/>
    <x v="50"/>
  </r>
  <r>
    <x v="1226"/>
    <x v="1219"/>
    <x v="1"/>
    <x v="2"/>
    <n v="199.27"/>
    <x v="0"/>
    <n v="797.08"/>
    <x v="118"/>
  </r>
  <r>
    <x v="1227"/>
    <x v="1220"/>
    <x v="0"/>
    <x v="4"/>
    <n v="399.72"/>
    <x v="1"/>
    <n v="1199.1600000000001"/>
    <x v="204"/>
  </r>
  <r>
    <x v="1228"/>
    <x v="1221"/>
    <x v="0"/>
    <x v="2"/>
    <n v="84.98"/>
    <x v="2"/>
    <n v="424.9"/>
    <x v="141"/>
  </r>
  <r>
    <x v="1229"/>
    <x v="1222"/>
    <x v="1"/>
    <x v="3"/>
    <n v="447.85"/>
    <x v="2"/>
    <n v="2239.25"/>
    <x v="380"/>
  </r>
  <r>
    <x v="1230"/>
    <x v="1223"/>
    <x v="2"/>
    <x v="2"/>
    <n v="65.319999999999993"/>
    <x v="1"/>
    <n v="195.96"/>
    <x v="286"/>
  </r>
  <r>
    <x v="1231"/>
    <x v="1224"/>
    <x v="0"/>
    <x v="0"/>
    <n v="165.52"/>
    <x v="2"/>
    <n v="827.6"/>
    <x v="125"/>
  </r>
  <r>
    <x v="1232"/>
    <x v="1225"/>
    <x v="0"/>
    <x v="1"/>
    <n v="407.01"/>
    <x v="1"/>
    <n v="1221.03"/>
    <x v="326"/>
  </r>
  <r>
    <x v="1233"/>
    <x v="1226"/>
    <x v="0"/>
    <x v="1"/>
    <n v="345.91"/>
    <x v="3"/>
    <n v="691.82"/>
    <x v="45"/>
  </r>
  <r>
    <x v="1234"/>
    <x v="1227"/>
    <x v="2"/>
    <x v="1"/>
    <n v="116.87"/>
    <x v="0"/>
    <n v="467.48"/>
    <x v="255"/>
  </r>
  <r>
    <x v="1235"/>
    <x v="1228"/>
    <x v="0"/>
    <x v="3"/>
    <n v="100.83"/>
    <x v="3"/>
    <n v="201.66"/>
    <x v="303"/>
  </r>
  <r>
    <x v="1236"/>
    <x v="1229"/>
    <x v="0"/>
    <x v="3"/>
    <n v="298.51"/>
    <x v="3"/>
    <n v="597.02"/>
    <x v="8"/>
  </r>
  <r>
    <x v="1237"/>
    <x v="1230"/>
    <x v="1"/>
    <x v="0"/>
    <n v="337.07"/>
    <x v="0"/>
    <n v="1348.28"/>
    <x v="192"/>
  </r>
  <r>
    <x v="1238"/>
    <x v="1231"/>
    <x v="1"/>
    <x v="1"/>
    <n v="259.47000000000003"/>
    <x v="3"/>
    <n v="518.94000000000005"/>
    <x v="259"/>
  </r>
  <r>
    <x v="1239"/>
    <x v="1232"/>
    <x v="0"/>
    <x v="0"/>
    <n v="411.77"/>
    <x v="4"/>
    <n v="411.77"/>
    <x v="310"/>
  </r>
  <r>
    <x v="1240"/>
    <x v="1233"/>
    <x v="0"/>
    <x v="4"/>
    <n v="212.28"/>
    <x v="1"/>
    <n v="636.84"/>
    <x v="364"/>
  </r>
  <r>
    <x v="1241"/>
    <x v="1234"/>
    <x v="2"/>
    <x v="3"/>
    <n v="59.69"/>
    <x v="0"/>
    <n v="238.76"/>
    <x v="204"/>
  </r>
  <r>
    <x v="1242"/>
    <x v="1235"/>
    <x v="2"/>
    <x v="3"/>
    <n v="450.92"/>
    <x v="3"/>
    <n v="901.84"/>
    <x v="147"/>
  </r>
  <r>
    <x v="1243"/>
    <x v="1236"/>
    <x v="0"/>
    <x v="0"/>
    <n v="147.05000000000001"/>
    <x v="4"/>
    <n v="147.05000000000001"/>
    <x v="371"/>
  </r>
  <r>
    <x v="1244"/>
    <x v="1237"/>
    <x v="0"/>
    <x v="3"/>
    <n v="429.77"/>
    <x v="4"/>
    <n v="429.77"/>
    <x v="381"/>
  </r>
  <r>
    <x v="1245"/>
    <x v="1238"/>
    <x v="0"/>
    <x v="3"/>
    <n v="202.83"/>
    <x v="1"/>
    <n v="608.49"/>
    <x v="145"/>
  </r>
  <r>
    <x v="1246"/>
    <x v="1239"/>
    <x v="0"/>
    <x v="1"/>
    <n v="423.31"/>
    <x v="4"/>
    <n v="423.31"/>
    <x v="75"/>
  </r>
  <r>
    <x v="1247"/>
    <x v="1240"/>
    <x v="1"/>
    <x v="2"/>
    <n v="263.54000000000002"/>
    <x v="3"/>
    <n v="527.08000000000004"/>
    <x v="190"/>
  </r>
  <r>
    <x v="1248"/>
    <x v="1241"/>
    <x v="1"/>
    <x v="3"/>
    <n v="50.54"/>
    <x v="3"/>
    <n v="101.08"/>
    <x v="5"/>
  </r>
  <r>
    <x v="1249"/>
    <x v="1242"/>
    <x v="0"/>
    <x v="3"/>
    <n v="49.25"/>
    <x v="3"/>
    <n v="98.5"/>
    <x v="107"/>
  </r>
  <r>
    <x v="1250"/>
    <x v="1243"/>
    <x v="0"/>
    <x v="2"/>
    <n v="82.96"/>
    <x v="2"/>
    <n v="414.8"/>
    <x v="56"/>
  </r>
  <r>
    <x v="1251"/>
    <x v="1244"/>
    <x v="1"/>
    <x v="3"/>
    <n v="361.34"/>
    <x v="4"/>
    <n v="361.34"/>
    <x v="59"/>
  </r>
  <r>
    <x v="1252"/>
    <x v="1245"/>
    <x v="2"/>
    <x v="4"/>
    <n v="302.5"/>
    <x v="4"/>
    <n v="302.5"/>
    <x v="141"/>
  </r>
  <r>
    <x v="1253"/>
    <x v="1246"/>
    <x v="0"/>
    <x v="0"/>
    <n v="297.60000000000002"/>
    <x v="0"/>
    <n v="1190.4000000000001"/>
    <x v="45"/>
  </r>
  <r>
    <x v="1254"/>
    <x v="1247"/>
    <x v="2"/>
    <x v="2"/>
    <n v="21.14"/>
    <x v="2"/>
    <n v="105.7"/>
    <x v="374"/>
  </r>
  <r>
    <x v="1255"/>
    <x v="1248"/>
    <x v="2"/>
    <x v="3"/>
    <n v="382.53"/>
    <x v="4"/>
    <n v="382.53"/>
    <x v="369"/>
  </r>
  <r>
    <x v="1256"/>
    <x v="1249"/>
    <x v="1"/>
    <x v="2"/>
    <n v="385.96"/>
    <x v="0"/>
    <n v="1543.84"/>
    <x v="312"/>
  </r>
  <r>
    <x v="1257"/>
    <x v="1250"/>
    <x v="0"/>
    <x v="4"/>
    <n v="371.5"/>
    <x v="4"/>
    <n v="371.5"/>
    <x v="105"/>
  </r>
  <r>
    <x v="1258"/>
    <x v="1251"/>
    <x v="1"/>
    <x v="4"/>
    <n v="21.4"/>
    <x v="4"/>
    <n v="21.4"/>
    <x v="3"/>
  </r>
  <r>
    <x v="1259"/>
    <x v="1252"/>
    <x v="1"/>
    <x v="0"/>
    <n v="232.86"/>
    <x v="1"/>
    <n v="698.58"/>
    <x v="380"/>
  </r>
  <r>
    <x v="1260"/>
    <x v="1253"/>
    <x v="2"/>
    <x v="2"/>
    <n v="240.91"/>
    <x v="2"/>
    <n v="1204.55"/>
    <x v="322"/>
  </r>
  <r>
    <x v="1261"/>
    <x v="1254"/>
    <x v="1"/>
    <x v="3"/>
    <n v="354.5"/>
    <x v="0"/>
    <n v="1418"/>
    <x v="312"/>
  </r>
  <r>
    <x v="1262"/>
    <x v="1255"/>
    <x v="2"/>
    <x v="0"/>
    <n v="386.36"/>
    <x v="3"/>
    <n v="772.72"/>
    <x v="24"/>
  </r>
  <r>
    <x v="1263"/>
    <x v="1256"/>
    <x v="0"/>
    <x v="0"/>
    <n v="209.87"/>
    <x v="3"/>
    <n v="419.74"/>
    <x v="141"/>
  </r>
  <r>
    <x v="1264"/>
    <x v="1257"/>
    <x v="0"/>
    <x v="4"/>
    <n v="92.96"/>
    <x v="0"/>
    <n v="371.84"/>
    <x v="188"/>
  </r>
  <r>
    <x v="1265"/>
    <x v="1258"/>
    <x v="1"/>
    <x v="3"/>
    <n v="246.6"/>
    <x v="3"/>
    <n v="493.2"/>
    <x v="364"/>
  </r>
  <r>
    <x v="1266"/>
    <x v="1259"/>
    <x v="1"/>
    <x v="0"/>
    <n v="248.44"/>
    <x v="3"/>
    <n v="496.88"/>
    <x v="347"/>
  </r>
  <r>
    <x v="1267"/>
    <x v="1260"/>
    <x v="2"/>
    <x v="3"/>
    <n v="258.93"/>
    <x v="0"/>
    <n v="1035.72"/>
    <x v="82"/>
  </r>
  <r>
    <x v="1268"/>
    <x v="1261"/>
    <x v="0"/>
    <x v="1"/>
    <n v="235.12"/>
    <x v="2"/>
    <n v="1175.5999999999999"/>
    <x v="325"/>
  </r>
  <r>
    <x v="1269"/>
    <x v="1262"/>
    <x v="1"/>
    <x v="4"/>
    <n v="13.07"/>
    <x v="2"/>
    <n v="65.349999999999994"/>
    <x v="321"/>
  </r>
  <r>
    <x v="1270"/>
    <x v="1263"/>
    <x v="0"/>
    <x v="4"/>
    <n v="256.01"/>
    <x v="2"/>
    <n v="1280.05"/>
    <x v="57"/>
  </r>
  <r>
    <x v="1271"/>
    <x v="1264"/>
    <x v="0"/>
    <x v="1"/>
    <n v="410.82"/>
    <x v="0"/>
    <n v="1643.28"/>
    <x v="21"/>
  </r>
  <r>
    <x v="1272"/>
    <x v="1265"/>
    <x v="0"/>
    <x v="0"/>
    <n v="244.99"/>
    <x v="2"/>
    <n v="1224.95"/>
    <x v="213"/>
  </r>
  <r>
    <x v="1273"/>
    <x v="1266"/>
    <x v="2"/>
    <x v="4"/>
    <n v="190.96"/>
    <x v="2"/>
    <n v="954.8"/>
    <x v="382"/>
  </r>
  <r>
    <x v="1274"/>
    <x v="1267"/>
    <x v="1"/>
    <x v="4"/>
    <n v="42.15"/>
    <x v="4"/>
    <n v="42.15"/>
    <x v="83"/>
  </r>
  <r>
    <x v="1275"/>
    <x v="1268"/>
    <x v="1"/>
    <x v="3"/>
    <n v="167.99"/>
    <x v="2"/>
    <n v="839.95"/>
    <x v="381"/>
  </r>
  <r>
    <x v="1276"/>
    <x v="1269"/>
    <x v="0"/>
    <x v="4"/>
    <n v="343.1"/>
    <x v="1"/>
    <n v="1029.3"/>
    <x v="378"/>
  </r>
  <r>
    <x v="1277"/>
    <x v="1270"/>
    <x v="1"/>
    <x v="4"/>
    <n v="468.11"/>
    <x v="1"/>
    <n v="1404.33"/>
    <x v="124"/>
  </r>
  <r>
    <x v="1278"/>
    <x v="1271"/>
    <x v="2"/>
    <x v="1"/>
    <n v="422.41"/>
    <x v="4"/>
    <n v="422.41"/>
    <x v="2"/>
  </r>
  <r>
    <x v="1279"/>
    <x v="1272"/>
    <x v="1"/>
    <x v="3"/>
    <n v="279.89"/>
    <x v="2"/>
    <n v="1399.45"/>
    <x v="383"/>
  </r>
  <r>
    <x v="1280"/>
    <x v="1273"/>
    <x v="0"/>
    <x v="1"/>
    <n v="415.34"/>
    <x v="4"/>
    <n v="415.34"/>
    <x v="16"/>
  </r>
  <r>
    <x v="1281"/>
    <x v="1274"/>
    <x v="2"/>
    <x v="1"/>
    <n v="265.24"/>
    <x v="0"/>
    <n v="1060.96"/>
    <x v="384"/>
  </r>
  <r>
    <x v="1282"/>
    <x v="1275"/>
    <x v="2"/>
    <x v="4"/>
    <n v="152.85"/>
    <x v="0"/>
    <n v="611.4"/>
    <x v="375"/>
  </r>
  <r>
    <x v="1283"/>
    <x v="1276"/>
    <x v="0"/>
    <x v="3"/>
    <n v="398.41"/>
    <x v="4"/>
    <n v="398.41"/>
    <x v="197"/>
  </r>
  <r>
    <x v="1284"/>
    <x v="1277"/>
    <x v="0"/>
    <x v="2"/>
    <n v="157.38999999999999"/>
    <x v="4"/>
    <n v="157.38999999999999"/>
    <x v="309"/>
  </r>
  <r>
    <x v="1285"/>
    <x v="1278"/>
    <x v="1"/>
    <x v="0"/>
    <n v="363.54"/>
    <x v="2"/>
    <n v="1817.7"/>
    <x v="365"/>
  </r>
  <r>
    <x v="1286"/>
    <x v="1279"/>
    <x v="0"/>
    <x v="3"/>
    <n v="86.99"/>
    <x v="1"/>
    <n v="260.97000000000003"/>
    <x v="156"/>
  </r>
  <r>
    <x v="1287"/>
    <x v="1280"/>
    <x v="2"/>
    <x v="3"/>
    <n v="320.72000000000003"/>
    <x v="1"/>
    <n v="962.16"/>
    <x v="125"/>
  </r>
  <r>
    <x v="1288"/>
    <x v="1281"/>
    <x v="0"/>
    <x v="0"/>
    <n v="444.04"/>
    <x v="0"/>
    <n v="1776.16"/>
    <x v="25"/>
  </r>
  <r>
    <x v="1289"/>
    <x v="1282"/>
    <x v="0"/>
    <x v="0"/>
    <n v="166.6"/>
    <x v="3"/>
    <n v="333.2"/>
    <x v="98"/>
  </r>
  <r>
    <x v="1290"/>
    <x v="1283"/>
    <x v="2"/>
    <x v="0"/>
    <n v="204.21"/>
    <x v="0"/>
    <n v="816.84"/>
    <x v="95"/>
  </r>
  <r>
    <x v="1291"/>
    <x v="1284"/>
    <x v="1"/>
    <x v="1"/>
    <n v="269.35000000000002"/>
    <x v="2"/>
    <n v="1346.75"/>
    <x v="249"/>
  </r>
  <r>
    <x v="1292"/>
    <x v="1285"/>
    <x v="1"/>
    <x v="3"/>
    <n v="305.93"/>
    <x v="3"/>
    <n v="611.86"/>
    <x v="95"/>
  </r>
  <r>
    <x v="1293"/>
    <x v="1286"/>
    <x v="0"/>
    <x v="3"/>
    <n v="346.14"/>
    <x v="2"/>
    <n v="1730.7"/>
    <x v="84"/>
  </r>
  <r>
    <x v="1294"/>
    <x v="1287"/>
    <x v="0"/>
    <x v="4"/>
    <n v="326.33999999999997"/>
    <x v="2"/>
    <n v="1631.7"/>
    <x v="354"/>
  </r>
  <r>
    <x v="1295"/>
    <x v="1288"/>
    <x v="0"/>
    <x v="4"/>
    <n v="128.91"/>
    <x v="0"/>
    <n v="515.64"/>
    <x v="261"/>
  </r>
  <r>
    <x v="1296"/>
    <x v="1289"/>
    <x v="2"/>
    <x v="2"/>
    <n v="131.06"/>
    <x v="2"/>
    <n v="655.29999999999995"/>
    <x v="31"/>
  </r>
  <r>
    <x v="1297"/>
    <x v="1290"/>
    <x v="2"/>
    <x v="4"/>
    <n v="93.18"/>
    <x v="3"/>
    <n v="186.36"/>
    <x v="163"/>
  </r>
  <r>
    <x v="1298"/>
    <x v="1291"/>
    <x v="1"/>
    <x v="1"/>
    <n v="314.54000000000002"/>
    <x v="0"/>
    <n v="1258.1600000000001"/>
    <x v="385"/>
  </r>
  <r>
    <x v="1299"/>
    <x v="1292"/>
    <x v="1"/>
    <x v="1"/>
    <n v="145.44999999999999"/>
    <x v="0"/>
    <n v="581.79999999999995"/>
    <x v="352"/>
  </r>
  <r>
    <x v="1300"/>
    <x v="1293"/>
    <x v="2"/>
    <x v="1"/>
    <n v="153.19"/>
    <x v="3"/>
    <n v="306.38"/>
    <x v="24"/>
  </r>
  <r>
    <x v="1301"/>
    <x v="1294"/>
    <x v="1"/>
    <x v="4"/>
    <n v="342.5"/>
    <x v="0"/>
    <n v="1370"/>
    <x v="193"/>
  </r>
  <r>
    <x v="1302"/>
    <x v="1295"/>
    <x v="1"/>
    <x v="1"/>
    <n v="278.3"/>
    <x v="3"/>
    <n v="556.6"/>
    <x v="386"/>
  </r>
  <r>
    <x v="1303"/>
    <x v="1296"/>
    <x v="1"/>
    <x v="1"/>
    <n v="181.18"/>
    <x v="2"/>
    <n v="905.9"/>
    <x v="163"/>
  </r>
  <r>
    <x v="1304"/>
    <x v="1297"/>
    <x v="0"/>
    <x v="3"/>
    <n v="454.71"/>
    <x v="2"/>
    <n v="2273.5500000000002"/>
    <x v="139"/>
  </r>
  <r>
    <x v="1305"/>
    <x v="1298"/>
    <x v="1"/>
    <x v="2"/>
    <n v="153.4"/>
    <x v="4"/>
    <n v="153.4"/>
    <x v="247"/>
  </r>
  <r>
    <x v="1306"/>
    <x v="1299"/>
    <x v="2"/>
    <x v="0"/>
    <n v="354.88"/>
    <x v="3"/>
    <n v="709.76"/>
    <x v="101"/>
  </r>
  <r>
    <x v="1307"/>
    <x v="1300"/>
    <x v="2"/>
    <x v="3"/>
    <n v="80.55"/>
    <x v="0"/>
    <n v="322.2"/>
    <x v="80"/>
  </r>
  <r>
    <x v="1308"/>
    <x v="1301"/>
    <x v="2"/>
    <x v="0"/>
    <n v="26.77"/>
    <x v="2"/>
    <n v="133.85"/>
    <x v="376"/>
  </r>
  <r>
    <x v="1309"/>
    <x v="1302"/>
    <x v="0"/>
    <x v="0"/>
    <n v="434.94"/>
    <x v="2"/>
    <n v="2174.6999999999998"/>
    <x v="157"/>
  </r>
  <r>
    <x v="1310"/>
    <x v="1303"/>
    <x v="2"/>
    <x v="3"/>
    <n v="14.83"/>
    <x v="3"/>
    <n v="29.66"/>
    <x v="171"/>
  </r>
  <r>
    <x v="1311"/>
    <x v="1304"/>
    <x v="0"/>
    <x v="1"/>
    <n v="81.12"/>
    <x v="2"/>
    <n v="405.6"/>
    <x v="9"/>
  </r>
  <r>
    <x v="1312"/>
    <x v="1305"/>
    <x v="0"/>
    <x v="0"/>
    <n v="396.61"/>
    <x v="1"/>
    <n v="1189.83"/>
    <x v="169"/>
  </r>
  <r>
    <x v="1313"/>
    <x v="1306"/>
    <x v="2"/>
    <x v="3"/>
    <n v="138.11000000000001"/>
    <x v="3"/>
    <n v="276.22000000000003"/>
    <x v="205"/>
  </r>
  <r>
    <x v="1314"/>
    <x v="1307"/>
    <x v="2"/>
    <x v="0"/>
    <n v="196.66"/>
    <x v="3"/>
    <n v="393.32"/>
    <x v="387"/>
  </r>
  <r>
    <x v="1315"/>
    <x v="1308"/>
    <x v="1"/>
    <x v="0"/>
    <n v="398.97"/>
    <x v="4"/>
    <n v="398.97"/>
    <x v="386"/>
  </r>
  <r>
    <x v="1316"/>
    <x v="1309"/>
    <x v="2"/>
    <x v="1"/>
    <n v="400.67"/>
    <x v="3"/>
    <n v="801.34"/>
    <x v="373"/>
  </r>
  <r>
    <x v="1317"/>
    <x v="1310"/>
    <x v="0"/>
    <x v="1"/>
    <n v="272.14999999999998"/>
    <x v="1"/>
    <n v="816.45"/>
    <x v="93"/>
  </r>
  <r>
    <x v="1318"/>
    <x v="1311"/>
    <x v="2"/>
    <x v="3"/>
    <n v="404.13"/>
    <x v="3"/>
    <n v="808.26"/>
    <x v="141"/>
  </r>
  <r>
    <x v="1319"/>
    <x v="1312"/>
    <x v="2"/>
    <x v="0"/>
    <n v="188.57"/>
    <x v="3"/>
    <n v="377.14"/>
    <x v="40"/>
  </r>
  <r>
    <x v="1320"/>
    <x v="1313"/>
    <x v="2"/>
    <x v="0"/>
    <n v="358.42"/>
    <x v="1"/>
    <n v="1075.26"/>
    <x v="350"/>
  </r>
  <r>
    <x v="1321"/>
    <x v="1314"/>
    <x v="0"/>
    <x v="3"/>
    <n v="410.89"/>
    <x v="2"/>
    <n v="2054.4499999999998"/>
    <x v="140"/>
  </r>
  <r>
    <x v="1322"/>
    <x v="1315"/>
    <x v="1"/>
    <x v="0"/>
    <n v="43.94"/>
    <x v="0"/>
    <n v="175.76"/>
    <x v="46"/>
  </r>
  <r>
    <x v="1323"/>
    <x v="1316"/>
    <x v="0"/>
    <x v="2"/>
    <n v="283.19"/>
    <x v="4"/>
    <n v="283.19"/>
    <x v="173"/>
  </r>
  <r>
    <x v="1324"/>
    <x v="1317"/>
    <x v="2"/>
    <x v="4"/>
    <n v="142.88999999999999"/>
    <x v="1"/>
    <n v="428.67"/>
    <x v="147"/>
  </r>
  <r>
    <x v="1325"/>
    <x v="1318"/>
    <x v="0"/>
    <x v="0"/>
    <n v="388.09"/>
    <x v="2"/>
    <n v="1940.45"/>
    <x v="347"/>
  </r>
  <r>
    <x v="1326"/>
    <x v="1319"/>
    <x v="1"/>
    <x v="1"/>
    <n v="407.51"/>
    <x v="0"/>
    <n v="1630.04"/>
    <x v="128"/>
  </r>
  <r>
    <x v="1327"/>
    <x v="1320"/>
    <x v="1"/>
    <x v="1"/>
    <n v="279.61"/>
    <x v="3"/>
    <n v="559.22"/>
    <x v="165"/>
  </r>
  <r>
    <x v="1328"/>
    <x v="1321"/>
    <x v="1"/>
    <x v="4"/>
    <n v="334.28"/>
    <x v="4"/>
    <n v="334.28"/>
    <x v="68"/>
  </r>
  <r>
    <x v="1329"/>
    <x v="1322"/>
    <x v="0"/>
    <x v="3"/>
    <n v="292.64999999999998"/>
    <x v="0"/>
    <n v="1170.5999999999999"/>
    <x v="309"/>
  </r>
  <r>
    <x v="1330"/>
    <x v="1323"/>
    <x v="0"/>
    <x v="3"/>
    <n v="361.9"/>
    <x v="4"/>
    <n v="361.9"/>
    <x v="111"/>
  </r>
  <r>
    <x v="1331"/>
    <x v="1324"/>
    <x v="1"/>
    <x v="4"/>
    <n v="107.64"/>
    <x v="1"/>
    <n v="322.92"/>
    <x v="236"/>
  </r>
  <r>
    <x v="1332"/>
    <x v="1325"/>
    <x v="0"/>
    <x v="2"/>
    <n v="161.47"/>
    <x v="2"/>
    <n v="807.35"/>
    <x v="250"/>
  </r>
  <r>
    <x v="1333"/>
    <x v="1326"/>
    <x v="1"/>
    <x v="1"/>
    <n v="149.16"/>
    <x v="2"/>
    <n v="745.8"/>
    <x v="212"/>
  </r>
  <r>
    <x v="1334"/>
    <x v="1327"/>
    <x v="0"/>
    <x v="0"/>
    <n v="238.48"/>
    <x v="4"/>
    <n v="238.48"/>
    <x v="305"/>
  </r>
  <r>
    <x v="1335"/>
    <x v="1328"/>
    <x v="1"/>
    <x v="3"/>
    <n v="336.61"/>
    <x v="4"/>
    <n v="336.61"/>
    <x v="388"/>
  </r>
  <r>
    <x v="1336"/>
    <x v="1329"/>
    <x v="2"/>
    <x v="1"/>
    <n v="20.3"/>
    <x v="1"/>
    <n v="60.9"/>
    <x v="344"/>
  </r>
  <r>
    <x v="1337"/>
    <x v="1330"/>
    <x v="0"/>
    <x v="3"/>
    <n v="393.41"/>
    <x v="2"/>
    <n v="1967.05"/>
    <x v="6"/>
  </r>
  <r>
    <x v="1338"/>
    <x v="1331"/>
    <x v="2"/>
    <x v="1"/>
    <n v="388.25"/>
    <x v="2"/>
    <n v="1941.25"/>
    <x v="314"/>
  </r>
  <r>
    <x v="1339"/>
    <x v="1332"/>
    <x v="2"/>
    <x v="4"/>
    <n v="143.91999999999999"/>
    <x v="2"/>
    <n v="719.6"/>
    <x v="141"/>
  </r>
  <r>
    <x v="1340"/>
    <x v="1333"/>
    <x v="0"/>
    <x v="0"/>
    <n v="205.64"/>
    <x v="1"/>
    <n v="616.91999999999996"/>
    <x v="176"/>
  </r>
  <r>
    <x v="1341"/>
    <x v="1334"/>
    <x v="1"/>
    <x v="0"/>
    <n v="89.34"/>
    <x v="2"/>
    <n v="446.7"/>
    <x v="288"/>
  </r>
  <r>
    <x v="1342"/>
    <x v="1335"/>
    <x v="2"/>
    <x v="2"/>
    <n v="410.28"/>
    <x v="1"/>
    <n v="1230.8399999999999"/>
    <x v="253"/>
  </r>
  <r>
    <x v="1343"/>
    <x v="1336"/>
    <x v="2"/>
    <x v="4"/>
    <n v="334.7"/>
    <x v="3"/>
    <n v="669.4"/>
    <x v="241"/>
  </r>
  <r>
    <x v="1344"/>
    <x v="1337"/>
    <x v="2"/>
    <x v="4"/>
    <n v="485.86"/>
    <x v="4"/>
    <n v="485.86"/>
    <x v="205"/>
  </r>
  <r>
    <x v="1345"/>
    <x v="1338"/>
    <x v="0"/>
    <x v="2"/>
    <n v="342.11"/>
    <x v="3"/>
    <n v="684.22"/>
    <x v="191"/>
  </r>
  <r>
    <x v="1346"/>
    <x v="1339"/>
    <x v="0"/>
    <x v="2"/>
    <n v="380.23"/>
    <x v="2"/>
    <n v="1901.15"/>
    <x v="309"/>
  </r>
  <r>
    <x v="1347"/>
    <x v="1340"/>
    <x v="0"/>
    <x v="2"/>
    <n v="113.32"/>
    <x v="3"/>
    <n v="226.64"/>
    <x v="234"/>
  </r>
  <r>
    <x v="1348"/>
    <x v="1341"/>
    <x v="0"/>
    <x v="1"/>
    <n v="33.25"/>
    <x v="4"/>
    <n v="33.25"/>
    <x v="379"/>
  </r>
  <r>
    <x v="1349"/>
    <x v="1342"/>
    <x v="1"/>
    <x v="3"/>
    <n v="425.62"/>
    <x v="3"/>
    <n v="851.24"/>
    <x v="286"/>
  </r>
  <r>
    <x v="1350"/>
    <x v="1343"/>
    <x v="0"/>
    <x v="4"/>
    <n v="423.28"/>
    <x v="4"/>
    <n v="423.28"/>
    <x v="143"/>
  </r>
  <r>
    <x v="1351"/>
    <x v="1344"/>
    <x v="0"/>
    <x v="0"/>
    <n v="34.630000000000003"/>
    <x v="1"/>
    <n v="103.89"/>
    <x v="185"/>
  </r>
  <r>
    <x v="1352"/>
    <x v="1345"/>
    <x v="1"/>
    <x v="4"/>
    <n v="12.1"/>
    <x v="3"/>
    <n v="24.2"/>
    <x v="290"/>
  </r>
  <r>
    <x v="1353"/>
    <x v="1346"/>
    <x v="2"/>
    <x v="1"/>
    <n v="373.29"/>
    <x v="1"/>
    <n v="1119.8699999999999"/>
    <x v="167"/>
  </r>
  <r>
    <x v="1354"/>
    <x v="1347"/>
    <x v="2"/>
    <x v="1"/>
    <n v="410.57"/>
    <x v="3"/>
    <n v="821.14"/>
    <x v="178"/>
  </r>
  <r>
    <x v="1355"/>
    <x v="1348"/>
    <x v="0"/>
    <x v="4"/>
    <n v="183.84"/>
    <x v="0"/>
    <n v="735.36"/>
    <x v="151"/>
  </r>
  <r>
    <x v="1356"/>
    <x v="1349"/>
    <x v="1"/>
    <x v="4"/>
    <n v="173.04"/>
    <x v="3"/>
    <n v="346.08"/>
    <x v="0"/>
  </r>
  <r>
    <x v="1357"/>
    <x v="1350"/>
    <x v="2"/>
    <x v="4"/>
    <n v="12.94"/>
    <x v="1"/>
    <n v="38.82"/>
    <x v="245"/>
  </r>
  <r>
    <x v="1358"/>
    <x v="1351"/>
    <x v="0"/>
    <x v="4"/>
    <n v="23.46"/>
    <x v="0"/>
    <n v="93.84"/>
    <x v="192"/>
  </r>
  <r>
    <x v="1359"/>
    <x v="1352"/>
    <x v="0"/>
    <x v="1"/>
    <n v="494.22"/>
    <x v="2"/>
    <n v="2471.1"/>
    <x v="176"/>
  </r>
  <r>
    <x v="1360"/>
    <x v="1353"/>
    <x v="2"/>
    <x v="4"/>
    <n v="385.12"/>
    <x v="1"/>
    <n v="1155.3599999999999"/>
    <x v="64"/>
  </r>
  <r>
    <x v="1361"/>
    <x v="1354"/>
    <x v="0"/>
    <x v="4"/>
    <n v="246.48"/>
    <x v="0"/>
    <n v="985.92"/>
    <x v="37"/>
  </r>
  <r>
    <x v="1362"/>
    <x v="1355"/>
    <x v="2"/>
    <x v="1"/>
    <n v="292.58"/>
    <x v="3"/>
    <n v="585.16"/>
    <x v="310"/>
  </r>
  <r>
    <x v="1363"/>
    <x v="1356"/>
    <x v="1"/>
    <x v="0"/>
    <n v="24.73"/>
    <x v="1"/>
    <n v="74.19"/>
    <x v="374"/>
  </r>
  <r>
    <x v="1364"/>
    <x v="1357"/>
    <x v="0"/>
    <x v="4"/>
    <n v="189.16"/>
    <x v="2"/>
    <n v="945.8"/>
    <x v="203"/>
  </r>
  <r>
    <x v="1365"/>
    <x v="1358"/>
    <x v="2"/>
    <x v="2"/>
    <n v="126.19"/>
    <x v="1"/>
    <n v="378.57"/>
    <x v="341"/>
  </r>
  <r>
    <x v="1366"/>
    <x v="1359"/>
    <x v="2"/>
    <x v="0"/>
    <n v="394.67"/>
    <x v="3"/>
    <n v="789.34"/>
    <x v="8"/>
  </r>
  <r>
    <x v="1367"/>
    <x v="1360"/>
    <x v="0"/>
    <x v="0"/>
    <n v="68.61"/>
    <x v="0"/>
    <n v="274.44"/>
    <x v="307"/>
  </r>
  <r>
    <x v="1368"/>
    <x v="1361"/>
    <x v="1"/>
    <x v="3"/>
    <n v="190.74"/>
    <x v="4"/>
    <n v="190.74"/>
    <x v="4"/>
  </r>
  <r>
    <x v="1369"/>
    <x v="1362"/>
    <x v="2"/>
    <x v="2"/>
    <n v="42.37"/>
    <x v="0"/>
    <n v="169.48"/>
    <x v="304"/>
  </r>
  <r>
    <x v="1370"/>
    <x v="1363"/>
    <x v="1"/>
    <x v="1"/>
    <n v="79.59"/>
    <x v="2"/>
    <n v="397.95"/>
    <x v="247"/>
  </r>
  <r>
    <x v="1371"/>
    <x v="1364"/>
    <x v="0"/>
    <x v="3"/>
    <n v="278.19"/>
    <x v="0"/>
    <n v="1112.76"/>
    <x v="355"/>
  </r>
  <r>
    <x v="1372"/>
    <x v="1365"/>
    <x v="2"/>
    <x v="1"/>
    <n v="386.03"/>
    <x v="0"/>
    <n v="1544.12"/>
    <x v="306"/>
  </r>
  <r>
    <x v="1373"/>
    <x v="1366"/>
    <x v="2"/>
    <x v="2"/>
    <n v="216.48"/>
    <x v="2"/>
    <n v="1082.4000000000001"/>
    <x v="345"/>
  </r>
  <r>
    <x v="1374"/>
    <x v="1367"/>
    <x v="2"/>
    <x v="2"/>
    <n v="78.209999999999994"/>
    <x v="0"/>
    <n v="312.83999999999997"/>
    <x v="111"/>
  </r>
  <r>
    <x v="1375"/>
    <x v="1368"/>
    <x v="0"/>
    <x v="4"/>
    <n v="74.88"/>
    <x v="4"/>
    <n v="74.88"/>
    <x v="123"/>
  </r>
  <r>
    <x v="1376"/>
    <x v="1369"/>
    <x v="1"/>
    <x v="3"/>
    <n v="157.69"/>
    <x v="4"/>
    <n v="157.69"/>
    <x v="11"/>
  </r>
  <r>
    <x v="1377"/>
    <x v="1370"/>
    <x v="1"/>
    <x v="0"/>
    <n v="460.21"/>
    <x v="0"/>
    <n v="1840.84"/>
    <x v="326"/>
  </r>
  <r>
    <x v="1378"/>
    <x v="1371"/>
    <x v="1"/>
    <x v="1"/>
    <n v="214.05"/>
    <x v="4"/>
    <n v="214.05"/>
    <x v="291"/>
  </r>
  <r>
    <x v="1379"/>
    <x v="1372"/>
    <x v="0"/>
    <x v="4"/>
    <n v="326.33999999999997"/>
    <x v="2"/>
    <n v="1631.7"/>
    <x v="383"/>
  </r>
  <r>
    <x v="1380"/>
    <x v="1373"/>
    <x v="2"/>
    <x v="2"/>
    <n v="16.920000000000002"/>
    <x v="4"/>
    <n v="16.920000000000002"/>
    <x v="205"/>
  </r>
  <r>
    <x v="1381"/>
    <x v="1374"/>
    <x v="0"/>
    <x v="2"/>
    <n v="24.19"/>
    <x v="3"/>
    <n v="48.38"/>
    <x v="261"/>
  </r>
  <r>
    <x v="1382"/>
    <x v="1375"/>
    <x v="1"/>
    <x v="3"/>
    <n v="282.70999999999998"/>
    <x v="3"/>
    <n v="565.41999999999996"/>
    <x v="374"/>
  </r>
  <r>
    <x v="1383"/>
    <x v="1376"/>
    <x v="1"/>
    <x v="2"/>
    <n v="181.6"/>
    <x v="1"/>
    <n v="544.79999999999995"/>
    <x v="15"/>
  </r>
  <r>
    <x v="1384"/>
    <x v="1377"/>
    <x v="0"/>
    <x v="2"/>
    <n v="39.229999999999997"/>
    <x v="1"/>
    <n v="117.69"/>
    <x v="65"/>
  </r>
  <r>
    <x v="1385"/>
    <x v="1378"/>
    <x v="0"/>
    <x v="3"/>
    <n v="185.4"/>
    <x v="0"/>
    <n v="741.6"/>
    <x v="309"/>
  </r>
  <r>
    <x v="1386"/>
    <x v="1379"/>
    <x v="2"/>
    <x v="1"/>
    <n v="107.87"/>
    <x v="4"/>
    <n v="107.87"/>
    <x v="376"/>
  </r>
  <r>
    <x v="1387"/>
    <x v="1380"/>
    <x v="1"/>
    <x v="4"/>
    <n v="298.02999999999997"/>
    <x v="2"/>
    <n v="1490.15"/>
    <x v="20"/>
  </r>
  <r>
    <x v="1388"/>
    <x v="1381"/>
    <x v="0"/>
    <x v="0"/>
    <n v="170.13"/>
    <x v="1"/>
    <n v="510.39"/>
    <x v="86"/>
  </r>
  <r>
    <x v="1389"/>
    <x v="1382"/>
    <x v="1"/>
    <x v="2"/>
    <n v="310.10000000000002"/>
    <x v="1"/>
    <n v="930.3"/>
    <x v="213"/>
  </r>
  <r>
    <x v="1390"/>
    <x v="1383"/>
    <x v="1"/>
    <x v="1"/>
    <n v="126.17"/>
    <x v="4"/>
    <n v="126.17"/>
    <x v="86"/>
  </r>
  <r>
    <x v="1391"/>
    <x v="1384"/>
    <x v="2"/>
    <x v="0"/>
    <n v="109.96"/>
    <x v="0"/>
    <n v="439.84"/>
    <x v="134"/>
  </r>
  <r>
    <x v="1392"/>
    <x v="1385"/>
    <x v="2"/>
    <x v="0"/>
    <n v="301.92"/>
    <x v="3"/>
    <n v="603.84"/>
    <x v="366"/>
  </r>
  <r>
    <x v="1393"/>
    <x v="1386"/>
    <x v="1"/>
    <x v="2"/>
    <n v="243.94"/>
    <x v="3"/>
    <n v="487.88"/>
    <x v="313"/>
  </r>
  <r>
    <x v="1394"/>
    <x v="1387"/>
    <x v="2"/>
    <x v="0"/>
    <n v="182.35"/>
    <x v="4"/>
    <n v="182.35"/>
    <x v="122"/>
  </r>
  <r>
    <x v="1395"/>
    <x v="1388"/>
    <x v="2"/>
    <x v="4"/>
    <n v="77.349999999999994"/>
    <x v="0"/>
    <n v="309.39999999999998"/>
    <x v="338"/>
  </r>
  <r>
    <x v="1396"/>
    <x v="1389"/>
    <x v="1"/>
    <x v="0"/>
    <n v="295.89"/>
    <x v="2"/>
    <n v="1479.45"/>
    <x v="186"/>
  </r>
  <r>
    <x v="1397"/>
    <x v="1390"/>
    <x v="0"/>
    <x v="4"/>
    <n v="185.23"/>
    <x v="0"/>
    <n v="740.92"/>
    <x v="305"/>
  </r>
  <r>
    <x v="1398"/>
    <x v="1391"/>
    <x v="0"/>
    <x v="4"/>
    <n v="130.41999999999999"/>
    <x v="3"/>
    <n v="260.83999999999997"/>
    <x v="26"/>
  </r>
  <r>
    <x v="1399"/>
    <x v="1392"/>
    <x v="2"/>
    <x v="3"/>
    <n v="389.04"/>
    <x v="4"/>
    <n v="389.04"/>
    <x v="381"/>
  </r>
  <r>
    <x v="1400"/>
    <x v="1393"/>
    <x v="0"/>
    <x v="2"/>
    <n v="80.98"/>
    <x v="4"/>
    <n v="80.98"/>
    <x v="293"/>
  </r>
  <r>
    <x v="1401"/>
    <x v="1394"/>
    <x v="2"/>
    <x v="3"/>
    <n v="358.88"/>
    <x v="0"/>
    <n v="1435.52"/>
    <x v="211"/>
  </r>
  <r>
    <x v="1402"/>
    <x v="1395"/>
    <x v="0"/>
    <x v="4"/>
    <n v="492.06"/>
    <x v="4"/>
    <n v="492.06"/>
    <x v="167"/>
  </r>
  <r>
    <x v="1403"/>
    <x v="1396"/>
    <x v="2"/>
    <x v="0"/>
    <n v="47.42"/>
    <x v="4"/>
    <n v="47.42"/>
    <x v="283"/>
  </r>
  <r>
    <x v="1404"/>
    <x v="1397"/>
    <x v="1"/>
    <x v="4"/>
    <n v="93.83"/>
    <x v="0"/>
    <n v="375.32"/>
    <x v="174"/>
  </r>
  <r>
    <x v="1405"/>
    <x v="1398"/>
    <x v="1"/>
    <x v="3"/>
    <n v="166.32"/>
    <x v="2"/>
    <n v="831.6"/>
    <x v="234"/>
  </r>
  <r>
    <x v="1406"/>
    <x v="1399"/>
    <x v="1"/>
    <x v="1"/>
    <n v="441.61"/>
    <x v="2"/>
    <n v="2208.0500000000002"/>
    <x v="368"/>
  </r>
  <r>
    <x v="1407"/>
    <x v="1400"/>
    <x v="0"/>
    <x v="4"/>
    <n v="268.22000000000003"/>
    <x v="2"/>
    <n v="1341.1"/>
    <x v="385"/>
  </r>
  <r>
    <x v="1408"/>
    <x v="1401"/>
    <x v="2"/>
    <x v="3"/>
    <n v="400.08"/>
    <x v="0"/>
    <n v="1600.32"/>
    <x v="163"/>
  </r>
  <r>
    <x v="1409"/>
    <x v="1402"/>
    <x v="0"/>
    <x v="3"/>
    <n v="167.74"/>
    <x v="1"/>
    <n v="503.22"/>
    <x v="325"/>
  </r>
  <r>
    <x v="1410"/>
    <x v="1403"/>
    <x v="1"/>
    <x v="2"/>
    <n v="90.83"/>
    <x v="1"/>
    <n v="272.49"/>
    <x v="247"/>
  </r>
  <r>
    <x v="1411"/>
    <x v="1404"/>
    <x v="2"/>
    <x v="1"/>
    <n v="172.49"/>
    <x v="3"/>
    <n v="344.98"/>
    <x v="310"/>
  </r>
  <r>
    <x v="1412"/>
    <x v="888"/>
    <x v="1"/>
    <x v="4"/>
    <n v="106"/>
    <x v="2"/>
    <n v="530"/>
    <x v="389"/>
  </r>
  <r>
    <x v="1413"/>
    <x v="1405"/>
    <x v="2"/>
    <x v="4"/>
    <n v="416.74"/>
    <x v="2"/>
    <n v="2083.6999999999998"/>
    <x v="338"/>
  </r>
  <r>
    <x v="1414"/>
    <x v="1406"/>
    <x v="0"/>
    <x v="1"/>
    <n v="88.84"/>
    <x v="3"/>
    <n v="177.68"/>
    <x v="32"/>
  </r>
  <r>
    <x v="1415"/>
    <x v="1407"/>
    <x v="2"/>
    <x v="4"/>
    <n v="345.13"/>
    <x v="1"/>
    <n v="1035.3900000000001"/>
    <x v="261"/>
  </r>
  <r>
    <x v="1416"/>
    <x v="1408"/>
    <x v="1"/>
    <x v="1"/>
    <n v="234.87"/>
    <x v="4"/>
    <n v="234.87"/>
    <x v="375"/>
  </r>
  <r>
    <x v="1417"/>
    <x v="1409"/>
    <x v="0"/>
    <x v="2"/>
    <n v="188.42"/>
    <x v="4"/>
    <n v="188.42"/>
    <x v="272"/>
  </r>
  <r>
    <x v="1418"/>
    <x v="1410"/>
    <x v="2"/>
    <x v="3"/>
    <n v="331.16"/>
    <x v="2"/>
    <n v="1655.8"/>
    <x v="138"/>
  </r>
  <r>
    <x v="1419"/>
    <x v="1411"/>
    <x v="2"/>
    <x v="3"/>
    <n v="310.39999999999998"/>
    <x v="3"/>
    <n v="620.79999999999995"/>
    <x v="124"/>
  </r>
  <r>
    <x v="1420"/>
    <x v="1412"/>
    <x v="1"/>
    <x v="1"/>
    <n v="207.13"/>
    <x v="4"/>
    <n v="207.13"/>
    <x v="23"/>
  </r>
  <r>
    <x v="1421"/>
    <x v="1413"/>
    <x v="1"/>
    <x v="1"/>
    <n v="194.62"/>
    <x v="0"/>
    <n v="778.48"/>
    <x v="235"/>
  </r>
  <r>
    <x v="1422"/>
    <x v="1414"/>
    <x v="0"/>
    <x v="3"/>
    <n v="345.6"/>
    <x v="2"/>
    <n v="1728"/>
    <x v="95"/>
  </r>
  <r>
    <x v="1423"/>
    <x v="1415"/>
    <x v="0"/>
    <x v="0"/>
    <n v="162.53"/>
    <x v="4"/>
    <n v="162.53"/>
    <x v="354"/>
  </r>
  <r>
    <x v="1424"/>
    <x v="1416"/>
    <x v="0"/>
    <x v="3"/>
    <n v="383.87"/>
    <x v="0"/>
    <n v="1535.48"/>
    <x v="165"/>
  </r>
  <r>
    <x v="1425"/>
    <x v="1417"/>
    <x v="0"/>
    <x v="2"/>
    <n v="424"/>
    <x v="4"/>
    <n v="424"/>
    <x v="281"/>
  </r>
  <r>
    <x v="1426"/>
    <x v="1418"/>
    <x v="2"/>
    <x v="3"/>
    <n v="274.24"/>
    <x v="2"/>
    <n v="1371.2"/>
    <x v="15"/>
  </r>
  <r>
    <x v="1427"/>
    <x v="1419"/>
    <x v="2"/>
    <x v="3"/>
    <n v="211.66"/>
    <x v="4"/>
    <n v="211.66"/>
    <x v="103"/>
  </r>
  <r>
    <x v="1428"/>
    <x v="1420"/>
    <x v="1"/>
    <x v="2"/>
    <n v="233.74"/>
    <x v="0"/>
    <n v="934.96"/>
    <x v="160"/>
  </r>
  <r>
    <x v="1429"/>
    <x v="1421"/>
    <x v="1"/>
    <x v="0"/>
    <n v="232.51"/>
    <x v="0"/>
    <n v="930.04"/>
    <x v="185"/>
  </r>
  <r>
    <x v="1430"/>
    <x v="1422"/>
    <x v="1"/>
    <x v="2"/>
    <n v="230.73"/>
    <x v="3"/>
    <n v="461.46"/>
    <x v="263"/>
  </r>
  <r>
    <x v="1431"/>
    <x v="1423"/>
    <x v="0"/>
    <x v="3"/>
    <n v="34.79"/>
    <x v="4"/>
    <n v="34.79"/>
    <x v="374"/>
  </r>
  <r>
    <x v="1432"/>
    <x v="1424"/>
    <x v="2"/>
    <x v="3"/>
    <n v="327.39"/>
    <x v="0"/>
    <n v="1309.56"/>
    <x v="83"/>
  </r>
  <r>
    <x v="1433"/>
    <x v="1425"/>
    <x v="2"/>
    <x v="0"/>
    <n v="480.41"/>
    <x v="4"/>
    <n v="480.41"/>
    <x v="371"/>
  </r>
  <r>
    <x v="1434"/>
    <x v="1426"/>
    <x v="0"/>
    <x v="2"/>
    <n v="90.13"/>
    <x v="1"/>
    <n v="270.39"/>
    <x v="305"/>
  </r>
  <r>
    <x v="1435"/>
    <x v="1427"/>
    <x v="2"/>
    <x v="2"/>
    <n v="68.790000000000006"/>
    <x v="4"/>
    <n v="68.790000000000006"/>
    <x v="288"/>
  </r>
  <r>
    <x v="1436"/>
    <x v="1428"/>
    <x v="1"/>
    <x v="3"/>
    <n v="273.23"/>
    <x v="2"/>
    <n v="1366.15"/>
    <x v="198"/>
  </r>
  <r>
    <x v="1437"/>
    <x v="1429"/>
    <x v="1"/>
    <x v="0"/>
    <n v="413.65"/>
    <x v="2"/>
    <n v="2068.25"/>
    <x v="65"/>
  </r>
  <r>
    <x v="1438"/>
    <x v="1430"/>
    <x v="2"/>
    <x v="1"/>
    <n v="365.87"/>
    <x v="2"/>
    <n v="1829.35"/>
    <x v="95"/>
  </r>
  <r>
    <x v="1439"/>
    <x v="1203"/>
    <x v="1"/>
    <x v="2"/>
    <n v="209.24"/>
    <x v="0"/>
    <n v="836.96"/>
    <x v="334"/>
  </r>
  <r>
    <x v="1440"/>
    <x v="963"/>
    <x v="1"/>
    <x v="1"/>
    <n v="120.41"/>
    <x v="4"/>
    <n v="120.41"/>
    <x v="8"/>
  </r>
  <r>
    <x v="1441"/>
    <x v="1431"/>
    <x v="1"/>
    <x v="1"/>
    <n v="145.22999999999999"/>
    <x v="2"/>
    <n v="726.15"/>
    <x v="29"/>
  </r>
  <r>
    <x v="1442"/>
    <x v="1432"/>
    <x v="0"/>
    <x v="4"/>
    <n v="171.27"/>
    <x v="0"/>
    <n v="685.08"/>
    <x v="164"/>
  </r>
  <r>
    <x v="1443"/>
    <x v="1433"/>
    <x v="2"/>
    <x v="4"/>
    <n v="473.34"/>
    <x v="1"/>
    <n v="1420.02"/>
    <x v="98"/>
  </r>
  <r>
    <x v="1444"/>
    <x v="1434"/>
    <x v="1"/>
    <x v="1"/>
    <n v="65.52"/>
    <x v="4"/>
    <n v="65.52"/>
    <x v="288"/>
  </r>
  <r>
    <x v="1445"/>
    <x v="290"/>
    <x v="2"/>
    <x v="3"/>
    <n v="194.42"/>
    <x v="2"/>
    <n v="972.1"/>
    <x v="247"/>
  </r>
  <r>
    <x v="1446"/>
    <x v="1435"/>
    <x v="0"/>
    <x v="3"/>
    <n v="391.86"/>
    <x v="0"/>
    <n v="1567.44"/>
    <x v="122"/>
  </r>
  <r>
    <x v="1447"/>
    <x v="1436"/>
    <x v="2"/>
    <x v="3"/>
    <n v="45.45"/>
    <x v="0"/>
    <n v="181.8"/>
    <x v="293"/>
  </r>
  <r>
    <x v="1448"/>
    <x v="1437"/>
    <x v="1"/>
    <x v="3"/>
    <n v="376.77"/>
    <x v="1"/>
    <n v="1130.31"/>
    <x v="81"/>
  </r>
  <r>
    <x v="1449"/>
    <x v="1438"/>
    <x v="1"/>
    <x v="4"/>
    <n v="69.849999999999994"/>
    <x v="3"/>
    <n v="139.69999999999999"/>
    <x v="295"/>
  </r>
  <r>
    <x v="1450"/>
    <x v="1439"/>
    <x v="0"/>
    <x v="1"/>
    <n v="64.83"/>
    <x v="4"/>
    <n v="64.83"/>
    <x v="321"/>
  </r>
  <r>
    <x v="1451"/>
    <x v="1440"/>
    <x v="0"/>
    <x v="3"/>
    <n v="399.77"/>
    <x v="0"/>
    <n v="1599.08"/>
    <x v="189"/>
  </r>
  <r>
    <x v="1452"/>
    <x v="1441"/>
    <x v="2"/>
    <x v="2"/>
    <n v="73.849999999999994"/>
    <x v="4"/>
    <n v="73.849999999999994"/>
    <x v="343"/>
  </r>
  <r>
    <x v="1453"/>
    <x v="1442"/>
    <x v="2"/>
    <x v="3"/>
    <n v="296.94"/>
    <x v="4"/>
    <n v="296.94"/>
    <x v="321"/>
  </r>
  <r>
    <x v="1454"/>
    <x v="1443"/>
    <x v="1"/>
    <x v="4"/>
    <n v="304.55"/>
    <x v="2"/>
    <n v="1522.75"/>
    <x v="358"/>
  </r>
  <r>
    <x v="1455"/>
    <x v="1444"/>
    <x v="1"/>
    <x v="3"/>
    <n v="429.89"/>
    <x v="1"/>
    <n v="1289.67"/>
    <x v="325"/>
  </r>
  <r>
    <x v="1456"/>
    <x v="1445"/>
    <x v="2"/>
    <x v="2"/>
    <n v="21.13"/>
    <x v="0"/>
    <n v="84.52"/>
    <x v="11"/>
  </r>
  <r>
    <x v="1457"/>
    <x v="1446"/>
    <x v="2"/>
    <x v="3"/>
    <n v="278.82"/>
    <x v="4"/>
    <n v="278.82"/>
    <x v="162"/>
  </r>
  <r>
    <x v="1458"/>
    <x v="1447"/>
    <x v="0"/>
    <x v="1"/>
    <n v="474.71"/>
    <x v="1"/>
    <n v="1424.13"/>
    <x v="242"/>
  </r>
  <r>
    <x v="1459"/>
    <x v="1448"/>
    <x v="1"/>
    <x v="3"/>
    <n v="169.94"/>
    <x v="3"/>
    <n v="339.88"/>
    <x v="176"/>
  </r>
  <r>
    <x v="1460"/>
    <x v="1449"/>
    <x v="0"/>
    <x v="0"/>
    <n v="285.20999999999998"/>
    <x v="4"/>
    <n v="285.20999999999998"/>
    <x v="256"/>
  </r>
  <r>
    <x v="1461"/>
    <x v="1450"/>
    <x v="0"/>
    <x v="3"/>
    <n v="146.29"/>
    <x v="3"/>
    <n v="292.58"/>
    <x v="37"/>
  </r>
  <r>
    <x v="1462"/>
    <x v="1451"/>
    <x v="0"/>
    <x v="3"/>
    <n v="343.74"/>
    <x v="1"/>
    <n v="1031.22"/>
    <x v="182"/>
  </r>
  <r>
    <x v="1463"/>
    <x v="1452"/>
    <x v="2"/>
    <x v="4"/>
    <n v="105.85"/>
    <x v="2"/>
    <n v="529.25"/>
    <x v="283"/>
  </r>
  <r>
    <x v="1464"/>
    <x v="1453"/>
    <x v="1"/>
    <x v="0"/>
    <n v="59.61"/>
    <x v="3"/>
    <n v="119.22"/>
    <x v="251"/>
  </r>
  <r>
    <x v="1465"/>
    <x v="1454"/>
    <x v="0"/>
    <x v="2"/>
    <n v="175.94"/>
    <x v="4"/>
    <n v="175.94"/>
    <x v="337"/>
  </r>
  <r>
    <x v="1466"/>
    <x v="1455"/>
    <x v="2"/>
    <x v="2"/>
    <n v="116.11"/>
    <x v="2"/>
    <n v="580.54999999999995"/>
    <x v="390"/>
  </r>
  <r>
    <x v="1467"/>
    <x v="1456"/>
    <x v="0"/>
    <x v="2"/>
    <n v="119.6"/>
    <x v="1"/>
    <n v="358.8"/>
    <x v="350"/>
  </r>
  <r>
    <x v="1468"/>
    <x v="1457"/>
    <x v="2"/>
    <x v="0"/>
    <n v="409.64"/>
    <x v="0"/>
    <n v="1638.56"/>
    <x v="101"/>
  </r>
  <r>
    <x v="1469"/>
    <x v="1458"/>
    <x v="0"/>
    <x v="1"/>
    <n v="99.09"/>
    <x v="3"/>
    <n v="198.18"/>
    <x v="127"/>
  </r>
  <r>
    <x v="1470"/>
    <x v="1459"/>
    <x v="0"/>
    <x v="3"/>
    <n v="93.93"/>
    <x v="1"/>
    <n v="281.79000000000002"/>
    <x v="103"/>
  </r>
  <r>
    <x v="1471"/>
    <x v="1460"/>
    <x v="1"/>
    <x v="3"/>
    <n v="452.91"/>
    <x v="3"/>
    <n v="905.82"/>
    <x v="312"/>
  </r>
  <r>
    <x v="1472"/>
    <x v="1461"/>
    <x v="1"/>
    <x v="4"/>
    <n v="286.94"/>
    <x v="2"/>
    <n v="1434.7"/>
    <x v="318"/>
  </r>
  <r>
    <x v="1473"/>
    <x v="1462"/>
    <x v="0"/>
    <x v="2"/>
    <n v="250.32"/>
    <x v="3"/>
    <n v="500.64"/>
    <x v="17"/>
  </r>
  <r>
    <x v="1474"/>
    <x v="1463"/>
    <x v="2"/>
    <x v="3"/>
    <n v="182.36"/>
    <x v="0"/>
    <n v="729.44"/>
    <x v="180"/>
  </r>
  <r>
    <x v="1475"/>
    <x v="1464"/>
    <x v="2"/>
    <x v="3"/>
    <n v="191.61"/>
    <x v="0"/>
    <n v="766.44"/>
    <x v="362"/>
  </r>
  <r>
    <x v="1476"/>
    <x v="1465"/>
    <x v="0"/>
    <x v="1"/>
    <n v="146.93"/>
    <x v="2"/>
    <n v="734.65"/>
    <x v="205"/>
  </r>
  <r>
    <x v="1477"/>
    <x v="1466"/>
    <x v="1"/>
    <x v="4"/>
    <n v="380.32"/>
    <x v="0"/>
    <n v="1521.28"/>
    <x v="271"/>
  </r>
  <r>
    <x v="1478"/>
    <x v="1467"/>
    <x v="1"/>
    <x v="0"/>
    <n v="216.76"/>
    <x v="2"/>
    <n v="1083.8"/>
    <x v="89"/>
  </r>
  <r>
    <x v="1479"/>
    <x v="1468"/>
    <x v="2"/>
    <x v="4"/>
    <n v="203.05"/>
    <x v="2"/>
    <n v="1015.25"/>
    <x v="365"/>
  </r>
  <r>
    <x v="1480"/>
    <x v="1469"/>
    <x v="2"/>
    <x v="3"/>
    <n v="425.34"/>
    <x v="1"/>
    <n v="1276.02"/>
    <x v="272"/>
  </r>
  <r>
    <x v="1481"/>
    <x v="1399"/>
    <x v="1"/>
    <x v="2"/>
    <n v="259.95"/>
    <x v="1"/>
    <n v="779.85"/>
    <x v="257"/>
  </r>
  <r>
    <x v="1482"/>
    <x v="1470"/>
    <x v="1"/>
    <x v="0"/>
    <n v="175.2"/>
    <x v="0"/>
    <n v="700.8"/>
    <x v="233"/>
  </r>
  <r>
    <x v="1483"/>
    <x v="1471"/>
    <x v="2"/>
    <x v="0"/>
    <n v="251.29"/>
    <x v="3"/>
    <n v="502.58"/>
    <x v="40"/>
  </r>
  <r>
    <x v="1484"/>
    <x v="1472"/>
    <x v="0"/>
    <x v="1"/>
    <n v="56.26"/>
    <x v="2"/>
    <n v="281.3"/>
    <x v="364"/>
  </r>
  <r>
    <x v="1485"/>
    <x v="1473"/>
    <x v="2"/>
    <x v="4"/>
    <n v="375.39"/>
    <x v="2"/>
    <n v="1876.95"/>
    <x v="278"/>
  </r>
  <r>
    <x v="1486"/>
    <x v="1474"/>
    <x v="0"/>
    <x v="1"/>
    <n v="446.89"/>
    <x v="4"/>
    <n v="446.89"/>
    <x v="262"/>
  </r>
  <r>
    <x v="1487"/>
    <x v="1475"/>
    <x v="1"/>
    <x v="1"/>
    <n v="408.75"/>
    <x v="0"/>
    <n v="1635"/>
    <x v="298"/>
  </r>
  <r>
    <x v="1488"/>
    <x v="1476"/>
    <x v="0"/>
    <x v="0"/>
    <n v="104.46"/>
    <x v="1"/>
    <n v="313.38"/>
    <x v="342"/>
  </r>
  <r>
    <x v="1489"/>
    <x v="1477"/>
    <x v="0"/>
    <x v="4"/>
    <n v="239.18"/>
    <x v="1"/>
    <n v="717.54"/>
    <x v="129"/>
  </r>
  <r>
    <x v="1490"/>
    <x v="1478"/>
    <x v="1"/>
    <x v="0"/>
    <n v="130.68"/>
    <x v="2"/>
    <n v="653.4"/>
    <x v="158"/>
  </r>
  <r>
    <x v="1491"/>
    <x v="1479"/>
    <x v="2"/>
    <x v="2"/>
    <n v="177.48"/>
    <x v="2"/>
    <n v="887.4"/>
    <x v="249"/>
  </r>
  <r>
    <x v="1492"/>
    <x v="1480"/>
    <x v="1"/>
    <x v="0"/>
    <n v="137.13999999999999"/>
    <x v="2"/>
    <n v="685.7"/>
    <x v="87"/>
  </r>
  <r>
    <x v="1493"/>
    <x v="1481"/>
    <x v="0"/>
    <x v="3"/>
    <n v="249.37"/>
    <x v="1"/>
    <n v="748.11"/>
    <x v="391"/>
  </r>
  <r>
    <x v="1494"/>
    <x v="1482"/>
    <x v="2"/>
    <x v="0"/>
    <n v="291.7"/>
    <x v="3"/>
    <n v="583.4"/>
    <x v="295"/>
  </r>
  <r>
    <x v="1495"/>
    <x v="1483"/>
    <x v="2"/>
    <x v="4"/>
    <n v="316.57"/>
    <x v="4"/>
    <n v="316.57"/>
    <x v="215"/>
  </r>
  <r>
    <x v="1496"/>
    <x v="1484"/>
    <x v="0"/>
    <x v="0"/>
    <n v="194.86"/>
    <x v="2"/>
    <n v="974.3"/>
    <x v="139"/>
  </r>
  <r>
    <x v="1497"/>
    <x v="1485"/>
    <x v="2"/>
    <x v="4"/>
    <n v="202.42"/>
    <x v="4"/>
    <n v="202.42"/>
    <x v="150"/>
  </r>
  <r>
    <x v="1498"/>
    <x v="1486"/>
    <x v="2"/>
    <x v="1"/>
    <n v="270.39"/>
    <x v="4"/>
    <n v="270.39"/>
    <x v="159"/>
  </r>
  <r>
    <x v="1499"/>
    <x v="1487"/>
    <x v="1"/>
    <x v="0"/>
    <n v="136.71"/>
    <x v="0"/>
    <n v="546.84"/>
    <x v="388"/>
  </r>
  <r>
    <x v="1500"/>
    <x v="1488"/>
    <x v="2"/>
    <x v="1"/>
    <n v="451.58"/>
    <x v="4"/>
    <n v="451.58"/>
    <x v="123"/>
  </r>
  <r>
    <x v="1501"/>
    <x v="1489"/>
    <x v="0"/>
    <x v="2"/>
    <n v="299.92"/>
    <x v="1"/>
    <n v="899.76"/>
    <x v="192"/>
  </r>
  <r>
    <x v="1502"/>
    <x v="1490"/>
    <x v="0"/>
    <x v="4"/>
    <n v="14.23"/>
    <x v="1"/>
    <n v="42.69"/>
    <x v="326"/>
  </r>
  <r>
    <x v="1503"/>
    <x v="1491"/>
    <x v="1"/>
    <x v="0"/>
    <n v="492.43"/>
    <x v="2"/>
    <n v="2462.15"/>
    <x v="73"/>
  </r>
  <r>
    <x v="1504"/>
    <x v="1492"/>
    <x v="0"/>
    <x v="3"/>
    <n v="444.57"/>
    <x v="3"/>
    <n v="889.14"/>
    <x v="209"/>
  </r>
  <r>
    <x v="1505"/>
    <x v="1493"/>
    <x v="1"/>
    <x v="4"/>
    <n v="99.61"/>
    <x v="0"/>
    <n v="398.44"/>
    <x v="231"/>
  </r>
  <r>
    <x v="1506"/>
    <x v="1494"/>
    <x v="2"/>
    <x v="0"/>
    <n v="475.13"/>
    <x v="2"/>
    <n v="2375.65"/>
    <x v="218"/>
  </r>
  <r>
    <x v="1507"/>
    <x v="1495"/>
    <x v="1"/>
    <x v="3"/>
    <n v="162.25"/>
    <x v="0"/>
    <n v="649"/>
    <x v="300"/>
  </r>
  <r>
    <x v="1508"/>
    <x v="1496"/>
    <x v="1"/>
    <x v="1"/>
    <n v="14.88"/>
    <x v="0"/>
    <n v="59.52"/>
    <x v="4"/>
  </r>
  <r>
    <x v="1509"/>
    <x v="1497"/>
    <x v="1"/>
    <x v="0"/>
    <n v="67.040000000000006"/>
    <x v="3"/>
    <n v="134.08000000000001"/>
    <x v="269"/>
  </r>
  <r>
    <x v="1510"/>
    <x v="1498"/>
    <x v="0"/>
    <x v="1"/>
    <n v="165.02"/>
    <x v="3"/>
    <n v="330.04"/>
    <x v="259"/>
  </r>
  <r>
    <x v="1511"/>
    <x v="1499"/>
    <x v="2"/>
    <x v="3"/>
    <n v="239.38"/>
    <x v="3"/>
    <n v="478.76"/>
    <x v="318"/>
  </r>
  <r>
    <x v="1512"/>
    <x v="1500"/>
    <x v="1"/>
    <x v="0"/>
    <n v="186.16"/>
    <x v="4"/>
    <n v="186.16"/>
    <x v="377"/>
  </r>
  <r>
    <x v="1513"/>
    <x v="1501"/>
    <x v="2"/>
    <x v="1"/>
    <n v="151.41"/>
    <x v="1"/>
    <n v="454.23"/>
    <x v="235"/>
  </r>
  <r>
    <x v="1514"/>
    <x v="1502"/>
    <x v="2"/>
    <x v="3"/>
    <n v="279.55"/>
    <x v="3"/>
    <n v="559.1"/>
    <x v="387"/>
  </r>
  <r>
    <x v="1515"/>
    <x v="1503"/>
    <x v="1"/>
    <x v="2"/>
    <n v="59.46"/>
    <x v="4"/>
    <n v="59.46"/>
    <x v="391"/>
  </r>
  <r>
    <x v="1516"/>
    <x v="1504"/>
    <x v="1"/>
    <x v="2"/>
    <n v="474.5"/>
    <x v="4"/>
    <n v="474.5"/>
    <x v="23"/>
  </r>
  <r>
    <x v="1517"/>
    <x v="1505"/>
    <x v="0"/>
    <x v="1"/>
    <n v="246.32"/>
    <x v="0"/>
    <n v="985.28"/>
    <x v="330"/>
  </r>
  <r>
    <x v="1518"/>
    <x v="1506"/>
    <x v="1"/>
    <x v="0"/>
    <n v="28.58"/>
    <x v="1"/>
    <n v="85.74"/>
    <x v="164"/>
  </r>
  <r>
    <x v="1519"/>
    <x v="1507"/>
    <x v="1"/>
    <x v="3"/>
    <n v="209.59"/>
    <x v="1"/>
    <n v="628.77"/>
    <x v="27"/>
  </r>
  <r>
    <x v="1520"/>
    <x v="1508"/>
    <x v="2"/>
    <x v="3"/>
    <n v="93.7"/>
    <x v="2"/>
    <n v="468.5"/>
    <x v="47"/>
  </r>
  <r>
    <x v="1521"/>
    <x v="1509"/>
    <x v="1"/>
    <x v="3"/>
    <n v="309.02"/>
    <x v="0"/>
    <n v="1236.08"/>
    <x v="346"/>
  </r>
  <r>
    <x v="1522"/>
    <x v="1510"/>
    <x v="1"/>
    <x v="2"/>
    <n v="345.01"/>
    <x v="2"/>
    <n v="1725.05"/>
    <x v="376"/>
  </r>
  <r>
    <x v="1523"/>
    <x v="1511"/>
    <x v="0"/>
    <x v="3"/>
    <n v="152.61000000000001"/>
    <x v="0"/>
    <n v="610.44000000000005"/>
    <x v="108"/>
  </r>
  <r>
    <x v="1524"/>
    <x v="1512"/>
    <x v="2"/>
    <x v="0"/>
    <n v="207.82"/>
    <x v="3"/>
    <n v="415.64"/>
    <x v="100"/>
  </r>
  <r>
    <x v="1525"/>
    <x v="1513"/>
    <x v="1"/>
    <x v="4"/>
    <n v="315.83999999999997"/>
    <x v="4"/>
    <n v="315.83999999999997"/>
    <x v="284"/>
  </r>
  <r>
    <x v="1526"/>
    <x v="1514"/>
    <x v="0"/>
    <x v="0"/>
    <n v="442.21"/>
    <x v="0"/>
    <n v="1768.84"/>
    <x v="141"/>
  </r>
  <r>
    <x v="1527"/>
    <x v="1515"/>
    <x v="2"/>
    <x v="1"/>
    <n v="420.41"/>
    <x v="2"/>
    <n v="2102.0500000000002"/>
    <x v="82"/>
  </r>
  <r>
    <x v="1528"/>
    <x v="1516"/>
    <x v="2"/>
    <x v="3"/>
    <n v="67.239999999999995"/>
    <x v="3"/>
    <n v="134.47999999999999"/>
    <x v="369"/>
  </r>
  <r>
    <x v="1529"/>
    <x v="1517"/>
    <x v="1"/>
    <x v="2"/>
    <n v="197.91"/>
    <x v="3"/>
    <n v="395.82"/>
    <x v="392"/>
  </r>
  <r>
    <x v="1530"/>
    <x v="1518"/>
    <x v="2"/>
    <x v="1"/>
    <n v="249.53"/>
    <x v="3"/>
    <n v="499.06"/>
    <x v="1"/>
  </r>
  <r>
    <x v="1531"/>
    <x v="1519"/>
    <x v="2"/>
    <x v="0"/>
    <n v="377.37"/>
    <x v="4"/>
    <n v="377.37"/>
    <x v="358"/>
  </r>
  <r>
    <x v="1532"/>
    <x v="1520"/>
    <x v="2"/>
    <x v="2"/>
    <n v="416.25"/>
    <x v="2"/>
    <n v="2081.25"/>
    <x v="229"/>
  </r>
  <r>
    <x v="1533"/>
    <x v="1521"/>
    <x v="1"/>
    <x v="1"/>
    <n v="352.46"/>
    <x v="4"/>
    <n v="352.46"/>
    <x v="249"/>
  </r>
  <r>
    <x v="1534"/>
    <x v="1522"/>
    <x v="0"/>
    <x v="4"/>
    <n v="45.82"/>
    <x v="0"/>
    <n v="183.28"/>
    <x v="181"/>
  </r>
  <r>
    <x v="1535"/>
    <x v="1523"/>
    <x v="0"/>
    <x v="0"/>
    <n v="213.11"/>
    <x v="0"/>
    <n v="852.44"/>
    <x v="248"/>
  </r>
  <r>
    <x v="1536"/>
    <x v="1524"/>
    <x v="0"/>
    <x v="2"/>
    <n v="347.94"/>
    <x v="4"/>
    <n v="347.94"/>
    <x v="112"/>
  </r>
  <r>
    <x v="1537"/>
    <x v="1525"/>
    <x v="2"/>
    <x v="1"/>
    <n v="204.27"/>
    <x v="3"/>
    <n v="408.54"/>
    <x v="52"/>
  </r>
  <r>
    <x v="1538"/>
    <x v="1526"/>
    <x v="1"/>
    <x v="4"/>
    <n v="105.34"/>
    <x v="1"/>
    <n v="316.02"/>
    <x v="295"/>
  </r>
  <r>
    <x v="1539"/>
    <x v="1527"/>
    <x v="1"/>
    <x v="3"/>
    <n v="448.28"/>
    <x v="2"/>
    <n v="2241.4"/>
    <x v="199"/>
  </r>
  <r>
    <x v="1540"/>
    <x v="1528"/>
    <x v="1"/>
    <x v="4"/>
    <n v="454.81"/>
    <x v="1"/>
    <n v="1364.43"/>
    <x v="329"/>
  </r>
  <r>
    <x v="1541"/>
    <x v="1529"/>
    <x v="0"/>
    <x v="1"/>
    <n v="439.13"/>
    <x v="1"/>
    <n v="1317.39"/>
    <x v="0"/>
  </r>
  <r>
    <x v="1542"/>
    <x v="1530"/>
    <x v="2"/>
    <x v="0"/>
    <n v="189.75"/>
    <x v="2"/>
    <n v="948.75"/>
    <x v="55"/>
  </r>
  <r>
    <x v="1543"/>
    <x v="1531"/>
    <x v="2"/>
    <x v="1"/>
    <n v="442.32"/>
    <x v="1"/>
    <n v="1326.96"/>
    <x v="246"/>
  </r>
  <r>
    <x v="1544"/>
    <x v="1532"/>
    <x v="0"/>
    <x v="0"/>
    <n v="273.18"/>
    <x v="0"/>
    <n v="1092.72"/>
    <x v="343"/>
  </r>
  <r>
    <x v="1545"/>
    <x v="1533"/>
    <x v="1"/>
    <x v="4"/>
    <n v="241.21"/>
    <x v="1"/>
    <n v="723.63"/>
    <x v="114"/>
  </r>
  <r>
    <x v="1546"/>
    <x v="1534"/>
    <x v="0"/>
    <x v="3"/>
    <n v="445.34"/>
    <x v="2"/>
    <n v="2226.6999999999998"/>
    <x v="309"/>
  </r>
  <r>
    <x v="1547"/>
    <x v="1535"/>
    <x v="2"/>
    <x v="3"/>
    <n v="358.78"/>
    <x v="4"/>
    <n v="358.78"/>
    <x v="163"/>
  </r>
  <r>
    <x v="1548"/>
    <x v="1536"/>
    <x v="0"/>
    <x v="1"/>
    <n v="324.83999999999997"/>
    <x v="3"/>
    <n v="649.67999999999995"/>
    <x v="126"/>
  </r>
  <r>
    <x v="1549"/>
    <x v="1537"/>
    <x v="2"/>
    <x v="3"/>
    <n v="42.3"/>
    <x v="3"/>
    <n v="84.6"/>
    <x v="392"/>
  </r>
  <r>
    <x v="1550"/>
    <x v="1538"/>
    <x v="0"/>
    <x v="0"/>
    <n v="60.27"/>
    <x v="4"/>
    <n v="60.27"/>
    <x v="13"/>
  </r>
  <r>
    <x v="1551"/>
    <x v="1539"/>
    <x v="2"/>
    <x v="2"/>
    <n v="153.27000000000001"/>
    <x v="2"/>
    <n v="766.35"/>
    <x v="176"/>
  </r>
  <r>
    <x v="37"/>
    <x v="1540"/>
    <x v="1"/>
    <x v="3"/>
    <n v="192.86"/>
    <x v="4"/>
    <n v="192.86"/>
    <x v="326"/>
  </r>
  <r>
    <x v="1552"/>
    <x v="1541"/>
    <x v="2"/>
    <x v="2"/>
    <n v="394.97"/>
    <x v="0"/>
    <n v="1579.88"/>
    <x v="286"/>
  </r>
  <r>
    <x v="1553"/>
    <x v="1542"/>
    <x v="1"/>
    <x v="3"/>
    <n v="107.77"/>
    <x v="2"/>
    <n v="538.85"/>
    <x v="189"/>
  </r>
  <r>
    <x v="1554"/>
    <x v="1543"/>
    <x v="0"/>
    <x v="1"/>
    <n v="161.65"/>
    <x v="3"/>
    <n v="323.3"/>
    <x v="17"/>
  </r>
  <r>
    <x v="1555"/>
    <x v="1544"/>
    <x v="0"/>
    <x v="0"/>
    <n v="176.77"/>
    <x v="2"/>
    <n v="883.85"/>
    <x v="221"/>
  </r>
  <r>
    <x v="1556"/>
    <x v="1545"/>
    <x v="2"/>
    <x v="3"/>
    <n v="444.42"/>
    <x v="0"/>
    <n v="1777.68"/>
    <x v="323"/>
  </r>
  <r>
    <x v="1557"/>
    <x v="1546"/>
    <x v="0"/>
    <x v="2"/>
    <n v="148.07"/>
    <x v="4"/>
    <n v="148.07"/>
    <x v="304"/>
  </r>
  <r>
    <x v="1558"/>
    <x v="1547"/>
    <x v="0"/>
    <x v="0"/>
    <n v="191.56"/>
    <x v="2"/>
    <n v="957.8"/>
    <x v="313"/>
  </r>
  <r>
    <x v="1559"/>
    <x v="1548"/>
    <x v="2"/>
    <x v="4"/>
    <n v="36.46"/>
    <x v="2"/>
    <n v="182.3"/>
    <x v="335"/>
  </r>
  <r>
    <x v="1560"/>
    <x v="1549"/>
    <x v="1"/>
    <x v="2"/>
    <n v="471.85"/>
    <x v="0"/>
    <n v="1887.4"/>
    <x v="56"/>
  </r>
  <r>
    <x v="1561"/>
    <x v="1550"/>
    <x v="0"/>
    <x v="3"/>
    <n v="121.97"/>
    <x v="4"/>
    <n v="121.97"/>
    <x v="391"/>
  </r>
  <r>
    <x v="1562"/>
    <x v="1551"/>
    <x v="2"/>
    <x v="0"/>
    <n v="200.29"/>
    <x v="3"/>
    <n v="400.58"/>
    <x v="279"/>
  </r>
  <r>
    <x v="1563"/>
    <x v="1552"/>
    <x v="0"/>
    <x v="4"/>
    <n v="418.8"/>
    <x v="1"/>
    <n v="1256.4000000000001"/>
    <x v="194"/>
  </r>
  <r>
    <x v="1564"/>
    <x v="1553"/>
    <x v="2"/>
    <x v="0"/>
    <n v="373.49"/>
    <x v="1"/>
    <n v="1120.47"/>
    <x v="227"/>
  </r>
  <r>
    <x v="1565"/>
    <x v="1554"/>
    <x v="2"/>
    <x v="2"/>
    <n v="368.63"/>
    <x v="4"/>
    <n v="368.63"/>
    <x v="275"/>
  </r>
  <r>
    <x v="1566"/>
    <x v="1555"/>
    <x v="2"/>
    <x v="1"/>
    <n v="372.7"/>
    <x v="0"/>
    <n v="1490.8"/>
    <x v="286"/>
  </r>
  <r>
    <x v="1567"/>
    <x v="1556"/>
    <x v="0"/>
    <x v="4"/>
    <n v="10.06"/>
    <x v="4"/>
    <n v="10.06"/>
    <x v="166"/>
  </r>
  <r>
    <x v="1568"/>
    <x v="1557"/>
    <x v="1"/>
    <x v="1"/>
    <n v="338.83"/>
    <x v="4"/>
    <n v="338.83"/>
    <x v="219"/>
  </r>
  <r>
    <x v="1569"/>
    <x v="1558"/>
    <x v="0"/>
    <x v="4"/>
    <n v="19.71"/>
    <x v="0"/>
    <n v="78.84"/>
    <x v="203"/>
  </r>
  <r>
    <x v="1570"/>
    <x v="1559"/>
    <x v="0"/>
    <x v="4"/>
    <n v="473.9"/>
    <x v="2"/>
    <n v="2369.5"/>
    <x v="191"/>
  </r>
  <r>
    <x v="1571"/>
    <x v="1560"/>
    <x v="2"/>
    <x v="0"/>
    <n v="375.51"/>
    <x v="1"/>
    <n v="1126.53"/>
    <x v="185"/>
  </r>
  <r>
    <x v="1572"/>
    <x v="1561"/>
    <x v="2"/>
    <x v="0"/>
    <n v="173.38"/>
    <x v="1"/>
    <n v="520.14"/>
    <x v="110"/>
  </r>
  <r>
    <x v="1573"/>
    <x v="1562"/>
    <x v="2"/>
    <x v="0"/>
    <n v="39.71"/>
    <x v="0"/>
    <n v="158.84"/>
    <x v="347"/>
  </r>
  <r>
    <x v="1574"/>
    <x v="1563"/>
    <x v="0"/>
    <x v="4"/>
    <n v="328.78"/>
    <x v="2"/>
    <n v="1643.9"/>
    <x v="326"/>
  </r>
  <r>
    <x v="1575"/>
    <x v="1564"/>
    <x v="2"/>
    <x v="1"/>
    <n v="120.69"/>
    <x v="3"/>
    <n v="241.38"/>
    <x v="198"/>
  </r>
  <r>
    <x v="1576"/>
    <x v="1565"/>
    <x v="0"/>
    <x v="4"/>
    <n v="449.23"/>
    <x v="2"/>
    <n v="2246.15"/>
    <x v="254"/>
  </r>
  <r>
    <x v="1577"/>
    <x v="1566"/>
    <x v="1"/>
    <x v="3"/>
    <n v="214.09"/>
    <x v="2"/>
    <n v="1070.45"/>
    <x v="87"/>
  </r>
  <r>
    <x v="1578"/>
    <x v="1567"/>
    <x v="1"/>
    <x v="1"/>
    <n v="83.85"/>
    <x v="4"/>
    <n v="83.85"/>
    <x v="65"/>
  </r>
  <r>
    <x v="1579"/>
    <x v="1568"/>
    <x v="1"/>
    <x v="1"/>
    <n v="320.29000000000002"/>
    <x v="2"/>
    <n v="1601.45"/>
    <x v="69"/>
  </r>
  <r>
    <x v="1580"/>
    <x v="1569"/>
    <x v="0"/>
    <x v="2"/>
    <n v="316.81"/>
    <x v="4"/>
    <n v="316.81"/>
    <x v="195"/>
  </r>
  <r>
    <x v="1581"/>
    <x v="1570"/>
    <x v="2"/>
    <x v="3"/>
    <n v="260.95"/>
    <x v="1"/>
    <n v="782.85"/>
    <x v="260"/>
  </r>
  <r>
    <x v="1582"/>
    <x v="1571"/>
    <x v="1"/>
    <x v="4"/>
    <n v="282.91000000000003"/>
    <x v="4"/>
    <n v="282.91000000000003"/>
    <x v="43"/>
  </r>
  <r>
    <x v="1583"/>
    <x v="1572"/>
    <x v="0"/>
    <x v="4"/>
    <n v="243.07"/>
    <x v="4"/>
    <n v="243.07"/>
    <x v="12"/>
  </r>
  <r>
    <x v="1584"/>
    <x v="1573"/>
    <x v="0"/>
    <x v="1"/>
    <n v="265.57"/>
    <x v="0"/>
    <n v="1062.28"/>
    <x v="294"/>
  </r>
  <r>
    <x v="1585"/>
    <x v="1574"/>
    <x v="2"/>
    <x v="3"/>
    <n v="275.93"/>
    <x v="0"/>
    <n v="1103.72"/>
    <x v="25"/>
  </r>
  <r>
    <x v="1586"/>
    <x v="1575"/>
    <x v="0"/>
    <x v="2"/>
    <n v="77.92"/>
    <x v="1"/>
    <n v="233.76"/>
    <x v="230"/>
  </r>
  <r>
    <x v="1587"/>
    <x v="1576"/>
    <x v="0"/>
    <x v="2"/>
    <n v="444.7"/>
    <x v="0"/>
    <n v="1778.8"/>
    <x v="364"/>
  </r>
  <r>
    <x v="1588"/>
    <x v="1577"/>
    <x v="1"/>
    <x v="0"/>
    <n v="288.39999999999998"/>
    <x v="0"/>
    <n v="1153.5999999999999"/>
    <x v="80"/>
  </r>
  <r>
    <x v="1589"/>
    <x v="1578"/>
    <x v="1"/>
    <x v="1"/>
    <n v="356.47"/>
    <x v="2"/>
    <n v="1782.35"/>
    <x v="252"/>
  </r>
  <r>
    <x v="1590"/>
    <x v="1579"/>
    <x v="0"/>
    <x v="3"/>
    <n v="186.67"/>
    <x v="3"/>
    <n v="373.34"/>
    <x v="189"/>
  </r>
  <r>
    <x v="1591"/>
    <x v="1580"/>
    <x v="1"/>
    <x v="2"/>
    <n v="150.12"/>
    <x v="2"/>
    <n v="750.6"/>
    <x v="211"/>
  </r>
  <r>
    <x v="1592"/>
    <x v="1581"/>
    <x v="2"/>
    <x v="0"/>
    <n v="319.94"/>
    <x v="1"/>
    <n v="959.82"/>
    <x v="106"/>
  </r>
  <r>
    <x v="1593"/>
    <x v="1582"/>
    <x v="2"/>
    <x v="2"/>
    <n v="26.53"/>
    <x v="2"/>
    <n v="132.65"/>
    <x v="312"/>
  </r>
  <r>
    <x v="1594"/>
    <x v="1583"/>
    <x v="1"/>
    <x v="0"/>
    <n v="484"/>
    <x v="0"/>
    <n v="1936"/>
    <x v="377"/>
  </r>
  <r>
    <x v="1595"/>
    <x v="1584"/>
    <x v="2"/>
    <x v="2"/>
    <n v="433.4"/>
    <x v="0"/>
    <n v="1733.6"/>
    <x v="161"/>
  </r>
  <r>
    <x v="1596"/>
    <x v="1585"/>
    <x v="1"/>
    <x v="1"/>
    <n v="449.84"/>
    <x v="4"/>
    <n v="449.84"/>
    <x v="315"/>
  </r>
  <r>
    <x v="1597"/>
    <x v="1586"/>
    <x v="1"/>
    <x v="3"/>
    <n v="397.36"/>
    <x v="1"/>
    <n v="1192.08"/>
    <x v="358"/>
  </r>
  <r>
    <x v="1598"/>
    <x v="1587"/>
    <x v="2"/>
    <x v="0"/>
    <n v="204.09"/>
    <x v="3"/>
    <n v="408.18"/>
    <x v="103"/>
  </r>
  <r>
    <x v="1599"/>
    <x v="1588"/>
    <x v="2"/>
    <x v="2"/>
    <n v="431.96"/>
    <x v="2"/>
    <n v="2159.8000000000002"/>
    <x v="196"/>
  </r>
  <r>
    <x v="1600"/>
    <x v="1589"/>
    <x v="1"/>
    <x v="1"/>
    <n v="325.58"/>
    <x v="0"/>
    <n v="1302.32"/>
    <x v="254"/>
  </r>
  <r>
    <x v="1601"/>
    <x v="1590"/>
    <x v="0"/>
    <x v="4"/>
    <n v="302.12"/>
    <x v="2"/>
    <n v="1510.6"/>
    <x v="393"/>
  </r>
  <r>
    <x v="1602"/>
    <x v="1591"/>
    <x v="0"/>
    <x v="0"/>
    <n v="18.22"/>
    <x v="4"/>
    <n v="18.22"/>
    <x v="279"/>
  </r>
  <r>
    <x v="1603"/>
    <x v="1592"/>
    <x v="1"/>
    <x v="4"/>
    <n v="99.87"/>
    <x v="0"/>
    <n v="399.48"/>
    <x v="270"/>
  </r>
  <r>
    <x v="1604"/>
    <x v="185"/>
    <x v="1"/>
    <x v="2"/>
    <n v="419.91"/>
    <x v="3"/>
    <n v="839.82"/>
    <x v="218"/>
  </r>
  <r>
    <x v="1605"/>
    <x v="1593"/>
    <x v="0"/>
    <x v="2"/>
    <n v="423.98"/>
    <x v="4"/>
    <n v="423.98"/>
    <x v="203"/>
  </r>
  <r>
    <x v="1606"/>
    <x v="1594"/>
    <x v="0"/>
    <x v="1"/>
    <n v="161.46"/>
    <x v="1"/>
    <n v="484.38"/>
    <x v="191"/>
  </r>
  <r>
    <x v="1607"/>
    <x v="1595"/>
    <x v="1"/>
    <x v="4"/>
    <n v="399.81"/>
    <x v="3"/>
    <n v="799.62"/>
    <x v="283"/>
  </r>
  <r>
    <x v="1608"/>
    <x v="1596"/>
    <x v="2"/>
    <x v="2"/>
    <n v="109.81"/>
    <x v="4"/>
    <n v="109.81"/>
    <x v="185"/>
  </r>
  <r>
    <x v="1609"/>
    <x v="1597"/>
    <x v="1"/>
    <x v="2"/>
    <n v="276"/>
    <x v="2"/>
    <n v="1380"/>
    <x v="319"/>
  </r>
  <r>
    <x v="1610"/>
    <x v="1598"/>
    <x v="0"/>
    <x v="2"/>
    <n v="181.08"/>
    <x v="3"/>
    <n v="362.16"/>
    <x v="332"/>
  </r>
  <r>
    <x v="1611"/>
    <x v="1599"/>
    <x v="0"/>
    <x v="3"/>
    <n v="65.44"/>
    <x v="3"/>
    <n v="130.88"/>
    <x v="8"/>
  </r>
  <r>
    <x v="1612"/>
    <x v="1600"/>
    <x v="0"/>
    <x v="1"/>
    <n v="174.24"/>
    <x v="3"/>
    <n v="348.48"/>
    <x v="104"/>
  </r>
  <r>
    <x v="1613"/>
    <x v="1601"/>
    <x v="0"/>
    <x v="0"/>
    <n v="252.78"/>
    <x v="4"/>
    <n v="252.78"/>
    <x v="333"/>
  </r>
  <r>
    <x v="1614"/>
    <x v="30"/>
    <x v="2"/>
    <x v="1"/>
    <n v="353.13"/>
    <x v="1"/>
    <n v="1059.3900000000001"/>
    <x v="295"/>
  </r>
  <r>
    <x v="1615"/>
    <x v="1602"/>
    <x v="2"/>
    <x v="2"/>
    <n v="363.19"/>
    <x v="4"/>
    <n v="363.19"/>
    <x v="349"/>
  </r>
  <r>
    <x v="1616"/>
    <x v="1603"/>
    <x v="2"/>
    <x v="1"/>
    <n v="269.23"/>
    <x v="2"/>
    <n v="1346.15"/>
    <x v="187"/>
  </r>
  <r>
    <x v="1617"/>
    <x v="1604"/>
    <x v="2"/>
    <x v="2"/>
    <n v="486.36"/>
    <x v="2"/>
    <n v="2431.8000000000002"/>
    <x v="57"/>
  </r>
  <r>
    <x v="1618"/>
    <x v="1605"/>
    <x v="0"/>
    <x v="1"/>
    <n v="58.51"/>
    <x v="1"/>
    <n v="175.53"/>
    <x v="338"/>
  </r>
  <r>
    <x v="1619"/>
    <x v="1606"/>
    <x v="1"/>
    <x v="3"/>
    <n v="213.29"/>
    <x v="1"/>
    <n v="639.87"/>
    <x v="165"/>
  </r>
  <r>
    <x v="1620"/>
    <x v="1607"/>
    <x v="0"/>
    <x v="2"/>
    <n v="203.54"/>
    <x v="2"/>
    <n v="1017.7"/>
    <x v="109"/>
  </r>
  <r>
    <x v="1621"/>
    <x v="1608"/>
    <x v="0"/>
    <x v="2"/>
    <n v="451.15"/>
    <x v="4"/>
    <n v="451.15"/>
    <x v="125"/>
  </r>
  <r>
    <x v="1622"/>
    <x v="1609"/>
    <x v="2"/>
    <x v="0"/>
    <n v="219.14"/>
    <x v="4"/>
    <n v="219.14"/>
    <x v="89"/>
  </r>
  <r>
    <x v="1623"/>
    <x v="1610"/>
    <x v="1"/>
    <x v="2"/>
    <n v="192.64"/>
    <x v="2"/>
    <n v="963.2"/>
    <x v="29"/>
  </r>
  <r>
    <x v="1624"/>
    <x v="1611"/>
    <x v="0"/>
    <x v="3"/>
    <n v="278.33"/>
    <x v="3"/>
    <n v="556.66"/>
    <x v="118"/>
  </r>
  <r>
    <x v="1625"/>
    <x v="1612"/>
    <x v="2"/>
    <x v="0"/>
    <n v="165.83"/>
    <x v="3"/>
    <n v="331.66"/>
    <x v="286"/>
  </r>
  <r>
    <x v="1626"/>
    <x v="1613"/>
    <x v="1"/>
    <x v="2"/>
    <n v="186.59"/>
    <x v="4"/>
    <n v="186.59"/>
    <x v="318"/>
  </r>
  <r>
    <x v="1627"/>
    <x v="1614"/>
    <x v="2"/>
    <x v="1"/>
    <n v="255.41"/>
    <x v="2"/>
    <n v="1277.05"/>
    <x v="261"/>
  </r>
  <r>
    <x v="1628"/>
    <x v="1615"/>
    <x v="1"/>
    <x v="4"/>
    <n v="302.89999999999998"/>
    <x v="4"/>
    <n v="302.89999999999998"/>
    <x v="248"/>
  </r>
  <r>
    <x v="1629"/>
    <x v="1616"/>
    <x v="2"/>
    <x v="3"/>
    <n v="409.69"/>
    <x v="2"/>
    <n v="2048.4499999999998"/>
    <x v="89"/>
  </r>
  <r>
    <x v="1630"/>
    <x v="1617"/>
    <x v="0"/>
    <x v="2"/>
    <n v="370.37"/>
    <x v="2"/>
    <n v="1851.85"/>
    <x v="282"/>
  </r>
  <r>
    <x v="1631"/>
    <x v="1618"/>
    <x v="0"/>
    <x v="3"/>
    <n v="163.52000000000001"/>
    <x v="3"/>
    <n v="327.04000000000002"/>
    <x v="246"/>
  </r>
  <r>
    <x v="1632"/>
    <x v="1619"/>
    <x v="2"/>
    <x v="0"/>
    <n v="195.61"/>
    <x v="0"/>
    <n v="782.44"/>
    <x v="26"/>
  </r>
  <r>
    <x v="1633"/>
    <x v="1620"/>
    <x v="0"/>
    <x v="2"/>
    <n v="154.74"/>
    <x v="1"/>
    <n v="464.22"/>
    <x v="393"/>
  </r>
  <r>
    <x v="1634"/>
    <x v="1621"/>
    <x v="1"/>
    <x v="0"/>
    <n v="87.69"/>
    <x v="1"/>
    <n v="263.07"/>
    <x v="56"/>
  </r>
  <r>
    <x v="1635"/>
    <x v="1622"/>
    <x v="2"/>
    <x v="3"/>
    <n v="91.36"/>
    <x v="4"/>
    <n v="91.36"/>
    <x v="352"/>
  </r>
  <r>
    <x v="1636"/>
    <x v="1623"/>
    <x v="2"/>
    <x v="3"/>
    <n v="197.27"/>
    <x v="2"/>
    <n v="986.35"/>
    <x v="40"/>
  </r>
  <r>
    <x v="1637"/>
    <x v="1624"/>
    <x v="1"/>
    <x v="2"/>
    <n v="444.24"/>
    <x v="1"/>
    <n v="1332.72"/>
    <x v="28"/>
  </r>
  <r>
    <x v="1638"/>
    <x v="1625"/>
    <x v="0"/>
    <x v="2"/>
    <n v="316.93"/>
    <x v="3"/>
    <n v="633.86"/>
    <x v="50"/>
  </r>
  <r>
    <x v="1639"/>
    <x v="1626"/>
    <x v="2"/>
    <x v="3"/>
    <n v="196.78"/>
    <x v="4"/>
    <n v="196.78"/>
    <x v="201"/>
  </r>
  <r>
    <x v="1640"/>
    <x v="1627"/>
    <x v="0"/>
    <x v="4"/>
    <n v="126.32"/>
    <x v="1"/>
    <n v="378.96"/>
    <x v="34"/>
  </r>
  <r>
    <x v="1641"/>
    <x v="1628"/>
    <x v="1"/>
    <x v="3"/>
    <n v="402.85"/>
    <x v="3"/>
    <n v="805.7"/>
    <x v="45"/>
  </r>
  <r>
    <x v="1642"/>
    <x v="1629"/>
    <x v="1"/>
    <x v="1"/>
    <n v="434.47"/>
    <x v="4"/>
    <n v="434.47"/>
    <x v="320"/>
  </r>
  <r>
    <x v="1643"/>
    <x v="1630"/>
    <x v="0"/>
    <x v="0"/>
    <n v="290.19"/>
    <x v="3"/>
    <n v="580.38"/>
    <x v="322"/>
  </r>
  <r>
    <x v="1644"/>
    <x v="1631"/>
    <x v="1"/>
    <x v="1"/>
    <n v="142.81"/>
    <x v="2"/>
    <n v="714.05"/>
    <x v="263"/>
  </r>
  <r>
    <x v="1645"/>
    <x v="1632"/>
    <x v="1"/>
    <x v="3"/>
    <n v="75.56"/>
    <x v="3"/>
    <n v="151.12"/>
    <x v="311"/>
  </r>
  <r>
    <x v="1646"/>
    <x v="1633"/>
    <x v="0"/>
    <x v="4"/>
    <n v="389.68"/>
    <x v="0"/>
    <n v="1558.72"/>
    <x v="382"/>
  </r>
  <r>
    <x v="1647"/>
    <x v="1634"/>
    <x v="1"/>
    <x v="0"/>
    <n v="237.81"/>
    <x v="1"/>
    <n v="713.43"/>
    <x v="318"/>
  </r>
  <r>
    <x v="1648"/>
    <x v="1635"/>
    <x v="1"/>
    <x v="3"/>
    <n v="474.93"/>
    <x v="3"/>
    <n v="949.86"/>
    <x v="0"/>
  </r>
  <r>
    <x v="1649"/>
    <x v="1636"/>
    <x v="2"/>
    <x v="1"/>
    <n v="375.96"/>
    <x v="1"/>
    <n v="1127.8800000000001"/>
    <x v="238"/>
  </r>
  <r>
    <x v="1650"/>
    <x v="1637"/>
    <x v="2"/>
    <x v="0"/>
    <n v="229.73"/>
    <x v="1"/>
    <n v="689.19"/>
    <x v="144"/>
  </r>
  <r>
    <x v="1651"/>
    <x v="1638"/>
    <x v="0"/>
    <x v="4"/>
    <n v="54.15"/>
    <x v="1"/>
    <n v="162.44999999999999"/>
    <x v="25"/>
  </r>
  <r>
    <x v="1652"/>
    <x v="1639"/>
    <x v="1"/>
    <x v="2"/>
    <n v="253.09"/>
    <x v="4"/>
    <n v="253.09"/>
    <x v="209"/>
  </r>
  <r>
    <x v="1653"/>
    <x v="1640"/>
    <x v="0"/>
    <x v="2"/>
    <n v="487.67"/>
    <x v="3"/>
    <n v="975.34"/>
    <x v="108"/>
  </r>
  <r>
    <x v="1654"/>
    <x v="1641"/>
    <x v="0"/>
    <x v="4"/>
    <n v="189.32"/>
    <x v="3"/>
    <n v="378.64"/>
    <x v="281"/>
  </r>
  <r>
    <x v="1655"/>
    <x v="1642"/>
    <x v="0"/>
    <x v="2"/>
    <n v="402.02"/>
    <x v="3"/>
    <n v="804.04"/>
    <x v="306"/>
  </r>
  <r>
    <x v="1656"/>
    <x v="1643"/>
    <x v="2"/>
    <x v="0"/>
    <n v="245.59"/>
    <x v="2"/>
    <n v="1227.95"/>
    <x v="351"/>
  </r>
  <r>
    <x v="1657"/>
    <x v="1644"/>
    <x v="0"/>
    <x v="3"/>
    <n v="208.26"/>
    <x v="0"/>
    <n v="833.04"/>
    <x v="272"/>
  </r>
  <r>
    <x v="1658"/>
    <x v="1645"/>
    <x v="0"/>
    <x v="0"/>
    <n v="472.98"/>
    <x v="3"/>
    <n v="945.96"/>
    <x v="164"/>
  </r>
  <r>
    <x v="1659"/>
    <x v="1646"/>
    <x v="2"/>
    <x v="4"/>
    <n v="251.35"/>
    <x v="3"/>
    <n v="502.7"/>
    <x v="109"/>
  </r>
  <r>
    <x v="1660"/>
    <x v="1647"/>
    <x v="2"/>
    <x v="4"/>
    <n v="289.8"/>
    <x v="0"/>
    <n v="1159.2"/>
    <x v="293"/>
  </r>
  <r>
    <x v="1661"/>
    <x v="1648"/>
    <x v="2"/>
    <x v="4"/>
    <n v="187.26"/>
    <x v="1"/>
    <n v="561.78"/>
    <x v="332"/>
  </r>
  <r>
    <x v="1662"/>
    <x v="1649"/>
    <x v="1"/>
    <x v="1"/>
    <n v="236.74"/>
    <x v="4"/>
    <n v="236.74"/>
    <x v="52"/>
  </r>
  <r>
    <x v="1663"/>
    <x v="1650"/>
    <x v="2"/>
    <x v="3"/>
    <n v="495.8"/>
    <x v="1"/>
    <n v="1487.4"/>
    <x v="311"/>
  </r>
  <r>
    <x v="1664"/>
    <x v="1651"/>
    <x v="1"/>
    <x v="4"/>
    <n v="40.21"/>
    <x v="2"/>
    <n v="201.05"/>
    <x v="125"/>
  </r>
  <r>
    <x v="1665"/>
    <x v="1652"/>
    <x v="0"/>
    <x v="1"/>
    <n v="437.14"/>
    <x v="2"/>
    <n v="2185.6999999999998"/>
    <x v="150"/>
  </r>
  <r>
    <x v="1666"/>
    <x v="1653"/>
    <x v="1"/>
    <x v="0"/>
    <n v="443.46"/>
    <x v="2"/>
    <n v="2217.3000000000002"/>
    <x v="45"/>
  </r>
  <r>
    <x v="1667"/>
    <x v="1654"/>
    <x v="0"/>
    <x v="1"/>
    <n v="17.829999999999998"/>
    <x v="0"/>
    <n v="71.319999999999993"/>
    <x v="326"/>
  </r>
  <r>
    <x v="1668"/>
    <x v="1655"/>
    <x v="0"/>
    <x v="1"/>
    <n v="207.21"/>
    <x v="4"/>
    <n v="207.21"/>
    <x v="357"/>
  </r>
  <r>
    <x v="1669"/>
    <x v="1656"/>
    <x v="0"/>
    <x v="3"/>
    <n v="264.23"/>
    <x v="4"/>
    <n v="264.23"/>
    <x v="370"/>
  </r>
  <r>
    <x v="1670"/>
    <x v="1657"/>
    <x v="2"/>
    <x v="1"/>
    <n v="413.3"/>
    <x v="2"/>
    <n v="2066.5"/>
    <x v="368"/>
  </r>
  <r>
    <x v="1671"/>
    <x v="1658"/>
    <x v="0"/>
    <x v="0"/>
    <n v="163.12"/>
    <x v="4"/>
    <n v="163.12"/>
    <x v="274"/>
  </r>
  <r>
    <x v="1672"/>
    <x v="1659"/>
    <x v="1"/>
    <x v="4"/>
    <n v="156.81"/>
    <x v="0"/>
    <n v="627.24"/>
    <x v="134"/>
  </r>
  <r>
    <x v="1673"/>
    <x v="1660"/>
    <x v="2"/>
    <x v="3"/>
    <n v="354.63"/>
    <x v="3"/>
    <n v="709.26"/>
    <x v="73"/>
  </r>
  <r>
    <x v="1674"/>
    <x v="1661"/>
    <x v="2"/>
    <x v="1"/>
    <n v="248.66"/>
    <x v="0"/>
    <n v="994.64"/>
    <x v="40"/>
  </r>
  <r>
    <x v="1675"/>
    <x v="1662"/>
    <x v="1"/>
    <x v="1"/>
    <n v="362.71"/>
    <x v="4"/>
    <n v="362.71"/>
    <x v="140"/>
  </r>
  <r>
    <x v="1676"/>
    <x v="1663"/>
    <x v="0"/>
    <x v="0"/>
    <n v="227.18"/>
    <x v="3"/>
    <n v="454.36"/>
    <x v="52"/>
  </r>
  <r>
    <x v="1677"/>
    <x v="1664"/>
    <x v="0"/>
    <x v="1"/>
    <n v="220.03"/>
    <x v="2"/>
    <n v="1100.1500000000001"/>
    <x v="370"/>
  </r>
  <r>
    <x v="1678"/>
    <x v="1665"/>
    <x v="2"/>
    <x v="2"/>
    <n v="79.349999999999994"/>
    <x v="3"/>
    <n v="158.69999999999999"/>
    <x v="20"/>
  </r>
  <r>
    <x v="1679"/>
    <x v="1666"/>
    <x v="1"/>
    <x v="3"/>
    <n v="322.51"/>
    <x v="3"/>
    <n v="645.02"/>
    <x v="119"/>
  </r>
  <r>
    <x v="1680"/>
    <x v="1667"/>
    <x v="1"/>
    <x v="2"/>
    <n v="294.32"/>
    <x v="2"/>
    <n v="1471.6"/>
    <x v="36"/>
  </r>
  <r>
    <x v="1681"/>
    <x v="1668"/>
    <x v="2"/>
    <x v="4"/>
    <n v="282.58999999999997"/>
    <x v="4"/>
    <n v="282.58999999999997"/>
    <x v="360"/>
  </r>
  <r>
    <x v="1682"/>
    <x v="1669"/>
    <x v="1"/>
    <x v="3"/>
    <n v="298.19"/>
    <x v="2"/>
    <n v="1490.95"/>
    <x v="124"/>
  </r>
  <r>
    <x v="1683"/>
    <x v="1670"/>
    <x v="2"/>
    <x v="0"/>
    <n v="281.14"/>
    <x v="2"/>
    <n v="1405.7"/>
    <x v="221"/>
  </r>
  <r>
    <x v="1684"/>
    <x v="1289"/>
    <x v="2"/>
    <x v="2"/>
    <n v="258.08"/>
    <x v="4"/>
    <n v="258.08"/>
    <x v="18"/>
  </r>
  <r>
    <x v="1685"/>
    <x v="1671"/>
    <x v="2"/>
    <x v="0"/>
    <n v="71.31"/>
    <x v="2"/>
    <n v="356.55"/>
    <x v="102"/>
  </r>
  <r>
    <x v="1686"/>
    <x v="1672"/>
    <x v="0"/>
    <x v="1"/>
    <n v="344.16"/>
    <x v="4"/>
    <n v="344.16"/>
    <x v="108"/>
  </r>
  <r>
    <x v="1687"/>
    <x v="1673"/>
    <x v="2"/>
    <x v="4"/>
    <n v="258.62"/>
    <x v="4"/>
    <n v="258.62"/>
    <x v="258"/>
  </r>
  <r>
    <x v="1688"/>
    <x v="1674"/>
    <x v="1"/>
    <x v="4"/>
    <n v="301.44"/>
    <x v="1"/>
    <n v="904.32"/>
    <x v="236"/>
  </r>
  <r>
    <x v="1689"/>
    <x v="1675"/>
    <x v="1"/>
    <x v="2"/>
    <n v="27.59"/>
    <x v="2"/>
    <n v="137.94999999999999"/>
    <x v="6"/>
  </r>
  <r>
    <x v="1690"/>
    <x v="1676"/>
    <x v="0"/>
    <x v="3"/>
    <n v="145.34"/>
    <x v="1"/>
    <n v="436.02"/>
    <x v="121"/>
  </r>
  <r>
    <x v="1691"/>
    <x v="1677"/>
    <x v="2"/>
    <x v="3"/>
    <n v="236.65"/>
    <x v="4"/>
    <n v="236.65"/>
    <x v="79"/>
  </r>
  <r>
    <x v="1692"/>
    <x v="1678"/>
    <x v="1"/>
    <x v="4"/>
    <n v="370.82"/>
    <x v="3"/>
    <n v="741.64"/>
    <x v="55"/>
  </r>
  <r>
    <x v="1693"/>
    <x v="1679"/>
    <x v="2"/>
    <x v="4"/>
    <n v="59.19"/>
    <x v="1"/>
    <n v="177.57"/>
    <x v="316"/>
  </r>
  <r>
    <x v="1694"/>
    <x v="1680"/>
    <x v="0"/>
    <x v="2"/>
    <n v="366.11"/>
    <x v="4"/>
    <n v="366.11"/>
    <x v="99"/>
  </r>
  <r>
    <x v="1695"/>
    <x v="1681"/>
    <x v="1"/>
    <x v="0"/>
    <n v="62.75"/>
    <x v="1"/>
    <n v="188.25"/>
    <x v="193"/>
  </r>
  <r>
    <x v="1696"/>
    <x v="1682"/>
    <x v="1"/>
    <x v="4"/>
    <n v="319.83"/>
    <x v="0"/>
    <n v="1279.32"/>
    <x v="219"/>
  </r>
  <r>
    <x v="1697"/>
    <x v="1683"/>
    <x v="0"/>
    <x v="0"/>
    <n v="409.86"/>
    <x v="0"/>
    <n v="1639.44"/>
    <x v="302"/>
  </r>
  <r>
    <x v="1698"/>
    <x v="1684"/>
    <x v="1"/>
    <x v="4"/>
    <n v="58.27"/>
    <x v="4"/>
    <n v="58.27"/>
    <x v="375"/>
  </r>
  <r>
    <x v="1699"/>
    <x v="1685"/>
    <x v="0"/>
    <x v="4"/>
    <n v="360.85"/>
    <x v="3"/>
    <n v="721.7"/>
    <x v="394"/>
  </r>
  <r>
    <x v="1700"/>
    <x v="1686"/>
    <x v="1"/>
    <x v="3"/>
    <n v="67.11"/>
    <x v="3"/>
    <n v="134.22"/>
    <x v="303"/>
  </r>
  <r>
    <x v="1701"/>
    <x v="1687"/>
    <x v="1"/>
    <x v="1"/>
    <n v="369.11"/>
    <x v="4"/>
    <n v="369.11"/>
    <x v="163"/>
  </r>
  <r>
    <x v="1702"/>
    <x v="1688"/>
    <x v="2"/>
    <x v="3"/>
    <n v="16.600000000000001"/>
    <x v="2"/>
    <n v="83"/>
    <x v="377"/>
  </r>
  <r>
    <x v="1703"/>
    <x v="1689"/>
    <x v="0"/>
    <x v="2"/>
    <n v="437.52"/>
    <x v="4"/>
    <n v="437.52"/>
    <x v="335"/>
  </r>
  <r>
    <x v="1704"/>
    <x v="1690"/>
    <x v="2"/>
    <x v="3"/>
    <n v="255.35"/>
    <x v="0"/>
    <n v="1021.4"/>
    <x v="39"/>
  </r>
  <r>
    <x v="1705"/>
    <x v="1691"/>
    <x v="2"/>
    <x v="0"/>
    <n v="34.96"/>
    <x v="3"/>
    <n v="69.92"/>
    <x v="177"/>
  </r>
  <r>
    <x v="1706"/>
    <x v="1692"/>
    <x v="1"/>
    <x v="3"/>
    <n v="136.13999999999999"/>
    <x v="3"/>
    <n v="272.27999999999997"/>
    <x v="264"/>
  </r>
  <r>
    <x v="1707"/>
    <x v="1693"/>
    <x v="1"/>
    <x v="3"/>
    <n v="474.34"/>
    <x v="1"/>
    <n v="1423.02"/>
    <x v="70"/>
  </r>
  <r>
    <x v="1708"/>
    <x v="1694"/>
    <x v="0"/>
    <x v="2"/>
    <n v="443.73"/>
    <x v="4"/>
    <n v="443.73"/>
    <x v="382"/>
  </r>
  <r>
    <x v="1709"/>
    <x v="1695"/>
    <x v="1"/>
    <x v="4"/>
    <n v="40.43"/>
    <x v="1"/>
    <n v="121.29"/>
    <x v="306"/>
  </r>
  <r>
    <x v="1710"/>
    <x v="1696"/>
    <x v="2"/>
    <x v="4"/>
    <n v="362.43"/>
    <x v="4"/>
    <n v="362.43"/>
    <x v="240"/>
  </r>
  <r>
    <x v="1711"/>
    <x v="1697"/>
    <x v="1"/>
    <x v="2"/>
    <n v="33.51"/>
    <x v="3"/>
    <n v="67.02"/>
    <x v="18"/>
  </r>
  <r>
    <x v="1712"/>
    <x v="1698"/>
    <x v="2"/>
    <x v="4"/>
    <n v="337.21"/>
    <x v="1"/>
    <n v="1011.63"/>
    <x v="370"/>
  </r>
  <r>
    <x v="1713"/>
    <x v="1699"/>
    <x v="1"/>
    <x v="0"/>
    <n v="298.8"/>
    <x v="0"/>
    <n v="1195.2"/>
    <x v="63"/>
  </r>
  <r>
    <x v="1714"/>
    <x v="1700"/>
    <x v="2"/>
    <x v="1"/>
    <n v="103.26"/>
    <x v="0"/>
    <n v="413.04"/>
    <x v="20"/>
  </r>
  <r>
    <x v="1715"/>
    <x v="1701"/>
    <x v="1"/>
    <x v="1"/>
    <n v="377.97"/>
    <x v="3"/>
    <n v="755.94"/>
    <x v="287"/>
  </r>
  <r>
    <x v="1716"/>
    <x v="1702"/>
    <x v="1"/>
    <x v="3"/>
    <n v="368.33"/>
    <x v="3"/>
    <n v="736.66"/>
    <x v="167"/>
  </r>
  <r>
    <x v="1717"/>
    <x v="1703"/>
    <x v="2"/>
    <x v="0"/>
    <n v="14.89"/>
    <x v="2"/>
    <n v="74.45"/>
    <x v="65"/>
  </r>
  <r>
    <x v="1718"/>
    <x v="1704"/>
    <x v="0"/>
    <x v="4"/>
    <n v="147.37"/>
    <x v="0"/>
    <n v="589.48"/>
    <x v="128"/>
  </r>
  <r>
    <x v="1719"/>
    <x v="1705"/>
    <x v="1"/>
    <x v="1"/>
    <n v="380.98"/>
    <x v="2"/>
    <n v="1904.9"/>
    <x v="223"/>
  </r>
  <r>
    <x v="1720"/>
    <x v="1706"/>
    <x v="1"/>
    <x v="1"/>
    <n v="451.39"/>
    <x v="1"/>
    <n v="1354.17"/>
    <x v="348"/>
  </r>
  <r>
    <x v="1721"/>
    <x v="1707"/>
    <x v="1"/>
    <x v="3"/>
    <n v="265.58"/>
    <x v="2"/>
    <n v="1327.9"/>
    <x v="192"/>
  </r>
  <r>
    <x v="1722"/>
    <x v="1708"/>
    <x v="2"/>
    <x v="1"/>
    <n v="310.87"/>
    <x v="3"/>
    <n v="621.74"/>
    <x v="272"/>
  </r>
  <r>
    <x v="1723"/>
    <x v="1709"/>
    <x v="1"/>
    <x v="4"/>
    <n v="210.82"/>
    <x v="4"/>
    <n v="210.82"/>
    <x v="355"/>
  </r>
  <r>
    <x v="1724"/>
    <x v="1710"/>
    <x v="0"/>
    <x v="2"/>
    <n v="345.56"/>
    <x v="0"/>
    <n v="1382.24"/>
    <x v="46"/>
  </r>
  <r>
    <x v="1725"/>
    <x v="1711"/>
    <x v="1"/>
    <x v="2"/>
    <n v="147.09"/>
    <x v="4"/>
    <n v="147.09"/>
    <x v="384"/>
  </r>
  <r>
    <x v="1726"/>
    <x v="1712"/>
    <x v="0"/>
    <x v="1"/>
    <n v="123.36"/>
    <x v="0"/>
    <n v="493.44"/>
    <x v="36"/>
  </r>
  <r>
    <x v="1727"/>
    <x v="1713"/>
    <x v="0"/>
    <x v="0"/>
    <n v="185.31"/>
    <x v="1"/>
    <n v="555.92999999999995"/>
    <x v="268"/>
  </r>
  <r>
    <x v="1728"/>
    <x v="1714"/>
    <x v="0"/>
    <x v="4"/>
    <n v="394.86"/>
    <x v="0"/>
    <n v="1579.44"/>
    <x v="149"/>
  </r>
  <r>
    <x v="1729"/>
    <x v="1715"/>
    <x v="1"/>
    <x v="3"/>
    <n v="267.75"/>
    <x v="2"/>
    <n v="1338.75"/>
    <x v="392"/>
  </r>
  <r>
    <x v="1730"/>
    <x v="1716"/>
    <x v="0"/>
    <x v="0"/>
    <n v="91.82"/>
    <x v="3"/>
    <n v="183.64"/>
    <x v="118"/>
  </r>
  <r>
    <x v="1731"/>
    <x v="1717"/>
    <x v="0"/>
    <x v="1"/>
    <n v="331.13"/>
    <x v="1"/>
    <n v="993.39"/>
    <x v="305"/>
  </r>
  <r>
    <x v="1732"/>
    <x v="1718"/>
    <x v="0"/>
    <x v="4"/>
    <n v="240.85"/>
    <x v="1"/>
    <n v="722.55"/>
    <x v="82"/>
  </r>
  <r>
    <x v="1733"/>
    <x v="1719"/>
    <x v="2"/>
    <x v="2"/>
    <n v="452.09"/>
    <x v="1"/>
    <n v="1356.27"/>
    <x v="131"/>
  </r>
  <r>
    <x v="1734"/>
    <x v="1322"/>
    <x v="0"/>
    <x v="3"/>
    <n v="288.42"/>
    <x v="1"/>
    <n v="865.26"/>
    <x v="100"/>
  </r>
  <r>
    <x v="1735"/>
    <x v="1720"/>
    <x v="2"/>
    <x v="0"/>
    <n v="307.35000000000002"/>
    <x v="0"/>
    <n v="1229.4000000000001"/>
    <x v="253"/>
  </r>
  <r>
    <x v="1736"/>
    <x v="1721"/>
    <x v="2"/>
    <x v="2"/>
    <n v="361.03"/>
    <x v="4"/>
    <n v="361.03"/>
    <x v="7"/>
  </r>
  <r>
    <x v="1737"/>
    <x v="1722"/>
    <x v="1"/>
    <x v="3"/>
    <n v="90.51"/>
    <x v="0"/>
    <n v="362.04"/>
    <x v="132"/>
  </r>
  <r>
    <x v="1738"/>
    <x v="1723"/>
    <x v="1"/>
    <x v="3"/>
    <n v="242.32"/>
    <x v="0"/>
    <n v="969.28"/>
    <x v="189"/>
  </r>
  <r>
    <x v="1739"/>
    <x v="1724"/>
    <x v="2"/>
    <x v="2"/>
    <n v="412.06"/>
    <x v="1"/>
    <n v="1236.18"/>
    <x v="345"/>
  </r>
  <r>
    <x v="1740"/>
    <x v="1725"/>
    <x v="2"/>
    <x v="0"/>
    <n v="48.99"/>
    <x v="2"/>
    <n v="244.95"/>
    <x v="395"/>
  </r>
  <r>
    <x v="1741"/>
    <x v="1726"/>
    <x v="1"/>
    <x v="0"/>
    <n v="259.58999999999997"/>
    <x v="3"/>
    <n v="519.17999999999995"/>
    <x v="209"/>
  </r>
  <r>
    <x v="1742"/>
    <x v="1727"/>
    <x v="1"/>
    <x v="3"/>
    <n v="423.06"/>
    <x v="2"/>
    <n v="2115.3000000000002"/>
    <x v="369"/>
  </r>
  <r>
    <x v="1743"/>
    <x v="1728"/>
    <x v="2"/>
    <x v="4"/>
    <n v="159.37"/>
    <x v="3"/>
    <n v="318.74"/>
    <x v="101"/>
  </r>
  <r>
    <x v="1744"/>
    <x v="1729"/>
    <x v="0"/>
    <x v="3"/>
    <n v="375.16"/>
    <x v="0"/>
    <n v="1500.64"/>
    <x v="200"/>
  </r>
  <r>
    <x v="1745"/>
    <x v="1730"/>
    <x v="1"/>
    <x v="0"/>
    <n v="112.72"/>
    <x v="3"/>
    <n v="225.44"/>
    <x v="300"/>
  </r>
  <r>
    <x v="1746"/>
    <x v="1731"/>
    <x v="1"/>
    <x v="4"/>
    <n v="61.32"/>
    <x v="3"/>
    <n v="122.64"/>
    <x v="385"/>
  </r>
  <r>
    <x v="1747"/>
    <x v="1732"/>
    <x v="2"/>
    <x v="1"/>
    <n v="407.16"/>
    <x v="0"/>
    <n v="1628.64"/>
    <x v="293"/>
  </r>
  <r>
    <x v="1748"/>
    <x v="1733"/>
    <x v="0"/>
    <x v="3"/>
    <n v="24.54"/>
    <x v="0"/>
    <n v="98.16"/>
    <x v="47"/>
  </r>
  <r>
    <x v="1749"/>
    <x v="1734"/>
    <x v="2"/>
    <x v="0"/>
    <n v="184.04"/>
    <x v="0"/>
    <n v="736.16"/>
    <x v="289"/>
  </r>
  <r>
    <x v="1750"/>
    <x v="1735"/>
    <x v="2"/>
    <x v="1"/>
    <n v="391.83"/>
    <x v="3"/>
    <n v="783.66"/>
    <x v="51"/>
  </r>
  <r>
    <x v="1751"/>
    <x v="1736"/>
    <x v="1"/>
    <x v="0"/>
    <n v="342.54"/>
    <x v="0"/>
    <n v="1370.16"/>
    <x v="309"/>
  </r>
  <r>
    <x v="1752"/>
    <x v="1737"/>
    <x v="1"/>
    <x v="2"/>
    <n v="421.41"/>
    <x v="3"/>
    <n v="842.82"/>
    <x v="99"/>
  </r>
  <r>
    <x v="1753"/>
    <x v="1738"/>
    <x v="2"/>
    <x v="4"/>
    <n v="458.64"/>
    <x v="2"/>
    <n v="2293.1999999999998"/>
    <x v="273"/>
  </r>
  <r>
    <x v="1754"/>
    <x v="1739"/>
    <x v="0"/>
    <x v="0"/>
    <n v="396.53"/>
    <x v="1"/>
    <n v="1189.5899999999999"/>
    <x v="375"/>
  </r>
  <r>
    <x v="1755"/>
    <x v="1740"/>
    <x v="0"/>
    <x v="2"/>
    <n v="289.77"/>
    <x v="1"/>
    <n v="869.31"/>
    <x v="384"/>
  </r>
  <r>
    <x v="1756"/>
    <x v="1741"/>
    <x v="2"/>
    <x v="4"/>
    <n v="467.81"/>
    <x v="0"/>
    <n v="1871.24"/>
    <x v="345"/>
  </r>
  <r>
    <x v="1757"/>
    <x v="1742"/>
    <x v="2"/>
    <x v="3"/>
    <n v="33.58"/>
    <x v="0"/>
    <n v="134.32"/>
    <x v="272"/>
  </r>
  <r>
    <x v="1758"/>
    <x v="1743"/>
    <x v="2"/>
    <x v="2"/>
    <n v="48.99"/>
    <x v="1"/>
    <n v="146.97"/>
    <x v="209"/>
  </r>
  <r>
    <x v="1759"/>
    <x v="1744"/>
    <x v="1"/>
    <x v="4"/>
    <n v="323.10000000000002"/>
    <x v="4"/>
    <n v="323.10000000000002"/>
    <x v="18"/>
  </r>
  <r>
    <x v="1760"/>
    <x v="1745"/>
    <x v="0"/>
    <x v="4"/>
    <n v="318.27999999999997"/>
    <x v="3"/>
    <n v="636.55999999999995"/>
    <x v="17"/>
  </r>
  <r>
    <x v="1761"/>
    <x v="1746"/>
    <x v="1"/>
    <x v="4"/>
    <n v="94.78"/>
    <x v="0"/>
    <n v="379.12"/>
    <x v="40"/>
  </r>
  <r>
    <x v="1762"/>
    <x v="1747"/>
    <x v="1"/>
    <x v="3"/>
    <n v="58.16"/>
    <x v="3"/>
    <n v="116.32"/>
    <x v="282"/>
  </r>
  <r>
    <x v="1763"/>
    <x v="1748"/>
    <x v="0"/>
    <x v="3"/>
    <n v="244.33"/>
    <x v="4"/>
    <n v="244.33"/>
    <x v="256"/>
  </r>
  <r>
    <x v="1764"/>
    <x v="1749"/>
    <x v="0"/>
    <x v="4"/>
    <n v="331.67"/>
    <x v="0"/>
    <n v="1326.68"/>
    <x v="23"/>
  </r>
  <r>
    <x v="1765"/>
    <x v="1750"/>
    <x v="0"/>
    <x v="4"/>
    <n v="201.57"/>
    <x v="0"/>
    <n v="806.28"/>
    <x v="84"/>
  </r>
  <r>
    <x v="1766"/>
    <x v="1751"/>
    <x v="2"/>
    <x v="0"/>
    <n v="297.66000000000003"/>
    <x v="4"/>
    <n v="297.66000000000003"/>
    <x v="366"/>
  </r>
  <r>
    <x v="1767"/>
    <x v="1752"/>
    <x v="1"/>
    <x v="1"/>
    <n v="460.66"/>
    <x v="3"/>
    <n v="921.32"/>
    <x v="315"/>
  </r>
  <r>
    <x v="1768"/>
    <x v="1753"/>
    <x v="0"/>
    <x v="1"/>
    <n v="477.19"/>
    <x v="4"/>
    <n v="477.19"/>
    <x v="26"/>
  </r>
  <r>
    <x v="1769"/>
    <x v="1754"/>
    <x v="1"/>
    <x v="2"/>
    <n v="386.36"/>
    <x v="2"/>
    <n v="1931.8"/>
    <x v="76"/>
  </r>
  <r>
    <x v="1770"/>
    <x v="1755"/>
    <x v="2"/>
    <x v="1"/>
    <n v="34.92"/>
    <x v="2"/>
    <n v="174.6"/>
    <x v="6"/>
  </r>
  <r>
    <x v="1771"/>
    <x v="1756"/>
    <x v="1"/>
    <x v="4"/>
    <n v="378.33"/>
    <x v="0"/>
    <n v="1513.32"/>
    <x v="140"/>
  </r>
  <r>
    <x v="1772"/>
    <x v="1757"/>
    <x v="2"/>
    <x v="3"/>
    <n v="451.94"/>
    <x v="4"/>
    <n v="451.94"/>
    <x v="244"/>
  </r>
  <r>
    <x v="1773"/>
    <x v="1758"/>
    <x v="1"/>
    <x v="0"/>
    <n v="479.95"/>
    <x v="4"/>
    <n v="479.95"/>
    <x v="8"/>
  </r>
  <r>
    <x v="1774"/>
    <x v="1759"/>
    <x v="1"/>
    <x v="0"/>
    <n v="265.48"/>
    <x v="4"/>
    <n v="265.48"/>
    <x v="287"/>
  </r>
  <r>
    <x v="1775"/>
    <x v="1760"/>
    <x v="1"/>
    <x v="1"/>
    <n v="112.41"/>
    <x v="4"/>
    <n v="112.41"/>
    <x v="98"/>
  </r>
  <r>
    <x v="1776"/>
    <x v="1761"/>
    <x v="1"/>
    <x v="0"/>
    <n v="465.88"/>
    <x v="2"/>
    <n v="2329.4"/>
    <x v="8"/>
  </r>
  <r>
    <x v="1777"/>
    <x v="1762"/>
    <x v="1"/>
    <x v="3"/>
    <n v="114.51"/>
    <x v="4"/>
    <n v="114.51"/>
    <x v="156"/>
  </r>
  <r>
    <x v="1778"/>
    <x v="742"/>
    <x v="2"/>
    <x v="4"/>
    <n v="375.92"/>
    <x v="1"/>
    <n v="1127.76"/>
    <x v="298"/>
  </r>
  <r>
    <x v="1779"/>
    <x v="1763"/>
    <x v="0"/>
    <x v="0"/>
    <n v="351.35"/>
    <x v="2"/>
    <n v="1756.75"/>
    <x v="42"/>
  </r>
  <r>
    <x v="1780"/>
    <x v="1764"/>
    <x v="2"/>
    <x v="3"/>
    <n v="168.01"/>
    <x v="2"/>
    <n v="840.05"/>
    <x v="171"/>
  </r>
  <r>
    <x v="1781"/>
    <x v="1765"/>
    <x v="0"/>
    <x v="3"/>
    <n v="410.18"/>
    <x v="2"/>
    <n v="2050.9"/>
    <x v="389"/>
  </r>
  <r>
    <x v="1782"/>
    <x v="1766"/>
    <x v="2"/>
    <x v="2"/>
    <n v="476.64"/>
    <x v="4"/>
    <n v="476.64"/>
    <x v="6"/>
  </r>
  <r>
    <x v="1783"/>
    <x v="1767"/>
    <x v="2"/>
    <x v="3"/>
    <n v="351.11"/>
    <x v="3"/>
    <n v="702.22"/>
    <x v="331"/>
  </r>
  <r>
    <x v="1784"/>
    <x v="1768"/>
    <x v="1"/>
    <x v="4"/>
    <n v="459.19"/>
    <x v="0"/>
    <n v="1836.76"/>
    <x v="174"/>
  </r>
  <r>
    <x v="1785"/>
    <x v="1769"/>
    <x v="2"/>
    <x v="0"/>
    <n v="417.78"/>
    <x v="1"/>
    <n v="1253.3399999999999"/>
    <x v="197"/>
  </r>
  <r>
    <x v="1786"/>
    <x v="1770"/>
    <x v="0"/>
    <x v="4"/>
    <n v="200.44"/>
    <x v="3"/>
    <n v="400.88"/>
    <x v="60"/>
  </r>
  <r>
    <x v="1787"/>
    <x v="1771"/>
    <x v="1"/>
    <x v="4"/>
    <n v="351.83"/>
    <x v="0"/>
    <n v="1407.32"/>
    <x v="177"/>
  </r>
  <r>
    <x v="1788"/>
    <x v="1772"/>
    <x v="2"/>
    <x v="4"/>
    <n v="409.26"/>
    <x v="0"/>
    <n v="1637.04"/>
    <x v="339"/>
  </r>
  <r>
    <x v="1789"/>
    <x v="1773"/>
    <x v="2"/>
    <x v="3"/>
    <n v="419.76"/>
    <x v="4"/>
    <n v="419.76"/>
    <x v="156"/>
  </r>
  <r>
    <x v="1790"/>
    <x v="1774"/>
    <x v="1"/>
    <x v="4"/>
    <n v="394.33"/>
    <x v="4"/>
    <n v="394.33"/>
    <x v="61"/>
  </r>
  <r>
    <x v="1791"/>
    <x v="893"/>
    <x v="1"/>
    <x v="0"/>
    <n v="480.24"/>
    <x v="2"/>
    <n v="2401.1999999999998"/>
    <x v="161"/>
  </r>
  <r>
    <x v="1792"/>
    <x v="1775"/>
    <x v="1"/>
    <x v="2"/>
    <n v="152.21"/>
    <x v="0"/>
    <n v="608.84"/>
    <x v="20"/>
  </r>
  <r>
    <x v="1793"/>
    <x v="1776"/>
    <x v="2"/>
    <x v="3"/>
    <n v="257.68"/>
    <x v="3"/>
    <n v="515.36"/>
    <x v="84"/>
  </r>
  <r>
    <x v="1794"/>
    <x v="1777"/>
    <x v="2"/>
    <x v="4"/>
    <n v="33.57"/>
    <x v="0"/>
    <n v="134.28"/>
    <x v="105"/>
  </r>
  <r>
    <x v="1795"/>
    <x v="1778"/>
    <x v="0"/>
    <x v="3"/>
    <n v="56.16"/>
    <x v="4"/>
    <n v="56.16"/>
    <x v="233"/>
  </r>
  <r>
    <x v="1796"/>
    <x v="1779"/>
    <x v="1"/>
    <x v="3"/>
    <n v="366.98"/>
    <x v="2"/>
    <n v="1834.9"/>
    <x v="311"/>
  </r>
  <r>
    <x v="1797"/>
    <x v="1780"/>
    <x v="1"/>
    <x v="0"/>
    <n v="95.53"/>
    <x v="0"/>
    <n v="382.12"/>
    <x v="101"/>
  </r>
  <r>
    <x v="1798"/>
    <x v="1781"/>
    <x v="1"/>
    <x v="1"/>
    <n v="73.59"/>
    <x v="0"/>
    <n v="294.36"/>
    <x v="40"/>
  </r>
  <r>
    <x v="1799"/>
    <x v="1782"/>
    <x v="0"/>
    <x v="4"/>
    <n v="289.74"/>
    <x v="2"/>
    <n v="1448.7"/>
    <x v="265"/>
  </r>
  <r>
    <x v="1800"/>
    <x v="1783"/>
    <x v="1"/>
    <x v="2"/>
    <n v="494.38"/>
    <x v="2"/>
    <n v="2471.9"/>
    <x v="278"/>
  </r>
  <r>
    <x v="1801"/>
    <x v="1784"/>
    <x v="1"/>
    <x v="4"/>
    <n v="38.39"/>
    <x v="0"/>
    <n v="153.56"/>
    <x v="15"/>
  </r>
  <r>
    <x v="1802"/>
    <x v="1785"/>
    <x v="0"/>
    <x v="2"/>
    <n v="261.24"/>
    <x v="1"/>
    <n v="783.72"/>
    <x v="343"/>
  </r>
  <r>
    <x v="1803"/>
    <x v="1786"/>
    <x v="1"/>
    <x v="3"/>
    <n v="29.05"/>
    <x v="1"/>
    <n v="87.15"/>
    <x v="242"/>
  </r>
  <r>
    <x v="1215"/>
    <x v="1787"/>
    <x v="1"/>
    <x v="1"/>
    <n v="39.17"/>
    <x v="1"/>
    <n v="117.51"/>
    <x v="260"/>
  </r>
  <r>
    <x v="1804"/>
    <x v="1788"/>
    <x v="0"/>
    <x v="3"/>
    <n v="41.28"/>
    <x v="2"/>
    <n v="206.4"/>
    <x v="326"/>
  </r>
  <r>
    <x v="1805"/>
    <x v="1789"/>
    <x v="1"/>
    <x v="4"/>
    <n v="291.31"/>
    <x v="2"/>
    <n v="1456.55"/>
    <x v="139"/>
  </r>
  <r>
    <x v="1806"/>
    <x v="1790"/>
    <x v="2"/>
    <x v="3"/>
    <n v="246.79"/>
    <x v="2"/>
    <n v="1233.95"/>
    <x v="233"/>
  </r>
  <r>
    <x v="1807"/>
    <x v="1791"/>
    <x v="0"/>
    <x v="0"/>
    <n v="107.19"/>
    <x v="4"/>
    <n v="107.19"/>
    <x v="84"/>
  </r>
  <r>
    <x v="1808"/>
    <x v="1792"/>
    <x v="1"/>
    <x v="0"/>
    <n v="168.04"/>
    <x v="3"/>
    <n v="336.08"/>
    <x v="149"/>
  </r>
  <r>
    <x v="1809"/>
    <x v="1793"/>
    <x v="2"/>
    <x v="3"/>
    <n v="82.33"/>
    <x v="3"/>
    <n v="164.66"/>
    <x v="21"/>
  </r>
  <r>
    <x v="1810"/>
    <x v="1794"/>
    <x v="2"/>
    <x v="2"/>
    <n v="495.71"/>
    <x v="4"/>
    <n v="495.71"/>
    <x v="160"/>
  </r>
  <r>
    <x v="1811"/>
    <x v="1795"/>
    <x v="1"/>
    <x v="2"/>
    <n v="213.24"/>
    <x v="2"/>
    <n v="1066.2"/>
    <x v="229"/>
  </r>
  <r>
    <x v="1812"/>
    <x v="1796"/>
    <x v="1"/>
    <x v="1"/>
    <n v="414.26"/>
    <x v="0"/>
    <n v="1657.04"/>
    <x v="243"/>
  </r>
  <r>
    <x v="1813"/>
    <x v="1797"/>
    <x v="0"/>
    <x v="3"/>
    <n v="51.07"/>
    <x v="0"/>
    <n v="204.28"/>
    <x v="53"/>
  </r>
  <r>
    <x v="1814"/>
    <x v="1798"/>
    <x v="0"/>
    <x v="2"/>
    <n v="105.38"/>
    <x v="1"/>
    <n v="316.14"/>
    <x v="218"/>
  </r>
  <r>
    <x v="1815"/>
    <x v="1799"/>
    <x v="1"/>
    <x v="4"/>
    <n v="451.83"/>
    <x v="3"/>
    <n v="903.66"/>
    <x v="250"/>
  </r>
  <r>
    <x v="1816"/>
    <x v="1800"/>
    <x v="1"/>
    <x v="4"/>
    <n v="59.25"/>
    <x v="4"/>
    <n v="59.25"/>
    <x v="132"/>
  </r>
  <r>
    <x v="1817"/>
    <x v="1801"/>
    <x v="2"/>
    <x v="0"/>
    <n v="432.69"/>
    <x v="1"/>
    <n v="1298.07"/>
    <x v="195"/>
  </r>
  <r>
    <x v="1818"/>
    <x v="1802"/>
    <x v="1"/>
    <x v="2"/>
    <n v="289.73"/>
    <x v="3"/>
    <n v="579.46"/>
    <x v="274"/>
  </r>
  <r>
    <x v="1819"/>
    <x v="1803"/>
    <x v="1"/>
    <x v="2"/>
    <n v="390.64"/>
    <x v="2"/>
    <n v="1953.2"/>
    <x v="114"/>
  </r>
  <r>
    <x v="1820"/>
    <x v="1804"/>
    <x v="2"/>
    <x v="1"/>
    <n v="251.04"/>
    <x v="0"/>
    <n v="1004.16"/>
    <x v="388"/>
  </r>
  <r>
    <x v="1821"/>
    <x v="1805"/>
    <x v="1"/>
    <x v="0"/>
    <n v="214.86"/>
    <x v="1"/>
    <n v="644.58000000000004"/>
    <x v="247"/>
  </r>
  <r>
    <x v="1822"/>
    <x v="1806"/>
    <x v="0"/>
    <x v="2"/>
    <n v="433.34"/>
    <x v="3"/>
    <n v="866.68"/>
    <x v="357"/>
  </r>
  <r>
    <x v="1823"/>
    <x v="1807"/>
    <x v="1"/>
    <x v="1"/>
    <n v="244.74"/>
    <x v="1"/>
    <n v="734.22"/>
    <x v="22"/>
  </r>
  <r>
    <x v="1824"/>
    <x v="1808"/>
    <x v="0"/>
    <x v="4"/>
    <n v="37.04"/>
    <x v="2"/>
    <n v="185.2"/>
    <x v="172"/>
  </r>
  <r>
    <x v="1825"/>
    <x v="1809"/>
    <x v="1"/>
    <x v="2"/>
    <n v="134.51"/>
    <x v="1"/>
    <n v="403.53"/>
    <x v="70"/>
  </r>
  <r>
    <x v="1826"/>
    <x v="1810"/>
    <x v="0"/>
    <x v="0"/>
    <n v="216.35"/>
    <x v="3"/>
    <n v="432.7"/>
    <x v="16"/>
  </r>
  <r>
    <x v="1827"/>
    <x v="1794"/>
    <x v="0"/>
    <x v="2"/>
    <n v="342.13"/>
    <x v="0"/>
    <n v="1368.52"/>
    <x v="238"/>
  </r>
  <r>
    <x v="1828"/>
    <x v="1811"/>
    <x v="1"/>
    <x v="1"/>
    <n v="403.46"/>
    <x v="4"/>
    <n v="403.46"/>
    <x v="274"/>
  </r>
  <r>
    <x v="1829"/>
    <x v="1812"/>
    <x v="0"/>
    <x v="0"/>
    <n v="366.22"/>
    <x v="3"/>
    <n v="732.44"/>
    <x v="182"/>
  </r>
  <r>
    <x v="1830"/>
    <x v="1813"/>
    <x v="2"/>
    <x v="4"/>
    <n v="287.22000000000003"/>
    <x v="2"/>
    <n v="1436.1"/>
    <x v="136"/>
  </r>
  <r>
    <x v="1831"/>
    <x v="1814"/>
    <x v="0"/>
    <x v="0"/>
    <n v="422.94"/>
    <x v="4"/>
    <n v="422.94"/>
    <x v="53"/>
  </r>
  <r>
    <x v="1832"/>
    <x v="1815"/>
    <x v="1"/>
    <x v="4"/>
    <n v="484.94"/>
    <x v="2"/>
    <n v="2424.6999999999998"/>
    <x v="385"/>
  </r>
  <r>
    <x v="1833"/>
    <x v="1816"/>
    <x v="1"/>
    <x v="3"/>
    <n v="453"/>
    <x v="1"/>
    <n v="1359"/>
    <x v="96"/>
  </r>
  <r>
    <x v="1834"/>
    <x v="1817"/>
    <x v="1"/>
    <x v="1"/>
    <n v="131.87"/>
    <x v="2"/>
    <n v="659.35"/>
    <x v="11"/>
  </r>
  <r>
    <x v="1835"/>
    <x v="477"/>
    <x v="1"/>
    <x v="1"/>
    <n v="147.05000000000001"/>
    <x v="3"/>
    <n v="294.10000000000002"/>
    <x v="243"/>
  </r>
  <r>
    <x v="1836"/>
    <x v="1818"/>
    <x v="1"/>
    <x v="4"/>
    <n v="159.19"/>
    <x v="4"/>
    <n v="159.19"/>
    <x v="381"/>
  </r>
  <r>
    <x v="1837"/>
    <x v="1819"/>
    <x v="1"/>
    <x v="2"/>
    <n v="148.13999999999999"/>
    <x v="3"/>
    <n v="296.27999999999997"/>
    <x v="191"/>
  </r>
  <r>
    <x v="1838"/>
    <x v="1820"/>
    <x v="0"/>
    <x v="1"/>
    <n v="453.02"/>
    <x v="3"/>
    <n v="906.04"/>
    <x v="198"/>
  </r>
  <r>
    <x v="1839"/>
    <x v="1821"/>
    <x v="0"/>
    <x v="2"/>
    <n v="271.31"/>
    <x v="3"/>
    <n v="542.62"/>
    <x v="139"/>
  </r>
  <r>
    <x v="1840"/>
    <x v="1822"/>
    <x v="1"/>
    <x v="4"/>
    <n v="158.66"/>
    <x v="4"/>
    <n v="158.66"/>
    <x v="396"/>
  </r>
  <r>
    <x v="1841"/>
    <x v="1823"/>
    <x v="1"/>
    <x v="3"/>
    <n v="351.65"/>
    <x v="2"/>
    <n v="1758.25"/>
    <x v="332"/>
  </r>
  <r>
    <x v="1842"/>
    <x v="1824"/>
    <x v="0"/>
    <x v="4"/>
    <n v="499.46"/>
    <x v="2"/>
    <n v="2497.3000000000002"/>
    <x v="326"/>
  </r>
  <r>
    <x v="1843"/>
    <x v="1825"/>
    <x v="0"/>
    <x v="4"/>
    <n v="139.4"/>
    <x v="0"/>
    <n v="557.6"/>
    <x v="164"/>
  </r>
  <r>
    <x v="1844"/>
    <x v="1826"/>
    <x v="2"/>
    <x v="1"/>
    <n v="67.930000000000007"/>
    <x v="0"/>
    <n v="271.72000000000003"/>
    <x v="30"/>
  </r>
  <r>
    <x v="1845"/>
    <x v="1827"/>
    <x v="0"/>
    <x v="1"/>
    <n v="189.46"/>
    <x v="1"/>
    <n v="568.38"/>
    <x v="61"/>
  </r>
  <r>
    <x v="1846"/>
    <x v="1828"/>
    <x v="2"/>
    <x v="4"/>
    <n v="353.99"/>
    <x v="3"/>
    <n v="707.98"/>
    <x v="218"/>
  </r>
  <r>
    <x v="1847"/>
    <x v="111"/>
    <x v="1"/>
    <x v="3"/>
    <n v="131.55000000000001"/>
    <x v="3"/>
    <n v="263.10000000000002"/>
    <x v="40"/>
  </r>
  <r>
    <x v="1848"/>
    <x v="1829"/>
    <x v="2"/>
    <x v="2"/>
    <n v="231.64"/>
    <x v="3"/>
    <n v="463.28"/>
    <x v="0"/>
  </r>
  <r>
    <x v="1849"/>
    <x v="1830"/>
    <x v="0"/>
    <x v="1"/>
    <n v="19.170000000000002"/>
    <x v="0"/>
    <n v="76.680000000000007"/>
    <x v="321"/>
  </r>
  <r>
    <x v="1850"/>
    <x v="1831"/>
    <x v="2"/>
    <x v="1"/>
    <n v="40.5"/>
    <x v="4"/>
    <n v="40.5"/>
    <x v="255"/>
  </r>
  <r>
    <x v="1851"/>
    <x v="1832"/>
    <x v="0"/>
    <x v="1"/>
    <n v="113.87"/>
    <x v="1"/>
    <n v="341.61"/>
    <x v="118"/>
  </r>
  <r>
    <x v="1852"/>
    <x v="1833"/>
    <x v="2"/>
    <x v="3"/>
    <n v="492.55"/>
    <x v="3"/>
    <n v="985.1"/>
    <x v="365"/>
  </r>
  <r>
    <x v="1853"/>
    <x v="1834"/>
    <x v="2"/>
    <x v="1"/>
    <n v="395.43"/>
    <x v="4"/>
    <n v="395.43"/>
    <x v="182"/>
  </r>
  <r>
    <x v="1854"/>
    <x v="1835"/>
    <x v="1"/>
    <x v="4"/>
    <n v="407.28"/>
    <x v="0"/>
    <n v="1629.12"/>
    <x v="337"/>
  </r>
  <r>
    <x v="1855"/>
    <x v="1836"/>
    <x v="1"/>
    <x v="3"/>
    <n v="374.99"/>
    <x v="3"/>
    <n v="749.98"/>
    <x v="357"/>
  </r>
  <r>
    <x v="1856"/>
    <x v="1837"/>
    <x v="0"/>
    <x v="1"/>
    <n v="286.27999999999997"/>
    <x v="3"/>
    <n v="572.55999999999995"/>
    <x v="172"/>
  </r>
  <r>
    <x v="1857"/>
    <x v="1838"/>
    <x v="2"/>
    <x v="2"/>
    <n v="410.36"/>
    <x v="3"/>
    <n v="820.72"/>
    <x v="283"/>
  </r>
  <r>
    <x v="1858"/>
    <x v="422"/>
    <x v="1"/>
    <x v="4"/>
    <n v="410.47"/>
    <x v="1"/>
    <n v="1231.4100000000001"/>
    <x v="150"/>
  </r>
  <r>
    <x v="1859"/>
    <x v="1839"/>
    <x v="0"/>
    <x v="0"/>
    <n v="358.11"/>
    <x v="3"/>
    <n v="716.22"/>
    <x v="196"/>
  </r>
  <r>
    <x v="1860"/>
    <x v="1840"/>
    <x v="0"/>
    <x v="2"/>
    <n v="186.87"/>
    <x v="0"/>
    <n v="747.48"/>
    <x v="387"/>
  </r>
  <r>
    <x v="1861"/>
    <x v="1841"/>
    <x v="2"/>
    <x v="4"/>
    <n v="20.440000000000001"/>
    <x v="0"/>
    <n v="81.760000000000005"/>
    <x v="279"/>
  </r>
  <r>
    <x v="1862"/>
    <x v="1842"/>
    <x v="0"/>
    <x v="3"/>
    <n v="145.13"/>
    <x v="1"/>
    <n v="435.39"/>
    <x v="178"/>
  </r>
  <r>
    <x v="1863"/>
    <x v="1843"/>
    <x v="2"/>
    <x v="2"/>
    <n v="70.22"/>
    <x v="2"/>
    <n v="351.1"/>
    <x v="192"/>
  </r>
  <r>
    <x v="1864"/>
    <x v="1844"/>
    <x v="0"/>
    <x v="2"/>
    <n v="410.25"/>
    <x v="2"/>
    <n v="2051.25"/>
    <x v="164"/>
  </r>
  <r>
    <x v="1865"/>
    <x v="1845"/>
    <x v="2"/>
    <x v="2"/>
    <n v="375"/>
    <x v="3"/>
    <n v="750"/>
    <x v="83"/>
  </r>
  <r>
    <x v="1866"/>
    <x v="1846"/>
    <x v="0"/>
    <x v="3"/>
    <n v="56.3"/>
    <x v="3"/>
    <n v="112.6"/>
    <x v="349"/>
  </r>
  <r>
    <x v="1867"/>
    <x v="1847"/>
    <x v="2"/>
    <x v="3"/>
    <n v="383.25"/>
    <x v="2"/>
    <n v="1916.25"/>
    <x v="300"/>
  </r>
  <r>
    <x v="1868"/>
    <x v="1848"/>
    <x v="1"/>
    <x v="3"/>
    <n v="28.45"/>
    <x v="4"/>
    <n v="28.45"/>
    <x v="197"/>
  </r>
  <r>
    <x v="1869"/>
    <x v="1849"/>
    <x v="0"/>
    <x v="4"/>
    <n v="219.77"/>
    <x v="3"/>
    <n v="439.54"/>
    <x v="370"/>
  </r>
  <r>
    <x v="1870"/>
    <x v="1850"/>
    <x v="0"/>
    <x v="1"/>
    <n v="452.46"/>
    <x v="0"/>
    <n v="1809.84"/>
    <x v="153"/>
  </r>
  <r>
    <x v="1871"/>
    <x v="1851"/>
    <x v="1"/>
    <x v="1"/>
    <n v="295.10000000000002"/>
    <x v="4"/>
    <n v="295.10000000000002"/>
    <x v="287"/>
  </r>
  <r>
    <x v="1872"/>
    <x v="1852"/>
    <x v="2"/>
    <x v="1"/>
    <n v="153.79"/>
    <x v="4"/>
    <n v="153.79"/>
    <x v="215"/>
  </r>
  <r>
    <x v="1873"/>
    <x v="1853"/>
    <x v="0"/>
    <x v="2"/>
    <n v="74.87"/>
    <x v="2"/>
    <n v="374.35"/>
    <x v="339"/>
  </r>
  <r>
    <x v="1874"/>
    <x v="1854"/>
    <x v="1"/>
    <x v="3"/>
    <n v="472.08"/>
    <x v="0"/>
    <n v="1888.32"/>
    <x v="78"/>
  </r>
  <r>
    <x v="1875"/>
    <x v="1855"/>
    <x v="1"/>
    <x v="1"/>
    <n v="209.84"/>
    <x v="4"/>
    <n v="209.84"/>
    <x v="200"/>
  </r>
  <r>
    <x v="1876"/>
    <x v="1856"/>
    <x v="0"/>
    <x v="3"/>
    <n v="495.42"/>
    <x v="3"/>
    <n v="990.84"/>
    <x v="327"/>
  </r>
  <r>
    <x v="1877"/>
    <x v="1857"/>
    <x v="1"/>
    <x v="4"/>
    <n v="408.51"/>
    <x v="2"/>
    <n v="2042.55"/>
    <x v="266"/>
  </r>
  <r>
    <x v="1878"/>
    <x v="1858"/>
    <x v="1"/>
    <x v="0"/>
    <n v="329.06"/>
    <x v="1"/>
    <n v="987.18"/>
    <x v="196"/>
  </r>
  <r>
    <x v="1879"/>
    <x v="1859"/>
    <x v="2"/>
    <x v="4"/>
    <n v="381.34"/>
    <x v="1"/>
    <n v="1144.02"/>
    <x v="215"/>
  </r>
  <r>
    <x v="1880"/>
    <x v="1860"/>
    <x v="0"/>
    <x v="4"/>
    <n v="423.4"/>
    <x v="3"/>
    <n v="846.8"/>
    <x v="57"/>
  </r>
  <r>
    <x v="1881"/>
    <x v="1861"/>
    <x v="2"/>
    <x v="2"/>
    <n v="437.49"/>
    <x v="3"/>
    <n v="874.98"/>
    <x v="0"/>
  </r>
  <r>
    <x v="1882"/>
    <x v="1862"/>
    <x v="1"/>
    <x v="3"/>
    <n v="29.22"/>
    <x v="3"/>
    <n v="58.44"/>
    <x v="138"/>
  </r>
  <r>
    <x v="1883"/>
    <x v="1863"/>
    <x v="2"/>
    <x v="4"/>
    <n v="174.78"/>
    <x v="0"/>
    <n v="699.12"/>
    <x v="332"/>
  </r>
  <r>
    <x v="1884"/>
    <x v="1864"/>
    <x v="1"/>
    <x v="2"/>
    <n v="333.06"/>
    <x v="4"/>
    <n v="333.06"/>
    <x v="150"/>
  </r>
  <r>
    <x v="1885"/>
    <x v="1865"/>
    <x v="1"/>
    <x v="3"/>
    <n v="101.56"/>
    <x v="4"/>
    <n v="101.56"/>
    <x v="343"/>
  </r>
  <r>
    <x v="1886"/>
    <x v="1866"/>
    <x v="1"/>
    <x v="0"/>
    <n v="223.47"/>
    <x v="1"/>
    <n v="670.41"/>
    <x v="244"/>
  </r>
  <r>
    <x v="1887"/>
    <x v="1867"/>
    <x v="0"/>
    <x v="0"/>
    <n v="70.48"/>
    <x v="4"/>
    <n v="70.48"/>
    <x v="48"/>
  </r>
  <r>
    <x v="1888"/>
    <x v="1868"/>
    <x v="1"/>
    <x v="1"/>
    <n v="202.8"/>
    <x v="2"/>
    <n v="1014"/>
    <x v="370"/>
  </r>
  <r>
    <x v="1889"/>
    <x v="1869"/>
    <x v="2"/>
    <x v="2"/>
    <n v="178.22"/>
    <x v="4"/>
    <n v="178.22"/>
    <x v="328"/>
  </r>
  <r>
    <x v="1890"/>
    <x v="1870"/>
    <x v="1"/>
    <x v="0"/>
    <n v="80.819999999999993"/>
    <x v="1"/>
    <n v="242.46"/>
    <x v="12"/>
  </r>
  <r>
    <x v="1891"/>
    <x v="1871"/>
    <x v="2"/>
    <x v="2"/>
    <n v="73.819999999999993"/>
    <x v="2"/>
    <n v="369.1"/>
    <x v="355"/>
  </r>
  <r>
    <x v="1892"/>
    <x v="1872"/>
    <x v="2"/>
    <x v="1"/>
    <n v="267.7"/>
    <x v="2"/>
    <n v="1338.5"/>
    <x v="295"/>
  </r>
  <r>
    <x v="1893"/>
    <x v="1873"/>
    <x v="0"/>
    <x v="3"/>
    <n v="258.04000000000002"/>
    <x v="0"/>
    <n v="1032.1600000000001"/>
    <x v="72"/>
  </r>
  <r>
    <x v="1894"/>
    <x v="1874"/>
    <x v="0"/>
    <x v="2"/>
    <n v="442.71"/>
    <x v="3"/>
    <n v="885.42"/>
    <x v="256"/>
  </r>
  <r>
    <x v="1895"/>
    <x v="1875"/>
    <x v="1"/>
    <x v="4"/>
    <n v="117.57"/>
    <x v="0"/>
    <n v="470.28"/>
    <x v="45"/>
  </r>
  <r>
    <x v="1896"/>
    <x v="1876"/>
    <x v="2"/>
    <x v="3"/>
    <n v="346.53"/>
    <x v="0"/>
    <n v="1386.12"/>
    <x v="367"/>
  </r>
  <r>
    <x v="1897"/>
    <x v="1877"/>
    <x v="2"/>
    <x v="1"/>
    <n v="316.8"/>
    <x v="4"/>
    <n v="316.8"/>
    <x v="109"/>
  </r>
  <r>
    <x v="1898"/>
    <x v="1878"/>
    <x v="0"/>
    <x v="1"/>
    <n v="59.97"/>
    <x v="3"/>
    <n v="119.94"/>
    <x v="259"/>
  </r>
  <r>
    <x v="1899"/>
    <x v="1879"/>
    <x v="0"/>
    <x v="0"/>
    <n v="201.03"/>
    <x v="1"/>
    <n v="603.09"/>
    <x v="27"/>
  </r>
  <r>
    <x v="1900"/>
    <x v="1880"/>
    <x v="0"/>
    <x v="1"/>
    <n v="406.15"/>
    <x v="0"/>
    <n v="1624.6"/>
    <x v="39"/>
  </r>
  <r>
    <x v="1901"/>
    <x v="1881"/>
    <x v="1"/>
    <x v="1"/>
    <n v="147.5"/>
    <x v="2"/>
    <n v="737.5"/>
    <x v="159"/>
  </r>
  <r>
    <x v="1902"/>
    <x v="1882"/>
    <x v="1"/>
    <x v="2"/>
    <n v="30.78"/>
    <x v="2"/>
    <n v="153.9"/>
    <x v="317"/>
  </r>
  <r>
    <x v="1903"/>
    <x v="1883"/>
    <x v="2"/>
    <x v="3"/>
    <n v="354.09"/>
    <x v="2"/>
    <n v="1770.45"/>
    <x v="298"/>
  </r>
  <r>
    <x v="1904"/>
    <x v="1884"/>
    <x v="1"/>
    <x v="0"/>
    <n v="75.510000000000005"/>
    <x v="0"/>
    <n v="302.04000000000002"/>
    <x v="33"/>
  </r>
  <r>
    <x v="1905"/>
    <x v="1885"/>
    <x v="1"/>
    <x v="1"/>
    <n v="143.13999999999999"/>
    <x v="3"/>
    <n v="286.27999999999997"/>
    <x v="45"/>
  </r>
  <r>
    <x v="1906"/>
    <x v="1886"/>
    <x v="1"/>
    <x v="4"/>
    <n v="421.65"/>
    <x v="4"/>
    <n v="421.65"/>
    <x v="253"/>
  </r>
  <r>
    <x v="1907"/>
    <x v="1887"/>
    <x v="2"/>
    <x v="3"/>
    <n v="29.31"/>
    <x v="2"/>
    <n v="146.55000000000001"/>
    <x v="105"/>
  </r>
  <r>
    <x v="1908"/>
    <x v="1888"/>
    <x v="1"/>
    <x v="3"/>
    <n v="173.13"/>
    <x v="0"/>
    <n v="692.52"/>
    <x v="56"/>
  </r>
  <r>
    <x v="1909"/>
    <x v="1889"/>
    <x v="1"/>
    <x v="1"/>
    <n v="227.28"/>
    <x v="0"/>
    <n v="909.12"/>
    <x v="108"/>
  </r>
  <r>
    <x v="1910"/>
    <x v="1890"/>
    <x v="2"/>
    <x v="1"/>
    <n v="249.64"/>
    <x v="2"/>
    <n v="1248.2"/>
    <x v="258"/>
  </r>
  <r>
    <x v="1911"/>
    <x v="1891"/>
    <x v="2"/>
    <x v="1"/>
    <n v="437.59"/>
    <x v="0"/>
    <n v="1750.36"/>
    <x v="326"/>
  </r>
  <r>
    <x v="1912"/>
    <x v="1892"/>
    <x v="2"/>
    <x v="3"/>
    <n v="118.55"/>
    <x v="1"/>
    <n v="355.65"/>
    <x v="23"/>
  </r>
  <r>
    <x v="1913"/>
    <x v="1893"/>
    <x v="2"/>
    <x v="2"/>
    <n v="244.6"/>
    <x v="0"/>
    <n v="978.4"/>
    <x v="17"/>
  </r>
  <r>
    <x v="1914"/>
    <x v="1894"/>
    <x v="2"/>
    <x v="3"/>
    <n v="366.59"/>
    <x v="3"/>
    <n v="733.18"/>
    <x v="156"/>
  </r>
  <r>
    <x v="1915"/>
    <x v="1895"/>
    <x v="0"/>
    <x v="2"/>
    <n v="475.88"/>
    <x v="1"/>
    <n v="1427.64"/>
    <x v="221"/>
  </r>
  <r>
    <x v="1916"/>
    <x v="1896"/>
    <x v="0"/>
    <x v="2"/>
    <n v="366.68"/>
    <x v="3"/>
    <n v="733.36"/>
    <x v="49"/>
  </r>
  <r>
    <x v="1917"/>
    <x v="1897"/>
    <x v="0"/>
    <x v="4"/>
    <n v="322.32"/>
    <x v="1"/>
    <n v="966.96"/>
    <x v="255"/>
  </r>
  <r>
    <x v="1918"/>
    <x v="1898"/>
    <x v="1"/>
    <x v="4"/>
    <n v="278"/>
    <x v="2"/>
    <n v="1390"/>
    <x v="266"/>
  </r>
  <r>
    <x v="1919"/>
    <x v="1899"/>
    <x v="2"/>
    <x v="4"/>
    <n v="426.9"/>
    <x v="1"/>
    <n v="1280.7"/>
    <x v="116"/>
  </r>
  <r>
    <x v="1920"/>
    <x v="1900"/>
    <x v="1"/>
    <x v="3"/>
    <n v="187.36"/>
    <x v="2"/>
    <n v="936.8"/>
    <x v="234"/>
  </r>
  <r>
    <x v="1921"/>
    <x v="1901"/>
    <x v="0"/>
    <x v="3"/>
    <n v="272.58999999999997"/>
    <x v="3"/>
    <n v="545.17999999999995"/>
    <x v="27"/>
  </r>
  <r>
    <x v="1922"/>
    <x v="1902"/>
    <x v="1"/>
    <x v="2"/>
    <n v="162.16999999999999"/>
    <x v="1"/>
    <n v="486.51"/>
    <x v="170"/>
  </r>
  <r>
    <x v="1923"/>
    <x v="1903"/>
    <x v="1"/>
    <x v="4"/>
    <n v="38.89"/>
    <x v="4"/>
    <n v="38.89"/>
    <x v="260"/>
  </r>
  <r>
    <x v="1924"/>
    <x v="1904"/>
    <x v="0"/>
    <x v="0"/>
    <n v="222.12"/>
    <x v="2"/>
    <n v="1110.5999999999999"/>
    <x v="49"/>
  </r>
  <r>
    <x v="1925"/>
    <x v="1905"/>
    <x v="1"/>
    <x v="3"/>
    <n v="136.04"/>
    <x v="0"/>
    <n v="544.16"/>
    <x v="28"/>
  </r>
  <r>
    <x v="1926"/>
    <x v="1906"/>
    <x v="2"/>
    <x v="4"/>
    <n v="397.69"/>
    <x v="4"/>
    <n v="397.69"/>
    <x v="152"/>
  </r>
  <r>
    <x v="1927"/>
    <x v="1907"/>
    <x v="0"/>
    <x v="2"/>
    <n v="397.86"/>
    <x v="0"/>
    <n v="1591.44"/>
    <x v="175"/>
  </r>
  <r>
    <x v="1928"/>
    <x v="1908"/>
    <x v="0"/>
    <x v="0"/>
    <n v="14.13"/>
    <x v="4"/>
    <n v="14.13"/>
    <x v="256"/>
  </r>
  <r>
    <x v="1929"/>
    <x v="1909"/>
    <x v="1"/>
    <x v="3"/>
    <n v="161.05000000000001"/>
    <x v="0"/>
    <n v="644.20000000000005"/>
    <x v="99"/>
  </r>
  <r>
    <x v="1930"/>
    <x v="1910"/>
    <x v="1"/>
    <x v="3"/>
    <n v="484.51"/>
    <x v="1"/>
    <n v="1453.53"/>
    <x v="255"/>
  </r>
  <r>
    <x v="1931"/>
    <x v="1911"/>
    <x v="1"/>
    <x v="2"/>
    <n v="438.52"/>
    <x v="0"/>
    <n v="1754.08"/>
    <x v="390"/>
  </r>
  <r>
    <x v="1932"/>
    <x v="1912"/>
    <x v="0"/>
    <x v="4"/>
    <n v="29.98"/>
    <x v="1"/>
    <n v="89.94"/>
    <x v="71"/>
  </r>
  <r>
    <x v="1933"/>
    <x v="1913"/>
    <x v="1"/>
    <x v="3"/>
    <n v="479.76"/>
    <x v="1"/>
    <n v="1439.28"/>
    <x v="62"/>
  </r>
  <r>
    <x v="1934"/>
    <x v="1914"/>
    <x v="0"/>
    <x v="4"/>
    <n v="63.73"/>
    <x v="4"/>
    <n v="63.73"/>
    <x v="340"/>
  </r>
  <r>
    <x v="1935"/>
    <x v="1915"/>
    <x v="1"/>
    <x v="2"/>
    <n v="51.9"/>
    <x v="4"/>
    <n v="51.9"/>
    <x v="67"/>
  </r>
  <r>
    <x v="1936"/>
    <x v="1916"/>
    <x v="2"/>
    <x v="3"/>
    <n v="457.39"/>
    <x v="3"/>
    <n v="914.78"/>
    <x v="172"/>
  </r>
  <r>
    <x v="1937"/>
    <x v="1917"/>
    <x v="0"/>
    <x v="2"/>
    <n v="351.96"/>
    <x v="2"/>
    <n v="1759.8"/>
    <x v="284"/>
  </r>
  <r>
    <x v="1938"/>
    <x v="1918"/>
    <x v="1"/>
    <x v="0"/>
    <n v="153.51"/>
    <x v="3"/>
    <n v="307.02"/>
    <x v="289"/>
  </r>
  <r>
    <x v="1939"/>
    <x v="1919"/>
    <x v="1"/>
    <x v="4"/>
    <n v="362.89"/>
    <x v="1"/>
    <n v="1088.67"/>
    <x v="172"/>
  </r>
  <r>
    <x v="1940"/>
    <x v="1920"/>
    <x v="0"/>
    <x v="1"/>
    <n v="48.41"/>
    <x v="2"/>
    <n v="242.05"/>
    <x v="317"/>
  </r>
  <r>
    <x v="1941"/>
    <x v="1921"/>
    <x v="2"/>
    <x v="2"/>
    <n v="121.7"/>
    <x v="0"/>
    <n v="486.8"/>
    <x v="14"/>
  </r>
  <r>
    <x v="1942"/>
    <x v="1922"/>
    <x v="2"/>
    <x v="0"/>
    <n v="185.31"/>
    <x v="4"/>
    <n v="185.31"/>
    <x v="112"/>
  </r>
  <r>
    <x v="1943"/>
    <x v="1923"/>
    <x v="1"/>
    <x v="2"/>
    <n v="406.4"/>
    <x v="4"/>
    <n v="406.4"/>
    <x v="373"/>
  </r>
  <r>
    <x v="1944"/>
    <x v="1924"/>
    <x v="2"/>
    <x v="2"/>
    <n v="117.22"/>
    <x v="0"/>
    <n v="468.88"/>
    <x v="265"/>
  </r>
  <r>
    <x v="1945"/>
    <x v="1925"/>
    <x v="0"/>
    <x v="3"/>
    <n v="191.35"/>
    <x v="1"/>
    <n v="574.04999999999995"/>
    <x v="138"/>
  </r>
  <r>
    <x v="1946"/>
    <x v="1926"/>
    <x v="1"/>
    <x v="4"/>
    <n v="163.99"/>
    <x v="2"/>
    <n v="819.95"/>
    <x v="182"/>
  </r>
  <r>
    <x v="1947"/>
    <x v="1927"/>
    <x v="2"/>
    <x v="1"/>
    <n v="141.97999999999999"/>
    <x v="0"/>
    <n v="567.91999999999996"/>
    <x v="181"/>
  </r>
  <r>
    <x v="1948"/>
    <x v="1928"/>
    <x v="0"/>
    <x v="0"/>
    <n v="358.94"/>
    <x v="3"/>
    <n v="717.88"/>
    <x v="199"/>
  </r>
  <r>
    <x v="1949"/>
    <x v="1929"/>
    <x v="2"/>
    <x v="2"/>
    <n v="201.23"/>
    <x v="4"/>
    <n v="201.23"/>
    <x v="163"/>
  </r>
  <r>
    <x v="1950"/>
    <x v="1930"/>
    <x v="1"/>
    <x v="3"/>
    <n v="311.35000000000002"/>
    <x v="3"/>
    <n v="622.70000000000005"/>
    <x v="126"/>
  </r>
  <r>
    <x v="1951"/>
    <x v="1931"/>
    <x v="2"/>
    <x v="1"/>
    <n v="461.96"/>
    <x v="0"/>
    <n v="1847.84"/>
    <x v="384"/>
  </r>
  <r>
    <x v="1952"/>
    <x v="1932"/>
    <x v="0"/>
    <x v="4"/>
    <n v="391.49"/>
    <x v="1"/>
    <n v="1174.47"/>
    <x v="311"/>
  </r>
  <r>
    <x v="1953"/>
    <x v="1933"/>
    <x v="1"/>
    <x v="4"/>
    <n v="434.84"/>
    <x v="0"/>
    <n v="1739.36"/>
    <x v="225"/>
  </r>
  <r>
    <x v="1954"/>
    <x v="1934"/>
    <x v="1"/>
    <x v="1"/>
    <n v="330.38"/>
    <x v="1"/>
    <n v="991.14"/>
    <x v="215"/>
  </r>
  <r>
    <x v="1955"/>
    <x v="1935"/>
    <x v="2"/>
    <x v="2"/>
    <n v="172.83"/>
    <x v="1"/>
    <n v="518.49"/>
    <x v="37"/>
  </r>
  <r>
    <x v="1956"/>
    <x v="1936"/>
    <x v="0"/>
    <x v="3"/>
    <n v="29.97"/>
    <x v="2"/>
    <n v="149.85"/>
    <x v="169"/>
  </r>
  <r>
    <x v="1957"/>
    <x v="1937"/>
    <x v="1"/>
    <x v="4"/>
    <n v="194.81"/>
    <x v="0"/>
    <n v="779.24"/>
    <x v="90"/>
  </r>
  <r>
    <x v="1958"/>
    <x v="1938"/>
    <x v="1"/>
    <x v="0"/>
    <n v="39.76"/>
    <x v="2"/>
    <n v="198.8"/>
    <x v="312"/>
  </r>
  <r>
    <x v="1959"/>
    <x v="1939"/>
    <x v="2"/>
    <x v="4"/>
    <n v="259.38"/>
    <x v="3"/>
    <n v="518.76"/>
    <x v="289"/>
  </r>
  <r>
    <x v="1960"/>
    <x v="1940"/>
    <x v="1"/>
    <x v="0"/>
    <n v="261.68"/>
    <x v="2"/>
    <n v="1308.4000000000001"/>
    <x v="182"/>
  </r>
  <r>
    <x v="1961"/>
    <x v="1941"/>
    <x v="1"/>
    <x v="3"/>
    <n v="199.76"/>
    <x v="4"/>
    <n v="199.76"/>
    <x v="373"/>
  </r>
  <r>
    <x v="1962"/>
    <x v="1942"/>
    <x v="1"/>
    <x v="4"/>
    <n v="468.52"/>
    <x v="1"/>
    <n v="1405.56"/>
    <x v="380"/>
  </r>
  <r>
    <x v="1963"/>
    <x v="1943"/>
    <x v="2"/>
    <x v="4"/>
    <n v="37.29"/>
    <x v="0"/>
    <n v="149.16"/>
    <x v="358"/>
  </r>
  <r>
    <x v="1964"/>
    <x v="1944"/>
    <x v="2"/>
    <x v="4"/>
    <n v="174.61"/>
    <x v="3"/>
    <n v="349.22"/>
    <x v="69"/>
  </r>
  <r>
    <x v="1965"/>
    <x v="1945"/>
    <x v="1"/>
    <x v="0"/>
    <n v="42.29"/>
    <x v="4"/>
    <n v="42.29"/>
    <x v="268"/>
  </r>
  <r>
    <x v="1966"/>
    <x v="1946"/>
    <x v="1"/>
    <x v="2"/>
    <n v="143.05000000000001"/>
    <x v="3"/>
    <n v="286.10000000000002"/>
    <x v="252"/>
  </r>
  <r>
    <x v="1967"/>
    <x v="1947"/>
    <x v="2"/>
    <x v="0"/>
    <n v="172.31"/>
    <x v="1"/>
    <n v="516.92999999999995"/>
    <x v="95"/>
  </r>
  <r>
    <x v="1968"/>
    <x v="1948"/>
    <x v="0"/>
    <x v="3"/>
    <n v="298.69"/>
    <x v="3"/>
    <n v="597.38"/>
    <x v="134"/>
  </r>
  <r>
    <x v="1969"/>
    <x v="1949"/>
    <x v="1"/>
    <x v="4"/>
    <n v="435.23"/>
    <x v="2"/>
    <n v="2176.15"/>
    <x v="62"/>
  </r>
  <r>
    <x v="1970"/>
    <x v="1950"/>
    <x v="2"/>
    <x v="4"/>
    <n v="387.21"/>
    <x v="0"/>
    <n v="1548.84"/>
    <x v="30"/>
  </r>
  <r>
    <x v="1971"/>
    <x v="1951"/>
    <x v="1"/>
    <x v="2"/>
    <n v="218.15"/>
    <x v="2"/>
    <n v="1090.75"/>
    <x v="14"/>
  </r>
  <r>
    <x v="1972"/>
    <x v="1952"/>
    <x v="1"/>
    <x v="0"/>
    <n v="100.06"/>
    <x v="1"/>
    <n v="300.18"/>
    <x v="357"/>
  </r>
  <r>
    <x v="1973"/>
    <x v="1953"/>
    <x v="0"/>
    <x v="3"/>
    <n v="164.51"/>
    <x v="4"/>
    <n v="164.51"/>
    <x v="243"/>
  </r>
  <r>
    <x v="1974"/>
    <x v="1954"/>
    <x v="1"/>
    <x v="0"/>
    <n v="252.95"/>
    <x v="3"/>
    <n v="505.9"/>
    <x v="275"/>
  </r>
  <r>
    <x v="1975"/>
    <x v="1955"/>
    <x v="2"/>
    <x v="4"/>
    <n v="456.9"/>
    <x v="3"/>
    <n v="913.8"/>
    <x v="363"/>
  </r>
  <r>
    <x v="1976"/>
    <x v="1956"/>
    <x v="1"/>
    <x v="1"/>
    <n v="434.05"/>
    <x v="0"/>
    <n v="1736.2"/>
    <x v="327"/>
  </r>
  <r>
    <x v="1977"/>
    <x v="1957"/>
    <x v="1"/>
    <x v="4"/>
    <n v="461.43"/>
    <x v="2"/>
    <n v="2307.15"/>
    <x v="252"/>
  </r>
  <r>
    <x v="1978"/>
    <x v="1958"/>
    <x v="0"/>
    <x v="4"/>
    <n v="167.87"/>
    <x v="3"/>
    <n v="335.74"/>
    <x v="142"/>
  </r>
  <r>
    <x v="1979"/>
    <x v="1959"/>
    <x v="2"/>
    <x v="4"/>
    <n v="482.18"/>
    <x v="0"/>
    <n v="1928.72"/>
    <x v="228"/>
  </r>
  <r>
    <x v="1980"/>
    <x v="1960"/>
    <x v="2"/>
    <x v="1"/>
    <n v="335.31"/>
    <x v="2"/>
    <n v="1676.55"/>
    <x v="9"/>
  </r>
  <r>
    <x v="1981"/>
    <x v="1961"/>
    <x v="0"/>
    <x v="2"/>
    <n v="397.67"/>
    <x v="0"/>
    <n v="1590.68"/>
    <x v="278"/>
  </r>
  <r>
    <x v="1982"/>
    <x v="1962"/>
    <x v="1"/>
    <x v="0"/>
    <n v="299.14999999999998"/>
    <x v="4"/>
    <n v="299.14999999999998"/>
    <x v="190"/>
  </r>
  <r>
    <x v="1983"/>
    <x v="1963"/>
    <x v="0"/>
    <x v="3"/>
    <n v="111.75"/>
    <x v="3"/>
    <n v="223.5"/>
    <x v="95"/>
  </r>
  <r>
    <x v="1984"/>
    <x v="1964"/>
    <x v="1"/>
    <x v="4"/>
    <n v="335.85"/>
    <x v="3"/>
    <n v="671.7"/>
    <x v="82"/>
  </r>
  <r>
    <x v="1985"/>
    <x v="1965"/>
    <x v="2"/>
    <x v="1"/>
    <n v="358.85"/>
    <x v="2"/>
    <n v="1794.25"/>
    <x v="136"/>
  </r>
  <r>
    <x v="1986"/>
    <x v="1966"/>
    <x v="1"/>
    <x v="0"/>
    <n v="463.82"/>
    <x v="1"/>
    <n v="1391.46"/>
    <x v="240"/>
  </r>
  <r>
    <x v="1987"/>
    <x v="1967"/>
    <x v="2"/>
    <x v="4"/>
    <n v="94.09"/>
    <x v="3"/>
    <n v="188.18"/>
    <x v="53"/>
  </r>
  <r>
    <x v="1988"/>
    <x v="1968"/>
    <x v="2"/>
    <x v="3"/>
    <n v="247.76"/>
    <x v="4"/>
    <n v="247.76"/>
    <x v="268"/>
  </r>
  <r>
    <x v="1989"/>
    <x v="1969"/>
    <x v="0"/>
    <x v="3"/>
    <n v="99.08"/>
    <x v="3"/>
    <n v="198.16"/>
    <x v="215"/>
  </r>
  <r>
    <x v="1990"/>
    <x v="1970"/>
    <x v="1"/>
    <x v="4"/>
    <n v="378.13"/>
    <x v="1"/>
    <n v="1134.3900000000001"/>
    <x v="160"/>
  </r>
  <r>
    <x v="1991"/>
    <x v="1971"/>
    <x v="2"/>
    <x v="1"/>
    <n v="66.209999999999994"/>
    <x v="4"/>
    <n v="66.209999999999994"/>
    <x v="395"/>
  </r>
  <r>
    <x v="1992"/>
    <x v="1972"/>
    <x v="1"/>
    <x v="1"/>
    <n v="278.92"/>
    <x v="4"/>
    <n v="278.92"/>
    <x v="197"/>
  </r>
  <r>
    <x v="1993"/>
    <x v="1973"/>
    <x v="0"/>
    <x v="4"/>
    <n v="390.1"/>
    <x v="2"/>
    <n v="1950.5"/>
    <x v="294"/>
  </r>
  <r>
    <x v="1994"/>
    <x v="1974"/>
    <x v="0"/>
    <x v="4"/>
    <n v="109.47"/>
    <x v="3"/>
    <n v="218.94"/>
    <x v="10"/>
  </r>
  <r>
    <x v="1995"/>
    <x v="1975"/>
    <x v="0"/>
    <x v="1"/>
    <n v="331.46"/>
    <x v="1"/>
    <n v="994.38"/>
    <x v="3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BB31F1-6A3C-4FAC-8226-F56A17A8834D}" name="PivotTable8"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7">
  <location ref="A14:B18" firstHeaderRow="1" firstDataRow="1" firstDataCol="1"/>
  <pivotFields count="10">
    <pivotField numFmtId="14" showAll="0">
      <items count="15">
        <item x="0"/>
        <item x="1"/>
        <item x="2"/>
        <item x="3"/>
        <item x="4"/>
        <item x="5"/>
        <item x="6"/>
        <item x="7"/>
        <item x="8"/>
        <item x="9"/>
        <item x="10"/>
        <item x="11"/>
        <item x="12"/>
        <item x="13"/>
        <item t="default"/>
      </items>
    </pivotField>
    <pivotField numFmtId="164" showAll="0"/>
    <pivotField axis="axisRow" showAll="0">
      <items count="4">
        <item x="0"/>
        <item x="1"/>
        <item x="2"/>
        <item t="default"/>
      </items>
    </pivotField>
    <pivotField showAll="0">
      <items count="6">
        <item x="4"/>
        <item x="3"/>
        <item x="2"/>
        <item x="0"/>
        <item x="1"/>
        <item t="default"/>
      </items>
    </pivotField>
    <pivotField numFmtId="165" showAll="0"/>
    <pivotField showAll="0"/>
    <pivotField dataField="1" numFmtId="165" showAll="0"/>
    <pivotField showAll="0">
      <items count="398">
        <item x="266"/>
        <item x="37"/>
        <item x="150"/>
        <item x="57"/>
        <item x="160"/>
        <item x="340"/>
        <item x="26"/>
        <item x="86"/>
        <item x="304"/>
        <item x="297"/>
        <item x="34"/>
        <item x="79"/>
        <item x="375"/>
        <item x="326"/>
        <item x="195"/>
        <item x="27"/>
        <item x="66"/>
        <item x="185"/>
        <item x="225"/>
        <item x="43"/>
        <item x="215"/>
        <item x="359"/>
        <item x="373"/>
        <item x="24"/>
        <item x="332"/>
        <item x="33"/>
        <item x="207"/>
        <item x="148"/>
        <item x="241"/>
        <item x="120"/>
        <item x="344"/>
        <item x="217"/>
        <item x="36"/>
        <item x="210"/>
        <item x="243"/>
        <item x="383"/>
        <item x="114"/>
        <item x="246"/>
        <item x="286"/>
        <item x="192"/>
        <item x="284"/>
        <item x="30"/>
        <item x="29"/>
        <item x="106"/>
        <item x="78"/>
        <item x="231"/>
        <item x="361"/>
        <item x="205"/>
        <item x="178"/>
        <item x="384"/>
        <item x="345"/>
        <item x="249"/>
        <item x="293"/>
        <item x="15"/>
        <item x="395"/>
        <item x="154"/>
        <item x="63"/>
        <item x="191"/>
        <item x="42"/>
        <item x="151"/>
        <item x="318"/>
        <item x="362"/>
        <item x="121"/>
        <item x="261"/>
        <item x="45"/>
        <item x="216"/>
        <item x="20"/>
        <item x="98"/>
        <item x="96"/>
        <item x="54"/>
        <item x="218"/>
        <item x="90"/>
        <item x="315"/>
        <item x="348"/>
        <item x="17"/>
        <item x="155"/>
        <item x="75"/>
        <item x="343"/>
        <item x="310"/>
        <item x="197"/>
        <item x="366"/>
        <item x="272"/>
        <item x="314"/>
        <item x="239"/>
        <item x="82"/>
        <item x="317"/>
        <item x="7"/>
        <item x="339"/>
        <item x="367"/>
        <item x="76"/>
        <item x="139"/>
        <item x="93"/>
        <item x="357"/>
        <item x="350"/>
        <item x="64"/>
        <item x="6"/>
        <item x="335"/>
        <item x="302"/>
        <item x="77"/>
        <item x="233"/>
        <item x="330"/>
        <item x="240"/>
        <item x="132"/>
        <item x="108"/>
        <item x="134"/>
        <item x="290"/>
        <item x="391"/>
        <item x="381"/>
        <item x="337"/>
        <item x="117"/>
        <item x="378"/>
        <item x="202"/>
        <item x="281"/>
        <item x="319"/>
        <item x="56"/>
        <item x="230"/>
        <item x="355"/>
        <item x="277"/>
        <item x="349"/>
        <item x="182"/>
        <item x="324"/>
        <item x="252"/>
        <item x="153"/>
        <item x="382"/>
        <item x="294"/>
        <item x="353"/>
        <item x="162"/>
        <item x="104"/>
        <item x="105"/>
        <item x="1"/>
        <item x="387"/>
        <item x="201"/>
        <item x="50"/>
        <item x="9"/>
        <item x="338"/>
        <item x="146"/>
        <item x="283"/>
        <item x="274"/>
        <item x="385"/>
        <item x="0"/>
        <item x="287"/>
        <item x="177"/>
        <item x="87"/>
        <item x="276"/>
        <item x="303"/>
        <item x="48"/>
        <item x="203"/>
        <item x="248"/>
        <item x="176"/>
        <item x="51"/>
        <item x="170"/>
        <item x="144"/>
        <item x="200"/>
        <item x="331"/>
        <item x="256"/>
        <item x="351"/>
        <item x="364"/>
        <item x="189"/>
        <item x="10"/>
        <item x="282"/>
        <item x="95"/>
        <item x="157"/>
        <item x="125"/>
        <item x="245"/>
        <item x="41"/>
        <item x="268"/>
        <item x="94"/>
        <item x="198"/>
        <item x="111"/>
        <item x="161"/>
        <item x="70"/>
        <item x="299"/>
        <item x="35"/>
        <item x="219"/>
        <item x="99"/>
        <item x="336"/>
        <item x="39"/>
        <item x="4"/>
        <item x="166"/>
        <item x="273"/>
        <item x="209"/>
        <item x="141"/>
        <item x="264"/>
        <item x="312"/>
        <item x="55"/>
        <item x="377"/>
        <item x="214"/>
        <item x="171"/>
        <item x="159"/>
        <item x="354"/>
        <item x="167"/>
        <item x="124"/>
        <item x="229"/>
        <item x="138"/>
        <item x="327"/>
        <item x="73"/>
        <item x="174"/>
        <item x="285"/>
        <item x="46"/>
        <item x="242"/>
        <item x="181"/>
        <item x="279"/>
        <item x="298"/>
        <item x="321"/>
        <item x="224"/>
        <item x="368"/>
        <item x="22"/>
        <item x="8"/>
        <item x="379"/>
        <item x="142"/>
        <item x="128"/>
        <item x="222"/>
        <item x="62"/>
        <item x="204"/>
        <item x="220"/>
        <item x="346"/>
        <item x="19"/>
        <item x="183"/>
        <item x="228"/>
        <item x="365"/>
        <item x="122"/>
        <item x="211"/>
        <item x="61"/>
        <item x="169"/>
        <item x="301"/>
        <item x="374"/>
        <item x="173"/>
        <item x="89"/>
        <item x="306"/>
        <item x="342"/>
        <item x="136"/>
        <item x="165"/>
        <item x="188"/>
        <item x="14"/>
        <item x="113"/>
        <item x="147"/>
        <item x="235"/>
        <item x="396"/>
        <item x="102"/>
        <item x="164"/>
        <item x="363"/>
        <item x="65"/>
        <item x="83"/>
        <item x="237"/>
        <item x="358"/>
        <item x="85"/>
        <item x="145"/>
        <item x="21"/>
        <item x="389"/>
        <item x="72"/>
        <item x="156"/>
        <item x="300"/>
        <item x="52"/>
        <item x="227"/>
        <item x="296"/>
        <item x="392"/>
        <item x="226"/>
        <item x="71"/>
        <item x="149"/>
        <item x="356"/>
        <item x="190"/>
        <item x="130"/>
        <item x="101"/>
        <item x="244"/>
        <item x="175"/>
        <item x="247"/>
        <item x="115"/>
        <item x="13"/>
        <item x="309"/>
        <item x="341"/>
        <item x="47"/>
        <item x="263"/>
        <item x="258"/>
        <item x="97"/>
        <item x="208"/>
        <item x="187"/>
        <item x="291"/>
        <item x="265"/>
        <item x="238"/>
        <item x="380"/>
        <item x="193"/>
        <item x="32"/>
        <item x="275"/>
        <item x="352"/>
        <item x="12"/>
        <item x="251"/>
        <item x="137"/>
        <item x="257"/>
        <item x="109"/>
        <item x="103"/>
        <item x="74"/>
        <item x="386"/>
        <item x="92"/>
        <item x="206"/>
        <item x="236"/>
        <item x="322"/>
        <item x="179"/>
        <item x="84"/>
        <item x="232"/>
        <item x="127"/>
        <item x="234"/>
        <item x="371"/>
        <item x="2"/>
        <item x="320"/>
        <item x="91"/>
        <item x="152"/>
        <item x="67"/>
        <item x="135"/>
        <item x="163"/>
        <item x="360"/>
        <item x="172"/>
        <item x="158"/>
        <item x="59"/>
        <item x="40"/>
        <item x="196"/>
        <item x="116"/>
        <item x="44"/>
        <item x="267"/>
        <item x="49"/>
        <item x="60"/>
        <item x="133"/>
        <item x="393"/>
        <item x="140"/>
        <item x="372"/>
        <item x="270"/>
        <item x="186"/>
        <item x="81"/>
        <item x="180"/>
        <item x="390"/>
        <item x="253"/>
        <item x="126"/>
        <item x="262"/>
        <item x="328"/>
        <item x="100"/>
        <item x="369"/>
        <item x="107"/>
        <item x="259"/>
        <item x="58"/>
        <item x="311"/>
        <item x="278"/>
        <item x="305"/>
        <item x="313"/>
        <item x="38"/>
        <item x="323"/>
        <item x="271"/>
        <item x="295"/>
        <item x="308"/>
        <item x="269"/>
        <item x="254"/>
        <item x="288"/>
        <item x="28"/>
        <item x="11"/>
        <item x="316"/>
        <item x="119"/>
        <item x="18"/>
        <item x="69"/>
        <item x="25"/>
        <item x="347"/>
        <item x="250"/>
        <item x="123"/>
        <item x="143"/>
        <item x="80"/>
        <item x="88"/>
        <item x="23"/>
        <item x="213"/>
        <item x="370"/>
        <item x="129"/>
        <item x="68"/>
        <item x="333"/>
        <item x="307"/>
        <item x="223"/>
        <item x="31"/>
        <item x="110"/>
        <item x="199"/>
        <item x="334"/>
        <item x="329"/>
        <item x="325"/>
        <item x="194"/>
        <item x="118"/>
        <item x="168"/>
        <item x="112"/>
        <item x="184"/>
        <item x="292"/>
        <item x="212"/>
        <item x="388"/>
        <item x="255"/>
        <item x="394"/>
        <item x="16"/>
        <item x="376"/>
        <item x="280"/>
        <item x="53"/>
        <item x="5"/>
        <item x="131"/>
        <item x="260"/>
        <item x="3"/>
        <item x="289"/>
        <item x="221"/>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4">
    <i>
      <x/>
    </i>
    <i>
      <x v="1"/>
    </i>
    <i>
      <x v="2"/>
    </i>
    <i t="grand">
      <x/>
    </i>
  </rowItems>
  <colItems count="1">
    <i/>
  </colItems>
  <dataFields count="1">
    <dataField name="Sum of Total" fld="6" baseField="0" baseItem="0"/>
  </dataFields>
  <formats count="12">
    <format dxfId="34">
      <pivotArea type="all" dataOnly="0" outline="0" fieldPosition="0"/>
    </format>
    <format dxfId="33">
      <pivotArea outline="0" collapsedLevelsAreSubtotals="1" fieldPosition="0"/>
    </format>
    <format dxfId="32">
      <pivotArea field="2" type="button" dataOnly="0" labelOnly="1" outline="0" axis="axisRow" fieldPosition="0"/>
    </format>
    <format dxfId="31">
      <pivotArea dataOnly="0" labelOnly="1" fieldPosition="0">
        <references count="1">
          <reference field="2" count="0"/>
        </references>
      </pivotArea>
    </format>
    <format dxfId="30">
      <pivotArea dataOnly="0" labelOnly="1" grandRow="1" outline="0" fieldPosition="0"/>
    </format>
    <format dxfId="29">
      <pivotArea dataOnly="0" labelOnly="1" outline="0" axis="axisValues" fieldPosition="0"/>
    </format>
    <format dxfId="6">
      <pivotArea type="all" dataOnly="0" outline="0" fieldPosition="0"/>
    </format>
    <format dxfId="5">
      <pivotArea outline="0" collapsedLevelsAreSubtotals="1" fieldPosition="0"/>
    </format>
    <format dxfId="4">
      <pivotArea field="2" type="button" dataOnly="0" labelOnly="1" outline="0" axis="axisRow" fieldPosition="0"/>
    </format>
    <format dxfId="3">
      <pivotArea dataOnly="0" labelOnly="1" fieldPosition="0">
        <references count="1">
          <reference field="2" count="0"/>
        </references>
      </pivotArea>
    </format>
    <format dxfId="2">
      <pivotArea dataOnly="0" labelOnly="1" grandRow="1" outline="0" fieldPosition="0"/>
    </format>
    <format dxfId="1">
      <pivotArea dataOnly="0" labelOnly="1" outline="0" axis="axisValues" fieldPosition="0"/>
    </format>
  </formats>
  <chartFormats count="8">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2" count="1" selected="0">
            <x v="0"/>
          </reference>
        </references>
      </pivotArea>
    </chartFormat>
    <chartFormat chart="6" format="15">
      <pivotArea type="data" outline="0" fieldPosition="0">
        <references count="2">
          <reference field="4294967294" count="1" selected="0">
            <x v="0"/>
          </reference>
          <reference field="2" count="1" selected="0">
            <x v="1"/>
          </reference>
        </references>
      </pivotArea>
    </chartFormat>
    <chartFormat chart="6" format="16">
      <pivotArea type="data" outline="0" fieldPosition="0">
        <references count="2">
          <reference field="4294967294" count="1" selected="0">
            <x v="0"/>
          </reference>
          <reference field="2" count="1" selected="0">
            <x v="2"/>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85F8C9-63E5-4B9C-8BA4-552043FE33FA}" name="PivotTable7"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8">
  <location ref="A4:B10" firstHeaderRow="1" firstDataRow="1" firstDataCol="1"/>
  <pivotFields count="10">
    <pivotField numFmtId="14" showAll="0">
      <items count="15">
        <item x="0"/>
        <item x="1"/>
        <item x="2"/>
        <item x="3"/>
        <item x="4"/>
        <item x="5"/>
        <item x="6"/>
        <item x="7"/>
        <item x="8"/>
        <item x="9"/>
        <item x="10"/>
        <item x="11"/>
        <item x="12"/>
        <item x="13"/>
        <item t="default"/>
      </items>
    </pivotField>
    <pivotField numFmtId="164" showAll="0">
      <items count="1977">
        <item x="294"/>
        <item x="52"/>
        <item x="1281"/>
        <item x="1834"/>
        <item x="1567"/>
        <item x="1837"/>
        <item x="555"/>
        <item x="204"/>
        <item x="27"/>
        <item x="713"/>
        <item x="1918"/>
        <item x="1444"/>
        <item x="1075"/>
        <item x="34"/>
        <item x="1366"/>
        <item x="936"/>
        <item x="355"/>
        <item x="1106"/>
        <item x="359"/>
        <item x="615"/>
        <item x="683"/>
        <item x="511"/>
        <item x="551"/>
        <item x="11"/>
        <item x="497"/>
        <item x="1079"/>
        <item x="759"/>
        <item x="1838"/>
        <item x="112"/>
        <item x="1308"/>
        <item x="1294"/>
        <item x="1917"/>
        <item x="1362"/>
        <item x="134"/>
        <item x="289"/>
        <item x="427"/>
        <item x="1885"/>
        <item x="316"/>
        <item x="671"/>
        <item x="1091"/>
        <item x="1598"/>
        <item x="309"/>
        <item x="486"/>
        <item x="1679"/>
        <item x="1927"/>
        <item x="1399"/>
        <item x="881"/>
        <item x="1887"/>
        <item x="1339"/>
        <item x="170"/>
        <item x="778"/>
        <item x="1511"/>
        <item x="1183"/>
        <item x="1134"/>
        <item x="662"/>
        <item x="119"/>
        <item x="487"/>
        <item x="378"/>
        <item x="1561"/>
        <item x="1648"/>
        <item x="296"/>
        <item x="1707"/>
        <item x="1874"/>
        <item x="1674"/>
        <item x="1497"/>
        <item x="136"/>
        <item x="256"/>
        <item x="1846"/>
        <item x="1768"/>
        <item x="1484"/>
        <item x="83"/>
        <item x="1149"/>
        <item x="193"/>
        <item x="1185"/>
        <item x="916"/>
        <item x="1276"/>
        <item x="298"/>
        <item x="116"/>
        <item x="1"/>
        <item x="727"/>
        <item x="1864"/>
        <item x="1617"/>
        <item x="1033"/>
        <item x="684"/>
        <item x="1377"/>
        <item x="604"/>
        <item x="418"/>
        <item x="1214"/>
        <item x="528"/>
        <item x="1752"/>
        <item x="1716"/>
        <item x="957"/>
        <item x="1360"/>
        <item x="315"/>
        <item x="1831"/>
        <item x="1453"/>
        <item x="1688"/>
        <item x="1930"/>
        <item x="841"/>
        <item x="169"/>
        <item x="562"/>
        <item x="560"/>
        <item x="1893"/>
        <item x="795"/>
        <item x="907"/>
        <item x="132"/>
        <item x="14"/>
        <item x="1643"/>
        <item x="1262"/>
        <item x="868"/>
        <item x="1621"/>
        <item x="255"/>
        <item x="647"/>
        <item x="1304"/>
        <item x="758"/>
        <item x="1690"/>
        <item x="1805"/>
        <item x="717"/>
        <item x="1277"/>
        <item x="110"/>
        <item x="588"/>
        <item x="1967"/>
        <item x="1539"/>
        <item x="1660"/>
        <item x="1869"/>
        <item x="50"/>
        <item x="631"/>
        <item x="507"/>
        <item x="1021"/>
        <item x="1220"/>
        <item x="897"/>
        <item x="866"/>
        <item x="3"/>
        <item x="961"/>
        <item x="222"/>
        <item x="1150"/>
        <item x="151"/>
        <item x="865"/>
        <item x="831"/>
        <item x="743"/>
        <item x="43"/>
        <item x="1310"/>
        <item x="1215"/>
        <item x="815"/>
        <item x="1871"/>
        <item x="1524"/>
        <item x="1279"/>
        <item x="408"/>
        <item x="988"/>
        <item x="832"/>
        <item x="118"/>
        <item x="1595"/>
        <item x="166"/>
        <item x="333"/>
        <item x="1030"/>
        <item x="1794"/>
        <item x="908"/>
        <item x="846"/>
        <item x="1202"/>
        <item x="1529"/>
        <item x="40"/>
        <item x="949"/>
        <item x="796"/>
        <item x="1546"/>
        <item x="876"/>
        <item x="666"/>
        <item x="1216"/>
        <item x="1472"/>
        <item x="76"/>
        <item x="1409"/>
        <item x="1449"/>
        <item x="510"/>
        <item x="397"/>
        <item x="855"/>
        <item x="1104"/>
        <item x="1571"/>
        <item x="1004"/>
        <item x="1518"/>
        <item x="1971"/>
        <item x="187"/>
        <item x="1784"/>
        <item x="1751"/>
        <item x="1850"/>
        <item x="262"/>
        <item x="1662"/>
        <item x="1376"/>
        <item x="460"/>
        <item x="1622"/>
        <item x="1781"/>
        <item x="82"/>
        <item x="1241"/>
        <item x="123"/>
        <item x="695"/>
        <item x="1943"/>
        <item x="253"/>
        <item x="701"/>
        <item x="180"/>
        <item x="1347"/>
        <item x="475"/>
        <item x="1244"/>
        <item x="334"/>
        <item x="1068"/>
        <item x="409"/>
        <item x="1431"/>
        <item x="188"/>
        <item x="1373"/>
        <item x="1438"/>
        <item x="993"/>
        <item x="1763"/>
        <item x="491"/>
        <item x="883"/>
        <item x="571"/>
        <item x="1342"/>
        <item x="217"/>
        <item x="563"/>
        <item x="1814"/>
        <item x="945"/>
        <item x="1532"/>
        <item x="1333"/>
        <item x="93"/>
        <item x="461"/>
        <item x="97"/>
        <item x="1926"/>
        <item x="1655"/>
        <item x="1960"/>
        <item x="1555"/>
        <item x="1821"/>
        <item x="1934"/>
        <item x="299"/>
        <item x="547"/>
        <item x="1638"/>
        <item x="339"/>
        <item x="747"/>
        <item x="1675"/>
        <item x="216"/>
        <item x="1268"/>
        <item x="181"/>
        <item x="1829"/>
        <item x="1792"/>
        <item x="1005"/>
        <item x="859"/>
        <item x="437"/>
        <item x="327"/>
        <item x="133"/>
        <item x="1165"/>
        <item x="1468"/>
        <item x="1840"/>
        <item x="928"/>
        <item x="748"/>
        <item x="318"/>
        <item x="849"/>
        <item x="444"/>
        <item x="391"/>
        <item x="1140"/>
        <item x="1082"/>
        <item x="1002"/>
        <item x="1486"/>
        <item x="319"/>
        <item x="89"/>
        <item x="1600"/>
        <item x="1538"/>
        <item x="1451"/>
        <item x="852"/>
        <item x="1525"/>
        <item x="1826"/>
        <item x="1369"/>
        <item x="816"/>
        <item x="574"/>
        <item x="1954"/>
        <item x="834"/>
        <item x="1006"/>
        <item x="1230"/>
        <item x="1319"/>
        <item x="1762"/>
        <item x="1914"/>
        <item x="1095"/>
        <item x="1044"/>
        <item x="754"/>
        <item x="569"/>
        <item x="1501"/>
        <item x="1594"/>
        <item x="794"/>
        <item x="1548"/>
        <item x="1906"/>
        <item x="164"/>
        <item x="1073"/>
        <item x="389"/>
        <item x="1499"/>
        <item x="508"/>
        <item x="221"/>
        <item x="341"/>
        <item x="1324"/>
        <item x="776"/>
        <item x="128"/>
        <item x="1395"/>
        <item x="283"/>
        <item x="792"/>
        <item x="1681"/>
        <item x="1081"/>
        <item x="463"/>
        <item x="1189"/>
        <item x="1553"/>
        <item x="887"/>
        <item x="1180"/>
        <item x="1053"/>
        <item x="1857"/>
        <item x="1014"/>
        <item x="1747"/>
        <item x="1703"/>
        <item x="670"/>
        <item x="1445"/>
        <item x="1907"/>
        <item x="432"/>
        <item x="1249"/>
        <item x="1259"/>
        <item x="599"/>
        <item x="1697"/>
        <item x="1498"/>
        <item x="1575"/>
        <item x="1290"/>
        <item x="1974"/>
        <item x="399"/>
        <item x="415"/>
        <item x="925"/>
        <item x="1673"/>
        <item x="621"/>
        <item x="593"/>
        <item x="1668"/>
        <item x="77"/>
        <item x="1059"/>
        <item x="114"/>
        <item x="1493"/>
        <item x="279"/>
        <item x="732"/>
        <item x="1602"/>
        <item x="702"/>
        <item x="1118"/>
        <item x="752"/>
        <item x="1351"/>
        <item x="922"/>
        <item x="874"/>
        <item x="1849"/>
        <item x="380"/>
        <item x="383"/>
        <item x="1375"/>
        <item x="1663"/>
        <item x="1161"/>
        <item x="1404"/>
        <item x="1469"/>
        <item x="964"/>
        <item x="1048"/>
        <item x="367"/>
        <item x="840"/>
        <item x="247"/>
        <item x="1330"/>
        <item x="589"/>
        <item x="351"/>
        <item x="1032"/>
        <item x="1785"/>
        <item x="974"/>
        <item x="1827"/>
        <item x="1603"/>
        <item x="1933"/>
        <item x="192"/>
        <item x="791"/>
        <item x="321"/>
        <item x="428"/>
        <item x="304"/>
        <item x="421"/>
        <item x="242"/>
        <item x="277"/>
        <item x="149"/>
        <item x="1587"/>
        <item x="1932"/>
        <item x="1209"/>
        <item x="139"/>
        <item x="175"/>
        <item x="1254"/>
        <item x="1787"/>
        <item x="1064"/>
        <item x="707"/>
        <item x="787"/>
        <item x="643"/>
        <item x="1641"/>
        <item x="1164"/>
        <item x="156"/>
        <item x="785"/>
        <item x="1776"/>
        <item x="246"/>
        <item x="96"/>
        <item x="1541"/>
        <item x="381"/>
        <item x="342"/>
        <item x="708"/>
        <item x="781"/>
        <item x="1315"/>
        <item x="158"/>
        <item x="632"/>
        <item x="980"/>
        <item x="349"/>
        <item x="1693"/>
        <item x="419"/>
        <item x="1610"/>
        <item x="553"/>
        <item x="1815"/>
        <item x="469"/>
        <item x="1797"/>
        <item x="153"/>
        <item x="1558"/>
        <item x="880"/>
        <item x="1517"/>
        <item x="387"/>
        <item x="1141"/>
        <item x="152"/>
        <item x="1407"/>
        <item x="472"/>
        <item x="1145"/>
        <item x="1210"/>
        <item x="1193"/>
        <item x="1723"/>
        <item x="1842"/>
        <item x="417"/>
        <item x="1226"/>
        <item x="1179"/>
        <item x="140"/>
        <item x="1616"/>
        <item x="483"/>
        <item x="1396"/>
        <item x="1947"/>
        <item x="811"/>
        <item x="1363"/>
        <item x="1427"/>
        <item x="393"/>
        <item x="1255"/>
        <item x="878"/>
        <item x="827"/>
        <item x="121"/>
        <item x="1504"/>
        <item x="281"/>
        <item x="762"/>
        <item x="456"/>
        <item x="1393"/>
        <item x="1569"/>
        <item x="623"/>
        <item x="17"/>
        <item x="1873"/>
        <item x="1516"/>
        <item x="737"/>
        <item x="1738"/>
        <item x="1645"/>
        <item x="332"/>
        <item x="1355"/>
        <item x="1737"/>
        <item x="861"/>
        <item x="230"/>
        <item x="843"/>
        <item x="73"/>
        <item x="653"/>
        <item x="443"/>
        <item x="1133"/>
        <item x="32"/>
        <item x="1287"/>
        <item x="1741"/>
        <item x="388"/>
        <item x="308"/>
        <item x="207"/>
        <item x="1250"/>
        <item x="301"/>
        <item x="1248"/>
        <item x="1270"/>
        <item x="900"/>
        <item x="1151"/>
        <item x="667"/>
        <item x="926"/>
        <item x="802"/>
        <item x="1458"/>
        <item x="1242"/>
        <item x="1560"/>
        <item x="705"/>
        <item x="810"/>
        <item x="150"/>
        <item x="346"/>
        <item x="1406"/>
        <item x="335"/>
        <item x="0"/>
        <item x="521"/>
        <item x="1003"/>
        <item x="665"/>
        <item x="1502"/>
        <item x="1219"/>
        <item x="931"/>
        <item x="1705"/>
        <item x="1142"/>
        <item x="903"/>
        <item x="1293"/>
        <item x="584"/>
        <item x="1819"/>
        <item x="1739"/>
        <item x="395"/>
        <item x="659"/>
        <item x="1385"/>
        <item x="274"/>
        <item x="215"/>
        <item x="264"/>
        <item x="1042"/>
        <item x="1383"/>
        <item x="1533"/>
        <item x="1203"/>
        <item x="1117"/>
        <item x="496"/>
        <item x="1720"/>
        <item x="729"/>
        <item x="924"/>
        <item x="47"/>
        <item x="278"/>
        <item x="648"/>
        <item x="1109"/>
        <item x="1970"/>
        <item x="1505"/>
        <item x="677"/>
        <item x="857"/>
        <item x="86"/>
        <item x="638"/>
        <item x="240"/>
        <item x="326"/>
        <item x="1337"/>
        <item x="239"/>
        <item x="767"/>
        <item x="672"/>
        <item x="18"/>
        <item x="1750"/>
        <item x="875"/>
        <item x="257"/>
        <item x="1258"/>
        <item x="649"/>
        <item x="1116"/>
        <item x="1115"/>
        <item x="1708"/>
        <item x="229"/>
        <item x="199"/>
        <item x="465"/>
        <item x="719"/>
        <item x="292"/>
        <item x="363"/>
        <item x="548"/>
        <item x="1328"/>
        <item x="1506"/>
        <item x="862"/>
        <item x="709"/>
        <item x="1482"/>
        <item x="1711"/>
        <item x="1047"/>
        <item x="1462"/>
        <item x="763"/>
        <item x="793"/>
        <item x="803"/>
        <item x="1748"/>
        <item x="668"/>
        <item x="700"/>
        <item x="655"/>
        <item x="1853"/>
        <item x="1520"/>
        <item x="739"/>
        <item x="448"/>
        <item x="218"/>
        <item x="1898"/>
        <item x="72"/>
        <item x="1608"/>
        <item x="1614"/>
        <item x="619"/>
        <item x="838"/>
        <item x="735"/>
        <item x="1060"/>
        <item x="372"/>
        <item x="1251"/>
        <item x="81"/>
        <item x="354"/>
        <item x="740"/>
        <item x="453"/>
        <item x="85"/>
        <item x="1343"/>
        <item x="534"/>
        <item x="98"/>
        <item x="997"/>
        <item x="1218"/>
        <item x="1661"/>
        <item x="580"/>
        <item x="186"/>
        <item x="1119"/>
        <item x="1303"/>
        <item x="1719"/>
        <item x="1619"/>
        <item x="1452"/>
        <item x="738"/>
        <item x="1411"/>
        <item x="1122"/>
        <item x="1713"/>
        <item x="1323"/>
        <item x="1306"/>
        <item x="142"/>
        <item x="830"/>
        <item x="1066"/>
        <item x="1959"/>
        <item x="650"/>
        <item x="1062"/>
        <item x="557"/>
        <item x="1782"/>
        <item x="1911"/>
        <item x="1093"/>
        <item x="958"/>
        <item x="455"/>
        <item x="1022"/>
        <item x="87"/>
        <item x="1596"/>
        <item x="1612"/>
        <item x="612"/>
        <item x="405"/>
        <item x="609"/>
        <item x="1181"/>
        <item x="1912"/>
        <item x="54"/>
        <item x="721"/>
        <item x="1483"/>
        <item x="337"/>
        <item x="1275"/>
        <item x="1880"/>
        <item x="1125"/>
        <item x="59"/>
        <item x="41"/>
        <item x="882"/>
        <item x="231"/>
        <item x="749"/>
        <item x="414"/>
        <item x="995"/>
        <item x="1224"/>
        <item x="300"/>
        <item x="567"/>
        <item x="252"/>
        <item x="1132"/>
        <item x="1876"/>
        <item x="1008"/>
        <item x="909"/>
        <item x="770"/>
        <item x="1196"/>
        <item x="690"/>
        <item x="891"/>
        <item x="160"/>
        <item x="1169"/>
        <item x="447"/>
        <item x="1403"/>
        <item x="1820"/>
        <item x="570"/>
        <item x="1809"/>
        <item x="879"/>
        <item x="1367"/>
        <item x="1233"/>
        <item x="154"/>
        <item x="1283"/>
        <item x="161"/>
        <item x="685"/>
        <item x="479"/>
        <item x="1536"/>
        <item x="682"/>
        <item x="1423"/>
        <item x="1295"/>
        <item x="1868"/>
        <item x="1875"/>
        <item x="1671"/>
        <item x="410"/>
        <item x="765"/>
        <item x="718"/>
        <item x="406"/>
        <item x="412"/>
        <item x="1855"/>
        <item x="1381"/>
        <item x="1485"/>
        <item x="800"/>
        <item x="30"/>
        <item x="1380"/>
        <item x="1604"/>
        <item x="440"/>
        <item x="159"/>
        <item x="601"/>
        <item x="828"/>
        <item x="1494"/>
        <item x="1858"/>
        <item x="1354"/>
        <item x="579"/>
        <item x="1734"/>
        <item x="1528"/>
        <item x="960"/>
        <item x="1585"/>
        <item x="338"/>
        <item x="565"/>
        <item x="1507"/>
        <item x="1656"/>
        <item x="1223"/>
        <item x="1824"/>
        <item x="812"/>
        <item x="345"/>
        <item x="760"/>
        <item x="1795"/>
        <item x="561"/>
        <item x="1454"/>
        <item x="1884"/>
        <item x="1897"/>
        <item x="106"/>
        <item x="1839"/>
        <item x="1745"/>
        <item x="890"/>
        <item x="1509"/>
        <item x="364"/>
        <item x="505"/>
        <item x="214"/>
        <item x="1715"/>
        <item x="1627"/>
        <item x="375"/>
        <item x="607"/>
        <item x="522"/>
        <item x="1286"/>
        <item x="1199"/>
        <item x="1099"/>
        <item x="530"/>
        <item x="407"/>
        <item x="1631"/>
        <item x="1365"/>
        <item x="637"/>
        <item x="172"/>
        <item x="1440"/>
        <item x="285"/>
        <item x="826"/>
        <item x="243"/>
        <item x="29"/>
        <item x="273"/>
        <item x="844"/>
        <item x="473"/>
        <item x="730"/>
        <item x="1620"/>
        <item x="471"/>
        <item x="651"/>
        <item x="1554"/>
        <item x="1101"/>
        <item x="1706"/>
        <item x="386"/>
        <item x="1492"/>
        <item x="596"/>
        <item x="1749"/>
        <item x="872"/>
        <item x="1694"/>
        <item x="616"/>
        <item x="373"/>
        <item x="1035"/>
        <item x="131"/>
        <item x="1944"/>
        <item x="1867"/>
        <item x="967"/>
        <item x="724"/>
        <item x="1405"/>
        <item x="851"/>
        <item x="938"/>
        <item x="513"/>
        <item x="526"/>
        <item x="1756"/>
        <item x="237"/>
        <item x="807"/>
        <item x="6"/>
        <item x="441"/>
        <item x="892"/>
        <item x="361"/>
        <item x="1580"/>
        <item x="1952"/>
        <item x="847"/>
        <item x="1676"/>
        <item x="1441"/>
        <item x="515"/>
        <item x="991"/>
        <item x="1544"/>
        <item x="263"/>
        <item x="1775"/>
        <item x="19"/>
        <item x="1077"/>
        <item x="636"/>
        <item x="777"/>
        <item x="1015"/>
        <item x="867"/>
        <item x="493"/>
        <item x="919"/>
        <item x="350"/>
        <item x="1236"/>
        <item x="1007"/>
        <item x="573"/>
        <item x="1190"/>
        <item x="784"/>
        <item x="610"/>
        <item x="932"/>
        <item x="1136"/>
        <item x="1227"/>
        <item x="1514"/>
        <item x="977"/>
        <item x="1759"/>
        <item x="1481"/>
        <item x="1633"/>
        <item x="568"/>
        <item x="973"/>
        <item x="1173"/>
        <item x="1564"/>
        <item x="1162"/>
        <item x="1321"/>
        <item x="1177"/>
        <item x="1950"/>
        <item x="1414"/>
        <item x="236"/>
        <item x="1435"/>
        <item x="1094"/>
        <item x="674"/>
        <item x="1131"/>
        <item x="490"/>
        <item x="1239"/>
        <item x="225"/>
        <item x="893"/>
        <item x="1758"/>
        <item x="1296"/>
        <item x="901"/>
        <item x="1016"/>
        <item x="1956"/>
        <item x="1356"/>
        <item x="1848"/>
        <item x="1653"/>
        <item x="466"/>
        <item x="245"/>
        <item x="1208"/>
        <item x="1611"/>
        <item x="1146"/>
        <item x="935"/>
        <item x="1421"/>
        <item x="603"/>
        <item x="1537"/>
        <item x="786"/>
        <item x="676"/>
        <item x="155"/>
        <item x="107"/>
        <item x="1847"/>
        <item x="858"/>
        <item x="860"/>
        <item x="4"/>
        <item x="959"/>
        <item x="476"/>
        <item x="439"/>
        <item x="464"/>
        <item x="1055"/>
        <item x="362"/>
        <item x="1137"/>
        <item x="1632"/>
        <item x="1844"/>
        <item x="1426"/>
        <item x="1487"/>
        <item x="148"/>
        <item x="265"/>
        <item x="1605"/>
        <item x="1812"/>
        <item x="356"/>
        <item x="1551"/>
        <item x="1155"/>
        <item x="179"/>
        <item x="1154"/>
        <item x="194"/>
        <item x="888"/>
        <item x="449"/>
        <item x="340"/>
        <item x="1825"/>
        <item x="1765"/>
        <item x="687"/>
        <item x="1783"/>
        <item x="1886"/>
        <item x="933"/>
        <item x="944"/>
        <item x="480"/>
        <item x="1171"/>
        <item x="871"/>
        <item x="1508"/>
        <item x="1019"/>
        <item x="481"/>
        <item x="917"/>
        <item x="1370"/>
        <item x="425"/>
        <item x="297"/>
        <item x="1615"/>
        <item x="1702"/>
        <item x="1302"/>
        <item x="400"/>
        <item x="303"/>
        <item x="1568"/>
        <item x="902"/>
        <item x="1130"/>
        <item x="1260"/>
        <item x="1923"/>
        <item x="930"/>
        <item x="1489"/>
        <item x="477"/>
        <item x="1476"/>
        <item x="1727"/>
        <item x="1678"/>
        <item x="1069"/>
        <item x="725"/>
        <item x="710"/>
        <item x="956"/>
        <item x="21"/>
        <item x="38"/>
        <item x="979"/>
        <item x="1067"/>
        <item x="1045"/>
        <item x="1309"/>
        <item x="1547"/>
        <item x="1646"/>
        <item x="910"/>
        <item x="706"/>
        <item x="1455"/>
        <item x="1348"/>
        <item x="13"/>
        <item x="779"/>
        <item x="711"/>
        <item x="799"/>
        <item x="1313"/>
        <item x="953"/>
        <item x="1211"/>
        <item x="1854"/>
        <item x="1903"/>
        <item x="736"/>
        <item x="1464"/>
        <item x="1773"/>
        <item x="1570"/>
        <item x="1545"/>
        <item x="894"/>
        <item x="108"/>
        <item x="57"/>
        <item x="1389"/>
        <item x="1432"/>
        <item x="1728"/>
        <item x="1110"/>
        <item x="1684"/>
        <item x="1657"/>
        <item x="344"/>
        <item x="673"/>
        <item x="1779"/>
        <item x="325"/>
        <item x="549"/>
        <item x="1010"/>
        <item x="168"/>
        <item x="482"/>
        <item x="999"/>
        <item x="459"/>
        <item x="1246"/>
        <item x="536"/>
        <item x="1731"/>
        <item x="1722"/>
        <item x="84"/>
        <item x="488"/>
        <item x="1862"/>
        <item x="468"/>
        <item x="25"/>
        <item x="1271"/>
        <item x="430"/>
        <item x="113"/>
        <item x="1574"/>
        <item x="94"/>
        <item x="227"/>
        <item x="1863"/>
        <item x="394"/>
        <item x="1965"/>
        <item x="446"/>
        <item x="1823"/>
        <item x="1665"/>
        <item x="1231"/>
        <item x="1085"/>
        <item x="728"/>
        <item x="940"/>
        <item x="1460"/>
        <item x="1650"/>
        <item x="1182"/>
        <item x="1023"/>
        <item x="1152"/>
        <item x="1028"/>
        <item x="1788"/>
        <item x="675"/>
        <item x="1336"/>
        <item x="79"/>
        <item x="357"/>
        <item x="484"/>
        <item x="39"/>
        <item x="1368"/>
        <item x="523"/>
        <item x="145"/>
        <item x="686"/>
        <item x="733"/>
        <item x="1332"/>
        <item x="1635"/>
        <item x="1188"/>
        <item x="1736"/>
        <item x="1474"/>
        <item x="839"/>
        <item x="369"/>
        <item x="1522"/>
        <item x="525"/>
        <item x="850"/>
        <item x="532"/>
        <item x="390"/>
        <item x="914"/>
        <item x="44"/>
        <item x="90"/>
        <item x="509"/>
        <item x="1017"/>
        <item x="1143"/>
        <item x="789"/>
        <item x="485"/>
        <item x="1658"/>
        <item x="1357"/>
        <item x="1428"/>
        <item x="1160"/>
        <item x="680"/>
        <item x="165"/>
        <item x="1879"/>
        <item x="1808"/>
        <item x="745"/>
        <item x="1935"/>
        <item x="966"/>
        <item x="1200"/>
        <item x="696"/>
        <item x="1127"/>
        <item x="1338"/>
        <item x="182"/>
        <item x="287"/>
        <item x="823"/>
        <item x="1851"/>
        <item x="869"/>
        <item x="1457"/>
        <item x="1904"/>
        <item x="1349"/>
        <item x="1436"/>
        <item x="498"/>
        <item x="1269"/>
        <item x="1637"/>
        <item x="514"/>
        <item x="1175"/>
        <item x="1168"/>
        <item x="282"/>
        <item x="1374"/>
        <item x="1895"/>
        <item x="1471"/>
        <item x="173"/>
        <item x="1176"/>
        <item x="1052"/>
        <item x="1437"/>
        <item x="1467"/>
        <item x="1204"/>
        <item x="37"/>
        <item x="1695"/>
        <item x="1049"/>
        <item x="661"/>
        <item x="1058"/>
        <item x="1746"/>
        <item x="582"/>
        <item x="1771"/>
        <item x="1644"/>
        <item x="1388"/>
        <item x="805"/>
        <item x="126"/>
        <item x="664"/>
        <item x="35"/>
        <item x="1515"/>
        <item x="228"/>
        <item x="753"/>
        <item x="250"/>
        <item x="1387"/>
        <item x="33"/>
        <item x="1038"/>
        <item x="1167"/>
        <item x="1565"/>
        <item x="1882"/>
        <item x="92"/>
        <item x="1477"/>
        <item x="1158"/>
        <item x="1402"/>
        <item x="384"/>
        <item x="1261"/>
        <item x="261"/>
        <item x="467"/>
        <item x="1240"/>
        <item x="808"/>
        <item x="602"/>
        <item x="404"/>
        <item x="438"/>
        <item x="402"/>
        <item x="1556"/>
        <item x="1344"/>
        <item x="954"/>
        <item x="821"/>
        <item x="1774"/>
        <item x="978"/>
        <item x="16"/>
        <item x="434"/>
        <item x="1364"/>
        <item x="268"/>
        <item x="775"/>
        <item x="55"/>
        <item x="58"/>
        <item x="458"/>
        <item x="1029"/>
        <item x="1961"/>
        <item x="970"/>
        <item x="353"/>
        <item x="1526"/>
        <item x="1205"/>
        <item x="137"/>
        <item x="241"/>
        <item x="61"/>
        <item x="981"/>
        <item x="1470"/>
        <item x="20"/>
        <item x="1197"/>
        <item x="1896"/>
        <item x="1382"/>
        <item x="42"/>
        <item x="1299"/>
        <item x="723"/>
        <item x="1590"/>
        <item x="912"/>
        <item x="120"/>
        <item x="947"/>
        <item x="734"/>
        <item x="1948"/>
        <item x="328"/>
        <item x="209"/>
        <item x="906"/>
        <item x="797"/>
        <item x="291"/>
        <item x="424"/>
        <item x="1591"/>
        <item x="36"/>
        <item x="1540"/>
        <item x="504"/>
        <item x="1951"/>
        <item x="520"/>
        <item x="1901"/>
        <item x="1639"/>
        <item x="24"/>
        <item x="436"/>
        <item x="693"/>
        <item x="74"/>
        <item x="365"/>
        <item x="91"/>
        <item x="1576"/>
        <item x="102"/>
        <item x="1317"/>
        <item x="1718"/>
        <item x="697"/>
        <item x="1607"/>
        <item x="234"/>
        <item x="1822"/>
        <item x="23"/>
        <item x="1557"/>
        <item x="271"/>
        <item x="1263"/>
        <item x="66"/>
        <item x="109"/>
        <item x="1039"/>
        <item x="1512"/>
        <item x="946"/>
        <item x="955"/>
        <item x="95"/>
        <item x="618"/>
        <item x="722"/>
        <item x="1586"/>
        <item x="1026"/>
        <item x="454"/>
        <item x="658"/>
        <item x="104"/>
        <item x="1559"/>
        <item x="1925"/>
        <item x="820"/>
        <item x="22"/>
        <item x="1599"/>
        <item x="1076"/>
        <item x="1413"/>
        <item x="1957"/>
        <item x="1305"/>
        <item x="251"/>
        <item x="663"/>
        <item x="1942"/>
        <item x="1945"/>
        <item x="1588"/>
        <item x="189"/>
        <item x="772"/>
        <item x="669"/>
        <item x="1107"/>
        <item x="1584"/>
        <item x="311"/>
        <item x="1301"/>
        <item x="403"/>
        <item x="990"/>
        <item x="1433"/>
        <item x="1865"/>
        <item x="1340"/>
        <item x="226"/>
        <item x="205"/>
        <item x="744"/>
        <item x="822"/>
        <item x="1325"/>
        <item x="698"/>
        <item x="379"/>
        <item x="1256"/>
        <item x="614"/>
        <item x="898"/>
        <item x="788"/>
        <item x="948"/>
        <item x="374"/>
        <item x="1359"/>
        <item x="1078"/>
        <item x="1198"/>
        <item x="1429"/>
        <item x="566"/>
        <item x="347"/>
        <item x="322"/>
        <item x="1170"/>
        <item x="1237"/>
        <item x="1905"/>
        <item x="1534"/>
        <item x="1322"/>
        <item x="1206"/>
        <item x="411"/>
        <item x="147"/>
        <item x="1973"/>
        <item x="920"/>
        <item x="1050"/>
        <item x="503"/>
        <item x="1036"/>
        <item x="542"/>
        <item x="1391"/>
        <item x="323"/>
        <item x="756"/>
        <item x="1606"/>
        <item x="1291"/>
        <item x="1916"/>
        <item x="963"/>
        <item x="185"/>
        <item x="646"/>
        <item x="1761"/>
        <item x="814"/>
        <item x="1392"/>
        <item x="48"/>
        <item x="195"/>
        <item x="790"/>
        <item x="1872"/>
        <item x="267"/>
        <item x="941"/>
        <item x="1975"/>
        <item x="1063"/>
        <item x="801"/>
        <item x="1818"/>
        <item x="622"/>
        <item x="1092"/>
        <item x="451"/>
        <item x="1802"/>
        <item x="1418"/>
        <item x="1552"/>
        <item x="1870"/>
        <item x="742"/>
        <item x="853"/>
        <item x="1013"/>
        <item x="1523"/>
        <item x="1274"/>
        <item x="1710"/>
        <item x="1320"/>
        <item x="1312"/>
        <item x="1267"/>
        <item x="1089"/>
        <item x="986"/>
        <item x="564"/>
        <item x="1166"/>
        <item x="1704"/>
        <item x="115"/>
        <item x="825"/>
        <item x="1178"/>
        <item x="656"/>
        <item x="1969"/>
        <item x="445"/>
        <item x="31"/>
        <item x="1138"/>
        <item x="223"/>
        <item x="592"/>
        <item x="196"/>
        <item x="1672"/>
        <item x="783"/>
        <item x="1479"/>
        <item x="275"/>
        <item x="1318"/>
        <item x="798"/>
        <item x="426"/>
        <item x="886"/>
        <item x="782"/>
        <item x="1755"/>
        <item x="1579"/>
        <item x="1443"/>
        <item x="1341"/>
        <item x="501"/>
        <item x="1335"/>
        <item x="46"/>
        <item x="1108"/>
        <item x="1578"/>
        <item x="1915"/>
        <item x="1860"/>
        <item x="559"/>
        <item x="751"/>
        <item x="370"/>
        <item x="258"/>
        <item x="478"/>
        <item x="184"/>
        <item x="987"/>
        <item x="213"/>
        <item x="1790"/>
        <item x="1772"/>
        <item x="200"/>
        <item x="600"/>
        <item x="1080"/>
        <item x="238"/>
        <item x="1891"/>
        <item x="495"/>
        <item x="307"/>
        <item x="117"/>
        <item x="585"/>
        <item x="539"/>
        <item x="53"/>
        <item x="629"/>
        <item x="1148"/>
        <item x="1187"/>
        <item x="773"/>
        <item x="720"/>
        <item x="144"/>
        <item x="819"/>
        <item x="625"/>
        <item x="1642"/>
        <item x="543"/>
        <item x="1420"/>
        <item x="951"/>
        <item x="269"/>
        <item x="1285"/>
        <item x="1698"/>
        <item x="1664"/>
        <item x="679"/>
        <item x="1496"/>
        <item x="171"/>
        <item x="1832"/>
        <item x="219"/>
        <item x="845"/>
        <item x="899"/>
        <item x="1799"/>
        <item x="1071"/>
        <item x="130"/>
        <item x="1770"/>
        <item x="431"/>
        <item x="1480"/>
        <item x="423"/>
        <item x="1027"/>
        <item x="516"/>
        <item x="1316"/>
        <item x="1386"/>
        <item x="746"/>
        <item x="1754"/>
        <item x="824"/>
        <item x="1767"/>
        <item x="99"/>
        <item x="1963"/>
        <item x="1334"/>
        <item x="1410"/>
        <item x="177"/>
        <item x="1801"/>
        <item x="587"/>
        <item x="1833"/>
        <item x="143"/>
        <item x="1247"/>
        <item x="1172"/>
        <item x="1408"/>
        <item x="512"/>
        <item x="80"/>
        <item x="1229"/>
        <item x="1881"/>
        <item x="1331"/>
        <item x="1416"/>
        <item x="1135"/>
        <item x="233"/>
        <item x="1232"/>
        <item x="998"/>
        <item x="1192"/>
        <item x="1041"/>
        <item x="1744"/>
        <item x="1194"/>
        <item x="950"/>
        <item x="1732"/>
        <item x="1701"/>
        <item x="929"/>
        <item x="1195"/>
        <item x="398"/>
        <item x="1412"/>
        <item x="295"/>
        <item x="290"/>
        <item x="1503"/>
        <item x="317"/>
        <item x="203"/>
        <item x="654"/>
        <item x="518"/>
        <item x="1114"/>
        <item x="1384"/>
        <item x="864"/>
        <item x="1235"/>
        <item x="1582"/>
        <item x="1803"/>
        <item x="1791"/>
        <item x="1046"/>
        <item x="1186"/>
        <item x="1769"/>
        <item x="1327"/>
        <item x="2"/>
        <item x="1760"/>
        <item x="310"/>
        <item x="546"/>
        <item x="202"/>
        <item x="1419"/>
        <item x="125"/>
        <item x="854"/>
        <item x="923"/>
        <item x="163"/>
        <item x="939"/>
        <item x="174"/>
        <item x="212"/>
        <item x="1056"/>
        <item x="201"/>
        <item x="1629"/>
        <item x="69"/>
        <item x="1495"/>
        <item x="624"/>
        <item x="1372"/>
        <item x="608"/>
        <item x="1562"/>
        <item x="348"/>
        <item x="433"/>
        <item x="1297"/>
        <item x="1649"/>
        <item x="62"/>
        <item x="1735"/>
        <item x="1129"/>
        <item x="1314"/>
        <item x="863"/>
        <item x="519"/>
        <item x="1685"/>
        <item x="9"/>
        <item x="442"/>
        <item x="368"/>
        <item x="537"/>
        <item x="1714"/>
        <item x="517"/>
        <item x="452"/>
        <item x="1475"/>
        <item x="972"/>
        <item x="232"/>
        <item x="1228"/>
        <item x="176"/>
        <item x="1390"/>
        <item x="692"/>
        <item x="558"/>
        <item x="462"/>
        <item x="1329"/>
        <item x="1040"/>
        <item x="996"/>
        <item x="578"/>
        <item x="774"/>
        <item x="1284"/>
        <item x="1680"/>
        <item x="895"/>
        <item x="1940"/>
        <item x="314"/>
        <item x="244"/>
        <item x="634"/>
        <item x="371"/>
        <item x="167"/>
        <item x="1843"/>
        <item x="331"/>
        <item x="1446"/>
        <item x="1278"/>
        <item x="1753"/>
        <item x="1789"/>
        <item x="382"/>
        <item x="1245"/>
        <item x="965"/>
        <item x="1816"/>
        <item x="293"/>
        <item x="105"/>
        <item x="1207"/>
        <item x="1592"/>
        <item x="1902"/>
        <item x="198"/>
        <item x="1919"/>
        <item x="1371"/>
        <item x="1687"/>
        <item x="12"/>
        <item x="1921"/>
        <item x="1473"/>
        <item x="896"/>
        <item x="1740"/>
        <item x="506"/>
        <item x="1510"/>
        <item x="1609"/>
        <item x="540"/>
        <item x="1266"/>
        <item x="976"/>
        <item x="1908"/>
        <item x="1156"/>
        <item x="652"/>
        <item x="1742"/>
        <item x="1311"/>
        <item x="502"/>
        <item x="529"/>
        <item x="1417"/>
        <item x="992"/>
        <item x="1096"/>
        <item x="1163"/>
        <item x="544"/>
        <item x="1877"/>
        <item x="1793"/>
        <item x="678"/>
        <item x="1910"/>
        <item x="1535"/>
        <item x="1065"/>
        <item x="1201"/>
        <item x="694"/>
        <item x="1400"/>
        <item x="1696"/>
        <item x="1442"/>
        <item x="704"/>
        <item x="392"/>
        <item x="260"/>
        <item x="1009"/>
        <item x="1856"/>
        <item x="968"/>
        <item x="804"/>
        <item x="270"/>
        <item x="366"/>
        <item x="703"/>
        <item x="1692"/>
        <item x="416"/>
        <item x="1346"/>
        <item x="1777"/>
        <item x="1625"/>
        <item x="1628"/>
        <item x="1964"/>
        <item x="1717"/>
        <item x="1682"/>
        <item x="691"/>
        <item x="78"/>
        <item x="1892"/>
        <item x="699"/>
        <item x="1461"/>
        <item x="1806"/>
        <item x="1542"/>
        <item x="1931"/>
        <item x="628"/>
        <item x="606"/>
        <item x="971"/>
        <item x="1521"/>
        <item x="645"/>
        <item x="122"/>
        <item x="1581"/>
        <item x="1490"/>
        <item x="1920"/>
        <item x="1456"/>
        <item x="681"/>
        <item x="88"/>
        <item x="757"/>
        <item x="457"/>
        <item x="1817"/>
        <item x="197"/>
        <item x="591"/>
        <item x="552"/>
        <item x="870"/>
        <item x="127"/>
        <item x="1034"/>
        <item x="65"/>
        <item x="889"/>
        <item x="583"/>
        <item x="942"/>
        <item x="1087"/>
        <item x="1352"/>
        <item x="1398"/>
        <item x="627"/>
        <item x="1257"/>
        <item x="915"/>
        <item x="1070"/>
        <item x="396"/>
        <item x="1796"/>
        <item x="1709"/>
        <item x="1830"/>
        <item x="206"/>
        <item x="1939"/>
        <item x="1126"/>
        <item x="1450"/>
        <item x="921"/>
        <item x="806"/>
        <item x="1651"/>
        <item x="146"/>
        <item x="911"/>
        <item x="1647"/>
        <item x="208"/>
        <item x="1941"/>
        <item x="1057"/>
        <item x="1861"/>
        <item x="1379"/>
        <item x="254"/>
        <item x="984"/>
        <item x="1807"/>
        <item x="302"/>
        <item x="1953"/>
        <item x="1139"/>
        <item x="1677"/>
        <item x="657"/>
        <item x="1530"/>
        <item x="235"/>
        <item x="1289"/>
        <item x="1670"/>
        <item x="1488"/>
        <item x="541"/>
        <item x="1563"/>
        <item x="611"/>
        <item x="1968"/>
        <item x="1159"/>
        <item x="943"/>
        <item x="320"/>
        <item x="1090"/>
        <item x="635"/>
        <item x="1111"/>
        <item x="101"/>
        <item x="211"/>
        <item x="1051"/>
        <item x="688"/>
        <item x="1500"/>
        <item x="288"/>
        <item x="1852"/>
        <item x="1238"/>
        <item x="818"/>
        <item x="330"/>
        <item x="1913"/>
        <item x="420"/>
        <item x="26"/>
        <item x="7"/>
        <item x="1577"/>
        <item x="1922"/>
        <item x="1786"/>
        <item x="385"/>
        <item x="620"/>
        <item x="28"/>
        <item x="1086"/>
        <item x="1012"/>
        <item x="1721"/>
        <item x="1630"/>
        <item x="1098"/>
        <item x="1652"/>
        <item x="1566"/>
        <item x="848"/>
        <item x="524"/>
        <item x="829"/>
        <item x="1184"/>
        <item x="124"/>
        <item x="1397"/>
        <item x="590"/>
        <item x="1519"/>
        <item x="1243"/>
        <item x="422"/>
        <item x="962"/>
        <item x="576"/>
        <item x="642"/>
        <item x="324"/>
        <item x="1253"/>
        <item x="306"/>
        <item x="56"/>
        <item x="716"/>
        <item x="435"/>
        <item x="1640"/>
        <item x="1280"/>
        <item x="1780"/>
        <item x="376"/>
        <item x="1147"/>
        <item x="1213"/>
        <item x="617"/>
        <item x="1088"/>
        <item x="1966"/>
        <item x="15"/>
        <item x="284"/>
        <item x="1597"/>
        <item x="1636"/>
        <item x="1743"/>
        <item x="1890"/>
        <item x="1217"/>
        <item x="377"/>
        <item x="1212"/>
        <item x="178"/>
        <item x="1491"/>
        <item x="1859"/>
        <item x="531"/>
        <item x="1292"/>
        <item x="259"/>
        <item x="538"/>
        <item x="1361"/>
        <item x="577"/>
        <item x="1811"/>
        <item x="1691"/>
        <item x="474"/>
        <item x="1900"/>
        <item x="817"/>
        <item x="550"/>
        <item x="1924"/>
        <item x="1084"/>
        <item x="1448"/>
        <item x="1447"/>
        <item x="1686"/>
        <item x="771"/>
        <item x="1378"/>
        <item x="1766"/>
        <item x="1025"/>
        <item x="1634"/>
        <item x="1800"/>
        <item x="1463"/>
        <item x="1282"/>
        <item x="1730"/>
        <item x="1102"/>
        <item x="885"/>
        <item x="1024"/>
        <item x="1937"/>
        <item x="1683"/>
        <item x="352"/>
        <item x="1326"/>
        <item x="1430"/>
        <item x="1866"/>
        <item x="1459"/>
        <item x="1439"/>
        <item x="1074"/>
        <item x="586"/>
        <item x="1123"/>
        <item x="100"/>
        <item x="1350"/>
        <item x="141"/>
        <item x="1531"/>
        <item x="1659"/>
        <item x="813"/>
        <item x="8"/>
        <item x="1700"/>
        <item x="1031"/>
        <item x="10"/>
        <item x="336"/>
        <item x="494"/>
        <item x="1909"/>
        <item x="969"/>
        <item x="1757"/>
        <item x="1252"/>
        <item x="1689"/>
        <item x="360"/>
        <item x="877"/>
        <item x="67"/>
        <item x="856"/>
        <item x="689"/>
        <item x="1234"/>
        <item x="401"/>
        <item x="605"/>
        <item x="1061"/>
        <item x="1465"/>
        <item x="994"/>
        <item x="1422"/>
        <item x="712"/>
        <item x="1157"/>
        <item x="1272"/>
        <item x="1120"/>
        <item x="210"/>
        <item x="750"/>
        <item x="1618"/>
        <item x="1666"/>
        <item x="1962"/>
        <item x="70"/>
        <item x="1128"/>
        <item x="904"/>
        <item x="1097"/>
        <item x="626"/>
        <item x="1654"/>
        <item x="873"/>
        <item x="726"/>
        <item x="249"/>
        <item x="556"/>
        <item x="581"/>
        <item x="769"/>
        <item x="639"/>
        <item x="1836"/>
        <item x="641"/>
        <item x="1810"/>
        <item x="1273"/>
        <item x="1394"/>
        <item x="1725"/>
        <item x="413"/>
        <item x="135"/>
        <item x="220"/>
        <item x="975"/>
        <item x="1112"/>
        <item x="644"/>
        <item x="1307"/>
        <item x="934"/>
        <item x="833"/>
        <item x="1527"/>
        <item x="45"/>
        <item x="1425"/>
        <item x="1949"/>
        <item x="1845"/>
        <item x="1699"/>
        <item x="1613"/>
        <item x="1593"/>
        <item x="1626"/>
        <item x="1353"/>
        <item x="836"/>
        <item x="1835"/>
        <item x="71"/>
        <item x="545"/>
        <item x="905"/>
        <item x="343"/>
        <item x="489"/>
        <item x="1550"/>
        <item x="1222"/>
        <item x="138"/>
        <item x="224"/>
        <item x="983"/>
        <item x="51"/>
        <item x="1764"/>
        <item x="1105"/>
        <item x="1018"/>
        <item x="533"/>
        <item x="595"/>
        <item x="1415"/>
        <item x="764"/>
        <item x="312"/>
        <item x="1424"/>
        <item x="280"/>
        <item x="429"/>
        <item x="554"/>
        <item x="492"/>
        <item x="572"/>
        <item x="450"/>
        <item x="768"/>
        <item x="162"/>
        <item x="1345"/>
        <item x="1888"/>
        <item x="535"/>
        <item x="1889"/>
        <item x="1928"/>
        <item x="1174"/>
        <item x="1724"/>
        <item x="1011"/>
        <item x="1225"/>
        <item x="313"/>
        <item x="1221"/>
        <item x="1624"/>
        <item x="633"/>
        <item x="266"/>
        <item x="1601"/>
        <item x="755"/>
        <item x="1936"/>
        <item x="276"/>
        <item x="1828"/>
        <item x="157"/>
        <item x="1401"/>
        <item x="835"/>
        <item x="1100"/>
        <item x="1729"/>
        <item x="500"/>
        <item x="1549"/>
        <item x="1733"/>
        <item x="809"/>
        <item x="1726"/>
        <item x="129"/>
        <item x="5"/>
        <item x="1288"/>
        <item x="1667"/>
        <item x="1572"/>
        <item x="575"/>
        <item x="1001"/>
        <item x="1623"/>
        <item x="1054"/>
        <item x="1841"/>
        <item x="594"/>
        <item x="985"/>
        <item x="1513"/>
        <item x="842"/>
        <item x="1043"/>
        <item x="1191"/>
        <item x="761"/>
        <item x="731"/>
        <item x="952"/>
        <item x="660"/>
        <item x="49"/>
        <item x="1958"/>
        <item x="1589"/>
        <item x="1478"/>
        <item x="927"/>
        <item x="190"/>
        <item x="741"/>
        <item x="1103"/>
        <item x="989"/>
        <item x="1894"/>
        <item x="1358"/>
        <item x="1899"/>
        <item x="1121"/>
        <item x="103"/>
        <item x="527"/>
        <item x="183"/>
        <item x="1813"/>
        <item x="1972"/>
        <item x="1804"/>
        <item x="837"/>
        <item x="1113"/>
        <item x="75"/>
        <item x="470"/>
        <item x="305"/>
        <item x="715"/>
        <item x="714"/>
        <item x="1083"/>
        <item x="1955"/>
        <item x="913"/>
        <item x="1712"/>
        <item x="111"/>
        <item x="1929"/>
        <item x="1144"/>
        <item x="1020"/>
        <item x="1466"/>
        <item x="1300"/>
        <item x="937"/>
        <item x="1543"/>
        <item x="64"/>
        <item x="766"/>
        <item x="884"/>
        <item x="60"/>
        <item x="1265"/>
        <item x="1434"/>
        <item x="1124"/>
        <item x="1583"/>
        <item x="1037"/>
        <item x="358"/>
        <item x="1264"/>
        <item x="1778"/>
        <item x="329"/>
        <item x="1573"/>
        <item x="1946"/>
        <item x="248"/>
        <item x="272"/>
        <item x="1798"/>
        <item x="1938"/>
        <item x="1883"/>
        <item x="1669"/>
        <item x="598"/>
        <item x="630"/>
        <item x="1298"/>
        <item x="286"/>
        <item x="63"/>
        <item x="597"/>
        <item x="1153"/>
        <item x="191"/>
        <item x="1000"/>
        <item x="613"/>
        <item x="640"/>
        <item x="1072"/>
        <item x="918"/>
        <item x="499"/>
        <item x="68"/>
        <item x="1878"/>
        <item x="982"/>
        <item x="780"/>
        <item t="default"/>
      </items>
    </pivotField>
    <pivotField showAll="0">
      <items count="4">
        <item x="0"/>
        <item x="1"/>
        <item x="2"/>
        <item t="default"/>
      </items>
    </pivotField>
    <pivotField axis="axisRow" showAll="0">
      <items count="6">
        <item x="4"/>
        <item x="3"/>
        <item x="2"/>
        <item x="0"/>
        <item x="1"/>
        <item t="default"/>
      </items>
    </pivotField>
    <pivotField numFmtId="165" showAll="0"/>
    <pivotField showAll="0"/>
    <pivotField dataField="1" numFmtId="165" showAll="0"/>
    <pivotField showAll="0">
      <items count="398">
        <item x="266"/>
        <item x="37"/>
        <item x="150"/>
        <item x="57"/>
        <item x="160"/>
        <item x="340"/>
        <item x="26"/>
        <item x="86"/>
        <item x="304"/>
        <item x="297"/>
        <item x="34"/>
        <item x="79"/>
        <item x="375"/>
        <item x="326"/>
        <item x="195"/>
        <item x="27"/>
        <item x="66"/>
        <item x="185"/>
        <item x="225"/>
        <item x="43"/>
        <item x="215"/>
        <item x="359"/>
        <item x="373"/>
        <item x="24"/>
        <item x="332"/>
        <item x="33"/>
        <item x="207"/>
        <item x="148"/>
        <item x="241"/>
        <item x="120"/>
        <item x="344"/>
        <item x="217"/>
        <item x="36"/>
        <item x="210"/>
        <item x="243"/>
        <item x="383"/>
        <item x="114"/>
        <item x="246"/>
        <item x="286"/>
        <item x="192"/>
        <item x="284"/>
        <item x="30"/>
        <item x="29"/>
        <item x="106"/>
        <item x="78"/>
        <item x="231"/>
        <item x="361"/>
        <item x="205"/>
        <item x="178"/>
        <item x="384"/>
        <item x="345"/>
        <item x="249"/>
        <item x="293"/>
        <item x="15"/>
        <item x="395"/>
        <item x="154"/>
        <item x="63"/>
        <item x="191"/>
        <item x="42"/>
        <item x="151"/>
        <item x="318"/>
        <item x="362"/>
        <item x="121"/>
        <item x="261"/>
        <item x="45"/>
        <item x="216"/>
        <item x="20"/>
        <item x="98"/>
        <item x="96"/>
        <item x="54"/>
        <item x="218"/>
        <item x="90"/>
        <item x="315"/>
        <item x="348"/>
        <item x="17"/>
        <item x="155"/>
        <item x="75"/>
        <item x="343"/>
        <item x="310"/>
        <item x="197"/>
        <item x="366"/>
        <item x="272"/>
        <item x="314"/>
        <item x="239"/>
        <item x="82"/>
        <item x="317"/>
        <item x="7"/>
        <item x="339"/>
        <item x="367"/>
        <item x="76"/>
        <item x="139"/>
        <item x="93"/>
        <item x="357"/>
        <item x="350"/>
        <item x="64"/>
        <item x="6"/>
        <item x="335"/>
        <item x="302"/>
        <item x="77"/>
        <item x="233"/>
        <item x="330"/>
        <item x="240"/>
        <item x="132"/>
        <item x="108"/>
        <item x="134"/>
        <item x="290"/>
        <item x="391"/>
        <item x="381"/>
        <item x="337"/>
        <item x="117"/>
        <item x="378"/>
        <item x="202"/>
        <item x="281"/>
        <item x="319"/>
        <item x="56"/>
        <item x="230"/>
        <item x="355"/>
        <item x="277"/>
        <item x="349"/>
        <item x="182"/>
        <item x="324"/>
        <item x="252"/>
        <item x="153"/>
        <item x="382"/>
        <item x="294"/>
        <item x="353"/>
        <item x="162"/>
        <item x="104"/>
        <item x="105"/>
        <item x="1"/>
        <item x="387"/>
        <item x="201"/>
        <item x="50"/>
        <item x="9"/>
        <item x="338"/>
        <item x="146"/>
        <item x="283"/>
        <item x="274"/>
        <item x="385"/>
        <item x="0"/>
        <item x="287"/>
        <item x="177"/>
        <item x="87"/>
        <item x="276"/>
        <item x="303"/>
        <item x="48"/>
        <item x="203"/>
        <item x="248"/>
        <item x="176"/>
        <item x="51"/>
        <item x="170"/>
        <item x="144"/>
        <item x="200"/>
        <item x="331"/>
        <item x="256"/>
        <item x="351"/>
        <item x="364"/>
        <item x="189"/>
        <item x="10"/>
        <item x="282"/>
        <item x="95"/>
        <item x="157"/>
        <item x="125"/>
        <item x="245"/>
        <item x="41"/>
        <item x="268"/>
        <item x="94"/>
        <item x="198"/>
        <item x="111"/>
        <item x="161"/>
        <item x="70"/>
        <item x="299"/>
        <item x="35"/>
        <item x="219"/>
        <item x="99"/>
        <item x="336"/>
        <item x="39"/>
        <item x="4"/>
        <item x="166"/>
        <item x="273"/>
        <item x="209"/>
        <item x="141"/>
        <item x="264"/>
        <item x="312"/>
        <item x="55"/>
        <item x="377"/>
        <item x="214"/>
        <item x="171"/>
        <item x="159"/>
        <item x="354"/>
        <item x="167"/>
        <item x="124"/>
        <item x="229"/>
        <item x="138"/>
        <item x="327"/>
        <item x="73"/>
        <item x="174"/>
        <item x="285"/>
        <item x="46"/>
        <item x="242"/>
        <item x="181"/>
        <item x="279"/>
        <item x="298"/>
        <item x="321"/>
        <item x="224"/>
        <item x="368"/>
        <item x="22"/>
        <item x="8"/>
        <item x="379"/>
        <item x="142"/>
        <item x="128"/>
        <item x="222"/>
        <item x="62"/>
        <item x="204"/>
        <item x="220"/>
        <item x="346"/>
        <item x="19"/>
        <item x="183"/>
        <item x="228"/>
        <item x="365"/>
        <item x="122"/>
        <item x="211"/>
        <item x="61"/>
        <item x="169"/>
        <item x="301"/>
        <item x="374"/>
        <item x="173"/>
        <item x="89"/>
        <item x="306"/>
        <item x="342"/>
        <item x="136"/>
        <item x="165"/>
        <item x="188"/>
        <item x="14"/>
        <item x="113"/>
        <item x="147"/>
        <item x="235"/>
        <item x="396"/>
        <item x="102"/>
        <item x="164"/>
        <item x="363"/>
        <item x="65"/>
        <item x="83"/>
        <item x="237"/>
        <item x="358"/>
        <item x="85"/>
        <item x="145"/>
        <item x="21"/>
        <item x="389"/>
        <item x="72"/>
        <item x="156"/>
        <item x="300"/>
        <item x="52"/>
        <item x="227"/>
        <item x="296"/>
        <item x="392"/>
        <item x="226"/>
        <item x="71"/>
        <item x="149"/>
        <item x="356"/>
        <item x="190"/>
        <item x="130"/>
        <item x="101"/>
        <item x="244"/>
        <item x="175"/>
        <item x="247"/>
        <item x="115"/>
        <item x="13"/>
        <item x="309"/>
        <item x="341"/>
        <item x="47"/>
        <item x="263"/>
        <item x="258"/>
        <item x="97"/>
        <item x="208"/>
        <item x="187"/>
        <item x="291"/>
        <item x="265"/>
        <item x="238"/>
        <item x="380"/>
        <item x="193"/>
        <item x="32"/>
        <item x="275"/>
        <item x="352"/>
        <item x="12"/>
        <item x="251"/>
        <item x="137"/>
        <item x="257"/>
        <item x="109"/>
        <item x="103"/>
        <item x="74"/>
        <item x="386"/>
        <item x="92"/>
        <item x="206"/>
        <item x="236"/>
        <item x="322"/>
        <item x="179"/>
        <item x="84"/>
        <item x="232"/>
        <item x="127"/>
        <item x="234"/>
        <item x="371"/>
        <item x="2"/>
        <item x="320"/>
        <item x="91"/>
        <item x="152"/>
        <item x="67"/>
        <item x="135"/>
        <item x="163"/>
        <item x="360"/>
        <item x="172"/>
        <item x="158"/>
        <item x="59"/>
        <item x="40"/>
        <item x="196"/>
        <item x="116"/>
        <item x="44"/>
        <item x="267"/>
        <item x="49"/>
        <item x="60"/>
        <item x="133"/>
        <item x="393"/>
        <item x="140"/>
        <item x="372"/>
        <item x="270"/>
        <item x="186"/>
        <item x="81"/>
        <item x="180"/>
        <item x="390"/>
        <item x="253"/>
        <item x="126"/>
        <item x="262"/>
        <item x="328"/>
        <item x="100"/>
        <item x="369"/>
        <item x="107"/>
        <item x="259"/>
        <item x="58"/>
        <item x="311"/>
        <item x="278"/>
        <item x="305"/>
        <item x="313"/>
        <item x="38"/>
        <item x="323"/>
        <item x="271"/>
        <item x="295"/>
        <item x="308"/>
        <item x="269"/>
        <item x="254"/>
        <item x="288"/>
        <item x="28"/>
        <item x="11"/>
        <item x="316"/>
        <item x="119"/>
        <item x="18"/>
        <item x="69"/>
        <item x="25"/>
        <item x="347"/>
        <item x="250"/>
        <item x="123"/>
        <item x="143"/>
        <item x="80"/>
        <item x="88"/>
        <item x="23"/>
        <item x="213"/>
        <item x="370"/>
        <item x="129"/>
        <item x="68"/>
        <item x="333"/>
        <item x="307"/>
        <item x="223"/>
        <item x="31"/>
        <item x="110"/>
        <item x="199"/>
        <item x="334"/>
        <item x="329"/>
        <item x="325"/>
        <item x="194"/>
        <item x="118"/>
        <item x="168"/>
        <item x="112"/>
        <item x="184"/>
        <item x="292"/>
        <item x="212"/>
        <item x="388"/>
        <item x="255"/>
        <item x="394"/>
        <item x="16"/>
        <item x="376"/>
        <item x="280"/>
        <item x="53"/>
        <item x="5"/>
        <item x="131"/>
        <item x="260"/>
        <item x="3"/>
        <item x="289"/>
        <item x="221"/>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Sum of Total" fld="6" baseField="0" baseItem="0"/>
  </dataFields>
  <formats count="12">
    <format dxfId="40">
      <pivotArea type="all" dataOnly="0" outline="0" fieldPosition="0"/>
    </format>
    <format dxfId="39">
      <pivotArea outline="0" collapsedLevelsAreSubtotals="1" fieldPosition="0"/>
    </format>
    <format dxfId="38">
      <pivotArea field="3" type="button" dataOnly="0" labelOnly="1" outline="0" axis="axisRow" fieldPosition="0"/>
    </format>
    <format dxfId="37">
      <pivotArea dataOnly="0" labelOnly="1" fieldPosition="0">
        <references count="1">
          <reference field="3" count="0"/>
        </references>
      </pivotArea>
    </format>
    <format dxfId="36">
      <pivotArea dataOnly="0" labelOnly="1" grandRow="1" outline="0" fieldPosition="0"/>
    </format>
    <format dxfId="35">
      <pivotArea dataOnly="0" labelOnly="1" outline="0" axis="axisValues" fieldPosition="0"/>
    </format>
    <format dxfId="27">
      <pivotArea type="all" dataOnly="0" outline="0" fieldPosition="0"/>
    </format>
    <format dxfId="26">
      <pivotArea outline="0" collapsedLevelsAreSubtotals="1" fieldPosition="0"/>
    </format>
    <format dxfId="25">
      <pivotArea field="3" type="button" dataOnly="0" labelOnly="1" outline="0" axis="axisRow" fieldPosition="0"/>
    </format>
    <format dxfId="24">
      <pivotArea dataOnly="0" labelOnly="1" fieldPosition="0">
        <references count="1">
          <reference field="3" count="0"/>
        </references>
      </pivotArea>
    </format>
    <format dxfId="23">
      <pivotArea dataOnly="0" labelOnly="1" grandRow="1" outline="0" fieldPosition="0"/>
    </format>
    <format dxfId="22">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E63D22-85D9-4F87-B433-B0BC47AD1CF1}" name="PivotTable6"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
  <location ref="D12:E18" firstHeaderRow="1" firstDataRow="1" firstDataCol="1"/>
  <pivotFields count="10">
    <pivotField numFmtId="14" showAll="0">
      <items count="15">
        <item x="0"/>
        <item x="1"/>
        <item x="2"/>
        <item x="3"/>
        <item x="4"/>
        <item x="5"/>
        <item x="6"/>
        <item x="7"/>
        <item x="8"/>
        <item x="9"/>
        <item x="10"/>
        <item x="11"/>
        <item x="12"/>
        <item x="13"/>
        <item t="default"/>
      </items>
    </pivotField>
    <pivotField numFmtId="164" showAll="0"/>
    <pivotField showAll="0">
      <items count="4">
        <item x="0"/>
        <item x="1"/>
        <item x="2"/>
        <item t="default"/>
      </items>
    </pivotField>
    <pivotField axis="axisRow" showAll="0">
      <items count="6">
        <item x="4"/>
        <item x="3"/>
        <item x="2"/>
        <item x="0"/>
        <item x="1"/>
        <item t="default"/>
      </items>
    </pivotField>
    <pivotField numFmtId="165" showAll="0"/>
    <pivotField dataField="1" showAll="0">
      <items count="6">
        <item x="4"/>
        <item x="3"/>
        <item x="1"/>
        <item x="0"/>
        <item x="2"/>
        <item t="default"/>
      </items>
    </pivotField>
    <pivotField numFmtId="165" showAll="0"/>
    <pivotField showAll="0">
      <items count="398">
        <item x="266"/>
        <item x="37"/>
        <item x="150"/>
        <item x="57"/>
        <item x="160"/>
        <item x="340"/>
        <item x="26"/>
        <item x="86"/>
        <item x="304"/>
        <item x="297"/>
        <item x="34"/>
        <item x="79"/>
        <item x="375"/>
        <item x="326"/>
        <item x="195"/>
        <item x="27"/>
        <item x="66"/>
        <item x="185"/>
        <item x="225"/>
        <item x="43"/>
        <item x="215"/>
        <item x="359"/>
        <item x="373"/>
        <item x="24"/>
        <item x="332"/>
        <item x="33"/>
        <item x="207"/>
        <item x="148"/>
        <item x="241"/>
        <item x="120"/>
        <item x="344"/>
        <item x="217"/>
        <item x="36"/>
        <item x="210"/>
        <item x="243"/>
        <item x="383"/>
        <item x="114"/>
        <item x="246"/>
        <item x="286"/>
        <item x="192"/>
        <item x="284"/>
        <item x="30"/>
        <item x="29"/>
        <item x="106"/>
        <item x="78"/>
        <item x="231"/>
        <item x="361"/>
        <item x="205"/>
        <item x="178"/>
        <item x="384"/>
        <item x="345"/>
        <item x="249"/>
        <item x="293"/>
        <item x="15"/>
        <item x="395"/>
        <item x="154"/>
        <item x="63"/>
        <item x="191"/>
        <item x="42"/>
        <item x="151"/>
        <item x="318"/>
        <item x="362"/>
        <item x="121"/>
        <item x="261"/>
        <item x="45"/>
        <item x="216"/>
        <item x="20"/>
        <item x="98"/>
        <item x="96"/>
        <item x="54"/>
        <item x="218"/>
        <item x="90"/>
        <item x="315"/>
        <item x="348"/>
        <item x="17"/>
        <item x="155"/>
        <item x="75"/>
        <item x="343"/>
        <item x="310"/>
        <item x="197"/>
        <item x="366"/>
        <item x="272"/>
        <item x="314"/>
        <item x="239"/>
        <item x="82"/>
        <item x="317"/>
        <item x="7"/>
        <item x="339"/>
        <item x="367"/>
        <item x="76"/>
        <item x="139"/>
        <item x="93"/>
        <item x="357"/>
        <item x="350"/>
        <item x="64"/>
        <item x="6"/>
        <item x="335"/>
        <item x="302"/>
        <item x="77"/>
        <item x="233"/>
        <item x="330"/>
        <item x="240"/>
        <item x="132"/>
        <item x="108"/>
        <item x="134"/>
        <item x="290"/>
        <item x="391"/>
        <item x="381"/>
        <item x="337"/>
        <item x="117"/>
        <item x="378"/>
        <item x="202"/>
        <item x="281"/>
        <item x="319"/>
        <item x="56"/>
        <item x="230"/>
        <item x="355"/>
        <item x="277"/>
        <item x="349"/>
        <item x="182"/>
        <item x="324"/>
        <item x="252"/>
        <item x="153"/>
        <item x="382"/>
        <item x="294"/>
        <item x="353"/>
        <item x="162"/>
        <item x="104"/>
        <item x="105"/>
        <item x="1"/>
        <item x="387"/>
        <item x="201"/>
        <item x="50"/>
        <item x="9"/>
        <item x="338"/>
        <item x="146"/>
        <item x="283"/>
        <item x="274"/>
        <item x="385"/>
        <item x="0"/>
        <item x="287"/>
        <item x="177"/>
        <item x="87"/>
        <item x="276"/>
        <item x="303"/>
        <item x="48"/>
        <item x="203"/>
        <item x="248"/>
        <item x="176"/>
        <item x="51"/>
        <item x="170"/>
        <item x="144"/>
        <item x="200"/>
        <item x="331"/>
        <item x="256"/>
        <item x="351"/>
        <item x="364"/>
        <item x="189"/>
        <item x="10"/>
        <item x="282"/>
        <item x="95"/>
        <item x="157"/>
        <item x="125"/>
        <item x="245"/>
        <item x="41"/>
        <item x="268"/>
        <item x="94"/>
        <item x="198"/>
        <item x="111"/>
        <item x="161"/>
        <item x="70"/>
        <item x="299"/>
        <item x="35"/>
        <item x="219"/>
        <item x="99"/>
        <item x="336"/>
        <item x="39"/>
        <item x="4"/>
        <item x="166"/>
        <item x="273"/>
        <item x="209"/>
        <item x="141"/>
        <item x="264"/>
        <item x="312"/>
        <item x="55"/>
        <item x="377"/>
        <item x="214"/>
        <item x="171"/>
        <item x="159"/>
        <item x="354"/>
        <item x="167"/>
        <item x="124"/>
        <item x="229"/>
        <item x="138"/>
        <item x="327"/>
        <item x="73"/>
        <item x="174"/>
        <item x="285"/>
        <item x="46"/>
        <item x="242"/>
        <item x="181"/>
        <item x="279"/>
        <item x="298"/>
        <item x="321"/>
        <item x="224"/>
        <item x="368"/>
        <item x="22"/>
        <item x="8"/>
        <item x="379"/>
        <item x="142"/>
        <item x="128"/>
        <item x="222"/>
        <item x="62"/>
        <item x="204"/>
        <item x="220"/>
        <item x="346"/>
        <item x="19"/>
        <item x="183"/>
        <item x="228"/>
        <item x="365"/>
        <item x="122"/>
        <item x="211"/>
        <item x="61"/>
        <item x="169"/>
        <item x="301"/>
        <item x="374"/>
        <item x="173"/>
        <item x="89"/>
        <item x="306"/>
        <item x="342"/>
        <item x="136"/>
        <item x="165"/>
        <item x="188"/>
        <item x="14"/>
        <item x="113"/>
        <item x="147"/>
        <item x="235"/>
        <item x="396"/>
        <item x="102"/>
        <item x="164"/>
        <item x="363"/>
        <item x="65"/>
        <item x="83"/>
        <item x="237"/>
        <item x="358"/>
        <item x="85"/>
        <item x="145"/>
        <item x="21"/>
        <item x="389"/>
        <item x="72"/>
        <item x="156"/>
        <item x="300"/>
        <item x="52"/>
        <item x="227"/>
        <item x="296"/>
        <item x="392"/>
        <item x="226"/>
        <item x="71"/>
        <item x="149"/>
        <item x="356"/>
        <item x="190"/>
        <item x="130"/>
        <item x="101"/>
        <item x="244"/>
        <item x="175"/>
        <item x="247"/>
        <item x="115"/>
        <item x="13"/>
        <item x="309"/>
        <item x="341"/>
        <item x="47"/>
        <item x="263"/>
        <item x="258"/>
        <item x="97"/>
        <item x="208"/>
        <item x="187"/>
        <item x="291"/>
        <item x="265"/>
        <item x="238"/>
        <item x="380"/>
        <item x="193"/>
        <item x="32"/>
        <item x="275"/>
        <item x="352"/>
        <item x="12"/>
        <item x="251"/>
        <item x="137"/>
        <item x="257"/>
        <item x="109"/>
        <item x="103"/>
        <item x="74"/>
        <item x="386"/>
        <item x="92"/>
        <item x="206"/>
        <item x="236"/>
        <item x="322"/>
        <item x="179"/>
        <item x="84"/>
        <item x="232"/>
        <item x="127"/>
        <item x="234"/>
        <item x="371"/>
        <item x="2"/>
        <item x="320"/>
        <item x="91"/>
        <item x="152"/>
        <item x="67"/>
        <item x="135"/>
        <item x="163"/>
        <item x="360"/>
        <item x="172"/>
        <item x="158"/>
        <item x="59"/>
        <item x="40"/>
        <item x="196"/>
        <item x="116"/>
        <item x="44"/>
        <item x="267"/>
        <item x="49"/>
        <item x="60"/>
        <item x="133"/>
        <item x="393"/>
        <item x="140"/>
        <item x="372"/>
        <item x="270"/>
        <item x="186"/>
        <item x="81"/>
        <item x="180"/>
        <item x="390"/>
        <item x="253"/>
        <item x="126"/>
        <item x="262"/>
        <item x="328"/>
        <item x="100"/>
        <item x="369"/>
        <item x="107"/>
        <item x="259"/>
        <item x="58"/>
        <item x="311"/>
        <item x="278"/>
        <item x="305"/>
        <item x="313"/>
        <item x="38"/>
        <item x="323"/>
        <item x="271"/>
        <item x="295"/>
        <item x="308"/>
        <item x="269"/>
        <item x="254"/>
        <item x="288"/>
        <item x="28"/>
        <item x="11"/>
        <item x="316"/>
        <item x="119"/>
        <item x="18"/>
        <item x="69"/>
        <item x="25"/>
        <item x="347"/>
        <item x="250"/>
        <item x="123"/>
        <item x="143"/>
        <item x="80"/>
        <item x="88"/>
        <item x="23"/>
        <item x="213"/>
        <item x="370"/>
        <item x="129"/>
        <item x="68"/>
        <item x="333"/>
        <item x="307"/>
        <item x="223"/>
        <item x="31"/>
        <item x="110"/>
        <item x="199"/>
        <item x="334"/>
        <item x="329"/>
        <item x="325"/>
        <item x="194"/>
        <item x="118"/>
        <item x="168"/>
        <item x="112"/>
        <item x="184"/>
        <item x="292"/>
        <item x="212"/>
        <item x="388"/>
        <item x="255"/>
        <item x="394"/>
        <item x="16"/>
        <item x="376"/>
        <item x="280"/>
        <item x="53"/>
        <item x="5"/>
        <item x="131"/>
        <item x="260"/>
        <item x="3"/>
        <item x="289"/>
        <item x="221"/>
        <item t="default"/>
      </items>
    </pivotField>
    <pivotField showAll="0" defaultSubtotal="0"/>
    <pivotField showAll="0" defaultSubtotal="0"/>
  </pivotFields>
  <rowFields count="1">
    <field x="3"/>
  </rowFields>
  <rowItems count="6">
    <i>
      <x/>
    </i>
    <i>
      <x v="1"/>
    </i>
    <i>
      <x v="2"/>
    </i>
    <i>
      <x v="3"/>
    </i>
    <i>
      <x v="4"/>
    </i>
    <i t="grand">
      <x/>
    </i>
  </rowItems>
  <colItems count="1">
    <i/>
  </colItems>
  <dataFields count="1">
    <dataField name="Sum of Quantity" fld="5" baseField="0" baseItem="0"/>
  </dataFields>
  <formats count="12">
    <format dxfId="46">
      <pivotArea type="all" dataOnly="0" outline="0" fieldPosition="0"/>
    </format>
    <format dxfId="45">
      <pivotArea outline="0" collapsedLevelsAreSubtotals="1" fieldPosition="0"/>
    </format>
    <format dxfId="44">
      <pivotArea field="3" type="button" dataOnly="0" labelOnly="1" outline="0" axis="axisRow" fieldPosition="0"/>
    </format>
    <format dxfId="43">
      <pivotArea dataOnly="0" labelOnly="1" fieldPosition="0">
        <references count="1">
          <reference field="3" count="0"/>
        </references>
      </pivotArea>
    </format>
    <format dxfId="42">
      <pivotArea dataOnly="0" labelOnly="1" grandRow="1" outline="0" fieldPosition="0"/>
    </format>
    <format dxfId="41">
      <pivotArea dataOnly="0" labelOnly="1" outline="0" axis="axisValues" fieldPosition="0"/>
    </format>
    <format dxfId="13">
      <pivotArea type="all" dataOnly="0" outline="0" fieldPosition="0"/>
    </format>
    <format dxfId="12">
      <pivotArea outline="0" collapsedLevelsAreSubtotals="1" fieldPosition="0"/>
    </format>
    <format dxfId="11">
      <pivotArea field="3" type="button" dataOnly="0" labelOnly="1" outline="0" axis="axisRow" fieldPosition="0"/>
    </format>
    <format dxfId="10">
      <pivotArea dataOnly="0" labelOnly="1" fieldPosition="0">
        <references count="1">
          <reference field="3" count="0"/>
        </references>
      </pivotArea>
    </format>
    <format dxfId="9">
      <pivotArea dataOnly="0" labelOnly="1" grandRow="1" outline="0" fieldPosition="0"/>
    </format>
    <format dxfId="8">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08FEA7-F0FD-4E5E-9BCF-37CC3A29A5A9}" name="PivotTable5"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
  <location ref="D4:E8" firstHeaderRow="1" firstDataRow="1" firstDataCol="1"/>
  <pivotFields count="10">
    <pivotField axis="axisRow" numFmtId="14" showAll="0">
      <items count="15">
        <item x="0"/>
        <item x="1"/>
        <item x="2"/>
        <item x="3"/>
        <item x="4"/>
        <item x="5"/>
        <item x="6"/>
        <item x="7"/>
        <item x="8"/>
        <item x="9"/>
        <item x="10"/>
        <item x="11"/>
        <item x="12"/>
        <item x="13"/>
        <item t="default"/>
      </items>
    </pivotField>
    <pivotField numFmtId="164" showAll="0"/>
    <pivotField showAll="0">
      <items count="4">
        <item x="0"/>
        <item x="1"/>
        <item x="2"/>
        <item t="default"/>
      </items>
    </pivotField>
    <pivotField showAll="0">
      <items count="6">
        <item x="4"/>
        <item x="3"/>
        <item x="2"/>
        <item x="0"/>
        <item x="1"/>
        <item t="default"/>
      </items>
    </pivotField>
    <pivotField numFmtId="165" showAll="0"/>
    <pivotField showAll="0"/>
    <pivotField dataField="1" numFmtId="165" showAll="0"/>
    <pivotField showAll="0">
      <items count="398">
        <item x="266"/>
        <item x="37"/>
        <item x="150"/>
        <item x="57"/>
        <item x="160"/>
        <item x="340"/>
        <item x="26"/>
        <item x="86"/>
        <item x="304"/>
        <item x="297"/>
        <item x="34"/>
        <item x="79"/>
        <item x="375"/>
        <item x="326"/>
        <item x="195"/>
        <item x="27"/>
        <item x="66"/>
        <item x="185"/>
        <item x="225"/>
        <item x="43"/>
        <item x="215"/>
        <item x="359"/>
        <item x="373"/>
        <item x="24"/>
        <item x="332"/>
        <item x="33"/>
        <item x="207"/>
        <item x="148"/>
        <item x="241"/>
        <item x="120"/>
        <item x="344"/>
        <item x="217"/>
        <item x="36"/>
        <item x="210"/>
        <item x="243"/>
        <item x="383"/>
        <item x="114"/>
        <item x="246"/>
        <item x="286"/>
        <item x="192"/>
        <item x="284"/>
        <item x="30"/>
        <item x="29"/>
        <item x="106"/>
        <item x="78"/>
        <item x="231"/>
        <item x="361"/>
        <item x="205"/>
        <item x="178"/>
        <item x="384"/>
        <item x="345"/>
        <item x="249"/>
        <item x="293"/>
        <item x="15"/>
        <item x="395"/>
        <item x="154"/>
        <item x="63"/>
        <item x="191"/>
        <item x="42"/>
        <item x="151"/>
        <item x="318"/>
        <item x="362"/>
        <item x="121"/>
        <item x="261"/>
        <item x="45"/>
        <item x="216"/>
        <item x="20"/>
        <item x="98"/>
        <item x="96"/>
        <item x="54"/>
        <item x="218"/>
        <item x="90"/>
        <item x="315"/>
        <item x="348"/>
        <item x="17"/>
        <item x="155"/>
        <item x="75"/>
        <item x="343"/>
        <item x="310"/>
        <item x="197"/>
        <item x="366"/>
        <item x="272"/>
        <item x="314"/>
        <item x="239"/>
        <item x="82"/>
        <item x="317"/>
        <item x="7"/>
        <item x="339"/>
        <item x="367"/>
        <item x="76"/>
        <item x="139"/>
        <item x="93"/>
        <item x="357"/>
        <item x="350"/>
        <item x="64"/>
        <item x="6"/>
        <item x="335"/>
        <item x="302"/>
        <item x="77"/>
        <item x="233"/>
        <item x="330"/>
        <item x="240"/>
        <item x="132"/>
        <item x="108"/>
        <item x="134"/>
        <item x="290"/>
        <item x="391"/>
        <item x="381"/>
        <item x="337"/>
        <item x="117"/>
        <item x="378"/>
        <item x="202"/>
        <item x="281"/>
        <item x="319"/>
        <item x="56"/>
        <item x="230"/>
        <item x="355"/>
        <item x="277"/>
        <item x="349"/>
        <item x="182"/>
        <item x="324"/>
        <item x="252"/>
        <item x="153"/>
        <item x="382"/>
        <item x="294"/>
        <item x="353"/>
        <item x="162"/>
        <item x="104"/>
        <item x="105"/>
        <item x="1"/>
        <item x="387"/>
        <item x="201"/>
        <item x="50"/>
        <item x="9"/>
        <item x="338"/>
        <item x="146"/>
        <item x="283"/>
        <item x="274"/>
        <item x="385"/>
        <item x="0"/>
        <item x="287"/>
        <item x="177"/>
        <item x="87"/>
        <item x="276"/>
        <item x="303"/>
        <item x="48"/>
        <item x="203"/>
        <item x="248"/>
        <item x="176"/>
        <item x="51"/>
        <item x="170"/>
        <item x="144"/>
        <item x="200"/>
        <item x="331"/>
        <item x="256"/>
        <item x="351"/>
        <item x="364"/>
        <item x="189"/>
        <item x="10"/>
        <item x="282"/>
        <item x="95"/>
        <item x="157"/>
        <item x="125"/>
        <item x="245"/>
        <item x="41"/>
        <item x="268"/>
        <item x="94"/>
        <item x="198"/>
        <item x="111"/>
        <item x="161"/>
        <item x="70"/>
        <item x="299"/>
        <item x="35"/>
        <item x="219"/>
        <item x="99"/>
        <item x="336"/>
        <item x="39"/>
        <item x="4"/>
        <item x="166"/>
        <item x="273"/>
        <item x="209"/>
        <item x="141"/>
        <item x="264"/>
        <item x="312"/>
        <item x="55"/>
        <item x="377"/>
        <item x="214"/>
        <item x="171"/>
        <item x="159"/>
        <item x="354"/>
        <item x="167"/>
        <item x="124"/>
        <item x="229"/>
        <item x="138"/>
        <item x="327"/>
        <item x="73"/>
        <item x="174"/>
        <item x="285"/>
        <item x="46"/>
        <item x="242"/>
        <item x="181"/>
        <item x="279"/>
        <item x="298"/>
        <item x="321"/>
        <item x="224"/>
        <item x="368"/>
        <item x="22"/>
        <item x="8"/>
        <item x="379"/>
        <item x="142"/>
        <item x="128"/>
        <item x="222"/>
        <item x="62"/>
        <item x="204"/>
        <item x="220"/>
        <item x="346"/>
        <item x="19"/>
        <item x="183"/>
        <item x="228"/>
        <item x="365"/>
        <item x="122"/>
        <item x="211"/>
        <item x="61"/>
        <item x="169"/>
        <item x="301"/>
        <item x="374"/>
        <item x="173"/>
        <item x="89"/>
        <item x="306"/>
        <item x="342"/>
        <item x="136"/>
        <item x="165"/>
        <item x="188"/>
        <item x="14"/>
        <item x="113"/>
        <item x="147"/>
        <item x="235"/>
        <item x="396"/>
        <item x="102"/>
        <item x="164"/>
        <item x="363"/>
        <item x="65"/>
        <item x="83"/>
        <item x="237"/>
        <item x="358"/>
        <item x="85"/>
        <item x="145"/>
        <item x="21"/>
        <item x="389"/>
        <item x="72"/>
        <item x="156"/>
        <item x="300"/>
        <item x="52"/>
        <item x="227"/>
        <item x="296"/>
        <item x="392"/>
        <item x="226"/>
        <item x="71"/>
        <item x="149"/>
        <item x="356"/>
        <item x="190"/>
        <item x="130"/>
        <item x="101"/>
        <item x="244"/>
        <item x="175"/>
        <item x="247"/>
        <item x="115"/>
        <item x="13"/>
        <item x="309"/>
        <item x="341"/>
        <item x="47"/>
        <item x="263"/>
        <item x="258"/>
        <item x="97"/>
        <item x="208"/>
        <item x="187"/>
        <item x="291"/>
        <item x="265"/>
        <item x="238"/>
        <item x="380"/>
        <item x="193"/>
        <item x="32"/>
        <item x="275"/>
        <item x="352"/>
        <item x="12"/>
        <item x="251"/>
        <item x="137"/>
        <item x="257"/>
        <item x="109"/>
        <item x="103"/>
        <item x="74"/>
        <item x="386"/>
        <item x="92"/>
        <item x="206"/>
        <item x="236"/>
        <item x="322"/>
        <item x="179"/>
        <item x="84"/>
        <item x="232"/>
        <item x="127"/>
        <item x="234"/>
        <item x="371"/>
        <item x="2"/>
        <item x="320"/>
        <item x="91"/>
        <item x="152"/>
        <item x="67"/>
        <item x="135"/>
        <item x="163"/>
        <item x="360"/>
        <item x="172"/>
        <item x="158"/>
        <item x="59"/>
        <item x="40"/>
        <item x="196"/>
        <item x="116"/>
        <item x="44"/>
        <item x="267"/>
        <item x="49"/>
        <item x="60"/>
        <item x="133"/>
        <item x="393"/>
        <item x="140"/>
        <item x="372"/>
        <item x="270"/>
        <item x="186"/>
        <item x="81"/>
        <item x="180"/>
        <item x="390"/>
        <item x="253"/>
        <item x="126"/>
        <item x="262"/>
        <item x="328"/>
        <item x="100"/>
        <item x="369"/>
        <item x="107"/>
        <item x="259"/>
        <item x="58"/>
        <item x="311"/>
        <item x="278"/>
        <item x="305"/>
        <item x="313"/>
        <item x="38"/>
        <item x="323"/>
        <item x="271"/>
        <item x="295"/>
        <item x="308"/>
        <item x="269"/>
        <item x="254"/>
        <item x="288"/>
        <item x="28"/>
        <item x="11"/>
        <item x="316"/>
        <item x="119"/>
        <item x="18"/>
        <item x="69"/>
        <item x="25"/>
        <item x="347"/>
        <item x="250"/>
        <item x="123"/>
        <item x="143"/>
        <item x="80"/>
        <item x="88"/>
        <item x="23"/>
        <item x="213"/>
        <item x="370"/>
        <item x="129"/>
        <item x="68"/>
        <item x="333"/>
        <item x="307"/>
        <item x="223"/>
        <item x="31"/>
        <item x="110"/>
        <item x="199"/>
        <item x="334"/>
        <item x="329"/>
        <item x="325"/>
        <item x="194"/>
        <item x="118"/>
        <item x="168"/>
        <item x="112"/>
        <item x="184"/>
        <item x="292"/>
        <item x="212"/>
        <item x="388"/>
        <item x="255"/>
        <item x="394"/>
        <item x="16"/>
        <item x="376"/>
        <item x="280"/>
        <item x="53"/>
        <item x="5"/>
        <item x="131"/>
        <item x="260"/>
        <item x="3"/>
        <item x="289"/>
        <item x="221"/>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9"/>
    <field x="8"/>
    <field x="0"/>
  </rowFields>
  <rowItems count="4">
    <i>
      <x v="1"/>
    </i>
    <i>
      <x v="2"/>
    </i>
    <i>
      <x v="3"/>
    </i>
    <i t="grand">
      <x/>
    </i>
  </rowItems>
  <colItems count="1">
    <i/>
  </colItems>
  <dataFields count="1">
    <dataField name="Sum of Total" fld="6" baseField="0" baseItem="0"/>
  </dataFields>
  <formats count="12">
    <format dxfId="52">
      <pivotArea type="all" dataOnly="0" outline="0" fieldPosition="0"/>
    </format>
    <format dxfId="51">
      <pivotArea outline="0" collapsedLevelsAreSubtotals="1" fieldPosition="0"/>
    </format>
    <format dxfId="50">
      <pivotArea field="9" type="button" dataOnly="0" labelOnly="1" outline="0" axis="axisRow" fieldPosition="0"/>
    </format>
    <format dxfId="49">
      <pivotArea dataOnly="0" labelOnly="1" fieldPosition="0">
        <references count="1">
          <reference field="9" count="3">
            <x v="1"/>
            <x v="2"/>
            <x v="3"/>
          </reference>
        </references>
      </pivotArea>
    </format>
    <format dxfId="48">
      <pivotArea dataOnly="0" labelOnly="1" grandRow="1" outline="0" fieldPosition="0"/>
    </format>
    <format dxfId="47">
      <pivotArea dataOnly="0" labelOnly="1" outline="0" axis="axisValues" fieldPosition="0"/>
    </format>
    <format dxfId="20">
      <pivotArea type="all" dataOnly="0" outline="0" fieldPosition="0"/>
    </format>
    <format dxfId="19">
      <pivotArea outline="0" collapsedLevelsAreSubtotals="1" fieldPosition="0"/>
    </format>
    <format dxfId="18">
      <pivotArea field="9" type="button" dataOnly="0" labelOnly="1" outline="0" axis="axisRow" fieldPosition="0"/>
    </format>
    <format dxfId="17">
      <pivotArea dataOnly="0" labelOnly="1" fieldPosition="0">
        <references count="1">
          <reference field="9" count="3">
            <x v="1"/>
            <x v="2"/>
            <x v="3"/>
          </reference>
        </references>
      </pivotArea>
    </format>
    <format dxfId="16">
      <pivotArea dataOnly="0" labelOnly="1" grandRow="1" outline="0" fieldPosition="0"/>
    </format>
    <format dxfId="15">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Type" xr10:uid="{00000000-0013-0000-FFFF-FFFF01000000}" sourceName="CustomerType">
  <pivotTables>
    <pivotTable tabId="9" name="PivotTable5"/>
    <pivotTable tabId="9" name="PivotTable6"/>
    <pivotTable tabId="9" name="PivotTable7"/>
    <pivotTable tabId="9" name="PivotTable8"/>
  </pivotTables>
  <data>
    <tabular pivotCacheId="72195663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00000000-0013-0000-FFFF-FFFF02000000}" sourceName="ProductCategory">
  <pivotTables>
    <pivotTable tabId="9" name="PivotTable5"/>
    <pivotTable tabId="9" name="PivotTable6"/>
    <pivotTable tabId="9" name="PivotTable7"/>
    <pivotTable tabId="9" name="PivotTable8"/>
  </pivotTables>
  <data>
    <tabular pivotCacheId="721956639">
      <items count="5">
        <i x="4" s="1"/>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llName" xr10:uid="{00000000-0013-0000-FFFF-FFFF03000000}" sourceName="FullName">
  <pivotTables>
    <pivotTable tabId="9" name="PivotTable5"/>
    <pivotTable tabId="9" name="PivotTable6"/>
    <pivotTable tabId="9" name="PivotTable7"/>
    <pivotTable tabId="9" name="PivotTable8"/>
  </pivotTables>
  <data>
    <tabular pivotCacheId="721956639">
      <items count="397">
        <i x="266" s="1"/>
        <i x="37" s="1"/>
        <i x="150" s="1"/>
        <i x="57" s="1"/>
        <i x="160" s="1"/>
        <i x="340" s="1"/>
        <i x="26" s="1"/>
        <i x="86" s="1"/>
        <i x="304" s="1"/>
        <i x="297" s="1"/>
        <i x="34" s="1"/>
        <i x="79" s="1"/>
        <i x="375" s="1"/>
        <i x="326" s="1"/>
        <i x="195" s="1"/>
        <i x="27" s="1"/>
        <i x="66" s="1"/>
        <i x="185" s="1"/>
        <i x="225" s="1"/>
        <i x="43" s="1"/>
        <i x="215" s="1"/>
        <i x="359" s="1"/>
        <i x="373" s="1"/>
        <i x="24" s="1"/>
        <i x="332" s="1"/>
        <i x="33" s="1"/>
        <i x="207" s="1"/>
        <i x="148" s="1"/>
        <i x="241" s="1"/>
        <i x="120" s="1"/>
        <i x="344" s="1"/>
        <i x="217" s="1"/>
        <i x="36" s="1"/>
        <i x="210" s="1"/>
        <i x="243" s="1"/>
        <i x="383" s="1"/>
        <i x="114" s="1"/>
        <i x="246" s="1"/>
        <i x="286" s="1"/>
        <i x="192" s="1"/>
        <i x="284" s="1"/>
        <i x="30" s="1"/>
        <i x="29" s="1"/>
        <i x="106" s="1"/>
        <i x="78" s="1"/>
        <i x="231" s="1"/>
        <i x="361" s="1"/>
        <i x="205" s="1"/>
        <i x="178" s="1"/>
        <i x="384" s="1"/>
        <i x="345" s="1"/>
        <i x="249" s="1"/>
        <i x="293" s="1"/>
        <i x="15" s="1"/>
        <i x="395" s="1"/>
        <i x="154" s="1"/>
        <i x="63" s="1"/>
        <i x="191" s="1"/>
        <i x="42" s="1"/>
        <i x="151" s="1"/>
        <i x="318" s="1"/>
        <i x="362" s="1"/>
        <i x="121" s="1"/>
        <i x="261" s="1"/>
        <i x="45" s="1"/>
        <i x="216" s="1"/>
        <i x="20" s="1"/>
        <i x="98" s="1"/>
        <i x="96" s="1"/>
        <i x="54" s="1"/>
        <i x="218" s="1"/>
        <i x="90" s="1"/>
        <i x="315" s="1"/>
        <i x="348" s="1"/>
        <i x="17" s="1"/>
        <i x="155" s="1"/>
        <i x="75" s="1"/>
        <i x="343" s="1"/>
        <i x="310" s="1"/>
        <i x="197" s="1"/>
        <i x="366" s="1"/>
        <i x="272" s="1"/>
        <i x="314" s="1"/>
        <i x="239" s="1"/>
        <i x="82" s="1"/>
        <i x="317" s="1"/>
        <i x="7" s="1"/>
        <i x="339" s="1"/>
        <i x="367" s="1"/>
        <i x="76" s="1"/>
        <i x="139" s="1"/>
        <i x="93" s="1"/>
        <i x="357" s="1"/>
        <i x="350" s="1"/>
        <i x="64" s="1"/>
        <i x="6" s="1"/>
        <i x="335" s="1"/>
        <i x="302" s="1"/>
        <i x="77" s="1"/>
        <i x="233" s="1"/>
        <i x="330" s="1"/>
        <i x="240" s="1"/>
        <i x="132" s="1"/>
        <i x="108" s="1"/>
        <i x="134" s="1"/>
        <i x="290" s="1"/>
        <i x="391" s="1"/>
        <i x="381" s="1"/>
        <i x="337" s="1"/>
        <i x="117" s="1"/>
        <i x="378" s="1"/>
        <i x="202" s="1"/>
        <i x="281" s="1"/>
        <i x="319" s="1"/>
        <i x="56" s="1"/>
        <i x="230" s="1"/>
        <i x="355" s="1"/>
        <i x="277" s="1"/>
        <i x="349" s="1"/>
        <i x="182" s="1"/>
        <i x="324" s="1"/>
        <i x="252" s="1"/>
        <i x="153" s="1"/>
        <i x="382" s="1"/>
        <i x="294" s="1"/>
        <i x="353" s="1"/>
        <i x="162" s="1"/>
        <i x="104" s="1"/>
        <i x="105" s="1"/>
        <i x="1" s="1"/>
        <i x="387" s="1"/>
        <i x="201" s="1"/>
        <i x="50" s="1"/>
        <i x="9" s="1"/>
        <i x="338" s="1"/>
        <i x="146" s="1"/>
        <i x="283" s="1"/>
        <i x="274" s="1"/>
        <i x="385" s="1"/>
        <i x="0" s="1"/>
        <i x="287" s="1"/>
        <i x="177" s="1"/>
        <i x="87" s="1"/>
        <i x="276" s="1"/>
        <i x="303" s="1"/>
        <i x="48" s="1"/>
        <i x="203" s="1"/>
        <i x="248" s="1"/>
        <i x="176" s="1"/>
        <i x="51" s="1"/>
        <i x="170" s="1"/>
        <i x="144" s="1"/>
        <i x="200" s="1"/>
        <i x="331" s="1"/>
        <i x="256" s="1"/>
        <i x="351" s="1"/>
        <i x="364" s="1"/>
        <i x="189" s="1"/>
        <i x="10" s="1"/>
        <i x="282" s="1"/>
        <i x="95" s="1"/>
        <i x="157" s="1"/>
        <i x="125" s="1"/>
        <i x="245" s="1"/>
        <i x="41" s="1"/>
        <i x="268" s="1"/>
        <i x="94" s="1"/>
        <i x="198" s="1"/>
        <i x="111" s="1"/>
        <i x="161" s="1"/>
        <i x="70" s="1"/>
        <i x="299" s="1"/>
        <i x="35" s="1"/>
        <i x="219" s="1"/>
        <i x="99" s="1"/>
        <i x="336" s="1"/>
        <i x="39" s="1"/>
        <i x="4" s="1"/>
        <i x="166" s="1"/>
        <i x="273" s="1"/>
        <i x="209" s="1"/>
        <i x="141" s="1"/>
        <i x="264" s="1"/>
        <i x="312" s="1"/>
        <i x="55" s="1"/>
        <i x="377" s="1"/>
        <i x="214" s="1"/>
        <i x="171" s="1"/>
        <i x="159" s="1"/>
        <i x="354" s="1"/>
        <i x="167" s="1"/>
        <i x="124" s="1"/>
        <i x="229" s="1"/>
        <i x="138" s="1"/>
        <i x="327" s="1"/>
        <i x="73" s="1"/>
        <i x="174" s="1"/>
        <i x="285" s="1"/>
        <i x="46" s="1"/>
        <i x="242" s="1"/>
        <i x="181" s="1"/>
        <i x="279" s="1"/>
        <i x="298" s="1"/>
        <i x="321" s="1"/>
        <i x="224" s="1"/>
        <i x="368" s="1"/>
        <i x="22" s="1"/>
        <i x="8" s="1"/>
        <i x="379" s="1"/>
        <i x="142" s="1"/>
        <i x="128" s="1"/>
        <i x="222" s="1"/>
        <i x="62" s="1"/>
        <i x="204" s="1"/>
        <i x="220" s="1"/>
        <i x="346" s="1"/>
        <i x="19" s="1"/>
        <i x="183" s="1"/>
        <i x="228" s="1"/>
        <i x="365" s="1"/>
        <i x="122" s="1"/>
        <i x="211" s="1"/>
        <i x="61" s="1"/>
        <i x="169" s="1"/>
        <i x="301" s="1"/>
        <i x="374" s="1"/>
        <i x="173" s="1"/>
        <i x="89" s="1"/>
        <i x="306" s="1"/>
        <i x="342" s="1"/>
        <i x="136" s="1"/>
        <i x="165" s="1"/>
        <i x="188" s="1"/>
        <i x="14" s="1"/>
        <i x="113" s="1"/>
        <i x="147" s="1"/>
        <i x="235" s="1"/>
        <i x="396" s="1"/>
        <i x="102" s="1"/>
        <i x="164" s="1"/>
        <i x="363" s="1"/>
        <i x="65" s="1"/>
        <i x="83" s="1"/>
        <i x="237" s="1"/>
        <i x="358" s="1"/>
        <i x="85" s="1"/>
        <i x="145" s="1"/>
        <i x="21" s="1"/>
        <i x="389" s="1"/>
        <i x="72" s="1"/>
        <i x="156" s="1"/>
        <i x="300" s="1"/>
        <i x="52" s="1"/>
        <i x="227" s="1"/>
        <i x="296" s="1"/>
        <i x="392" s="1"/>
        <i x="226" s="1"/>
        <i x="71" s="1"/>
        <i x="149" s="1"/>
        <i x="356" s="1"/>
        <i x="190" s="1"/>
        <i x="130" s="1"/>
        <i x="101" s="1"/>
        <i x="244" s="1"/>
        <i x="175" s="1"/>
        <i x="247" s="1"/>
        <i x="115" s="1"/>
        <i x="13" s="1"/>
        <i x="309" s="1"/>
        <i x="341" s="1"/>
        <i x="47" s="1"/>
        <i x="263" s="1"/>
        <i x="258" s="1"/>
        <i x="97" s="1"/>
        <i x="208" s="1"/>
        <i x="187" s="1"/>
        <i x="291" s="1"/>
        <i x="265" s="1"/>
        <i x="238" s="1"/>
        <i x="380" s="1"/>
        <i x="193" s="1"/>
        <i x="32" s="1"/>
        <i x="275" s="1"/>
        <i x="352" s="1"/>
        <i x="12" s="1"/>
        <i x="251" s="1"/>
        <i x="137" s="1"/>
        <i x="257" s="1"/>
        <i x="109" s="1"/>
        <i x="103" s="1"/>
        <i x="74" s="1"/>
        <i x="386" s="1"/>
        <i x="92" s="1"/>
        <i x="206" s="1"/>
        <i x="236" s="1"/>
        <i x="322" s="1"/>
        <i x="179" s="1"/>
        <i x="84" s="1"/>
        <i x="232" s="1"/>
        <i x="127" s="1"/>
        <i x="234" s="1"/>
        <i x="371" s="1"/>
        <i x="2" s="1"/>
        <i x="320" s="1"/>
        <i x="91" s="1"/>
        <i x="152" s="1"/>
        <i x="67" s="1"/>
        <i x="135" s="1"/>
        <i x="163" s="1"/>
        <i x="360" s="1"/>
        <i x="172" s="1"/>
        <i x="158" s="1"/>
        <i x="59" s="1"/>
        <i x="40" s="1"/>
        <i x="196" s="1"/>
        <i x="116" s="1"/>
        <i x="44" s="1"/>
        <i x="267" s="1"/>
        <i x="49" s="1"/>
        <i x="60" s="1"/>
        <i x="133" s="1"/>
        <i x="393" s="1"/>
        <i x="140" s="1"/>
        <i x="372" s="1"/>
        <i x="270" s="1"/>
        <i x="186" s="1"/>
        <i x="81" s="1"/>
        <i x="180" s="1"/>
        <i x="390" s="1"/>
        <i x="253" s="1"/>
        <i x="126" s="1"/>
        <i x="262" s="1"/>
        <i x="328" s="1"/>
        <i x="100" s="1"/>
        <i x="369" s="1"/>
        <i x="107" s="1"/>
        <i x="259" s="1"/>
        <i x="58" s="1"/>
        <i x="311" s="1"/>
        <i x="278" s="1"/>
        <i x="305" s="1"/>
        <i x="313" s="1"/>
        <i x="38" s="1"/>
        <i x="323" s="1"/>
        <i x="271" s="1"/>
        <i x="295" s="1"/>
        <i x="308" s="1"/>
        <i x="269" s="1"/>
        <i x="254" s="1"/>
        <i x="288" s="1"/>
        <i x="28" s="1"/>
        <i x="11" s="1"/>
        <i x="316" s="1"/>
        <i x="119" s="1"/>
        <i x="18" s="1"/>
        <i x="69" s="1"/>
        <i x="25" s="1"/>
        <i x="347" s="1"/>
        <i x="250" s="1"/>
        <i x="123" s="1"/>
        <i x="143" s="1"/>
        <i x="80" s="1"/>
        <i x="88" s="1"/>
        <i x="23" s="1"/>
        <i x="213" s="1"/>
        <i x="370" s="1"/>
        <i x="129" s="1"/>
        <i x="68" s="1"/>
        <i x="333" s="1"/>
        <i x="307" s="1"/>
        <i x="223" s="1"/>
        <i x="31" s="1"/>
        <i x="110" s="1"/>
        <i x="199" s="1"/>
        <i x="334" s="1"/>
        <i x="329" s="1"/>
        <i x="325" s="1"/>
        <i x="194" s="1"/>
        <i x="118" s="1"/>
        <i x="168" s="1"/>
        <i x="112" s="1"/>
        <i x="184" s="1"/>
        <i x="292" s="1"/>
        <i x="212" s="1"/>
        <i x="388" s="1"/>
        <i x="255" s="1"/>
        <i x="394" s="1"/>
        <i x="16" s="1"/>
        <i x="376" s="1"/>
        <i x="280" s="1"/>
        <i x="53" s="1"/>
        <i x="5" s="1"/>
        <i x="131" s="1"/>
        <i x="260" s="1"/>
        <i x="3" s="1"/>
        <i x="289" s="1"/>
        <i x="22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Type 2" xr10:uid="{34CC801F-E4A4-423E-9062-CC4630036E63}" cache="Slicer_CustomerType" caption="CustomerType" rowHeight="241300"/>
  <slicer name="ProductCategory 2" xr10:uid="{7FBB5965-D0AC-468D-ADBC-9BFC756C25A5}" cache="Slicer_ProductCategory" caption="ProductCategory" rowHeight="241300"/>
  <slicer name="FullName 2" xr10:uid="{7EE248A2-CDED-4BC7-9956-AEF1C8CF285A}" cache="Slicer_FullName" caption="FullNam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0000000-0013-0000-FFFF-FFFF04000000}" sourceName="Date">
  <pivotTables>
    <pivotTable tabId="9" name="PivotTable5"/>
    <pivotTable tabId="9" name="PivotTable6"/>
    <pivotTable tabId="9" name="PivotTable7"/>
    <pivotTable tabId="9" name="PivotTable8"/>
  </pivotTables>
  <state minimalRefreshVersion="6" lastRefreshVersion="6" pivotCacheId="721956639" filterType="unknown">
    <bounds startDate="2023-01-01T01:55:00" endDate="2026-01-01T15:44: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C6BD5959-561A-4389-8670-3B48FF94F0D0}" cache="NativeTimeline_Date" caption="Date" level="2" selectionLevel="2" scrollPosition="2024-01-01T00:00:00"/>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79998168889431442"/>
  </sheetPr>
  <dimension ref="A1:H2000"/>
  <sheetViews>
    <sheetView workbookViewId="0">
      <selection activeCell="E7" sqref="E7"/>
    </sheetView>
  </sheetViews>
  <sheetFormatPr defaultRowHeight="14.5" x14ac:dyDescent="0.35"/>
  <cols>
    <col min="1" max="1" width="18" customWidth="1"/>
    <col min="2" max="2" width="12.7265625" customWidth="1"/>
    <col min="3" max="3" width="17.1796875" customWidth="1"/>
    <col min="4" max="4" width="24" customWidth="1"/>
    <col min="7" max="7" width="16.54296875" customWidth="1"/>
    <col min="8" max="8" width="23.54296875" customWidth="1"/>
  </cols>
  <sheetData>
    <row r="1" spans="1:8" x14ac:dyDescent="0.35">
      <c r="A1" s="1" t="s">
        <v>0</v>
      </c>
      <c r="B1" s="1" t="s">
        <v>1</v>
      </c>
      <c r="C1" s="1" t="s">
        <v>2</v>
      </c>
      <c r="D1" s="1" t="s">
        <v>3</v>
      </c>
      <c r="E1" s="1" t="s">
        <v>4</v>
      </c>
      <c r="F1" s="1" t="s">
        <v>5</v>
      </c>
      <c r="G1" s="1" t="s">
        <v>6</v>
      </c>
      <c r="H1" s="1" t="s">
        <v>7</v>
      </c>
    </row>
    <row r="2" spans="1:8" x14ac:dyDescent="0.35">
      <c r="A2" s="2">
        <v>45291.65347222222</v>
      </c>
      <c r="B2" s="3">
        <v>0.25310185185185186</v>
      </c>
      <c r="C2" s="1" t="s">
        <v>8</v>
      </c>
      <c r="D2" s="1" t="s">
        <v>9</v>
      </c>
      <c r="E2" s="1">
        <v>10.69</v>
      </c>
      <c r="F2" s="1">
        <v>4</v>
      </c>
      <c r="G2" s="1">
        <v>42.76</v>
      </c>
      <c r="H2" s="1" t="s">
        <v>10</v>
      </c>
    </row>
    <row r="3" spans="1:8" x14ac:dyDescent="0.35">
      <c r="A3" s="2">
        <v>45298.929861111108</v>
      </c>
      <c r="B3" s="3">
        <v>4.5347222222222226E-2</v>
      </c>
      <c r="C3" s="1" t="s">
        <v>11</v>
      </c>
      <c r="D3" s="1" t="s">
        <v>12</v>
      </c>
      <c r="E3" s="1">
        <v>381.03</v>
      </c>
      <c r="F3" s="1">
        <v>3</v>
      </c>
      <c r="G3" s="1">
        <v>1143.0899999999999</v>
      </c>
      <c r="H3" s="1" t="s">
        <v>13</v>
      </c>
    </row>
    <row r="4" spans="1:8" x14ac:dyDescent="0.35">
      <c r="A4" s="2">
        <v>45301.089583333334</v>
      </c>
      <c r="B4" s="3">
        <v>0.7303587962962963</v>
      </c>
      <c r="C4" s="1" t="s">
        <v>14</v>
      </c>
      <c r="D4" s="1" t="s">
        <v>9</v>
      </c>
      <c r="E4" s="1">
        <v>153.84</v>
      </c>
      <c r="F4" s="1">
        <v>5</v>
      </c>
      <c r="G4" s="1">
        <v>769.2</v>
      </c>
      <c r="H4" s="1" t="s">
        <v>15</v>
      </c>
    </row>
    <row r="5" spans="1:8" x14ac:dyDescent="0.35">
      <c r="A5" s="2">
        <v>45078.448611111111</v>
      </c>
      <c r="B5" s="3">
        <v>7.6574074074074072E-2</v>
      </c>
      <c r="C5" s="1" t="s">
        <v>14</v>
      </c>
      <c r="D5" s="1" t="s">
        <v>16</v>
      </c>
      <c r="E5" s="1">
        <v>341.41</v>
      </c>
      <c r="F5" s="1">
        <v>4</v>
      </c>
      <c r="G5" s="1">
        <v>1365.64</v>
      </c>
      <c r="H5" s="1" t="s">
        <v>17</v>
      </c>
    </row>
    <row r="6" spans="1:8" x14ac:dyDescent="0.35">
      <c r="A6" s="2">
        <v>45435.921527777777</v>
      </c>
      <c r="B6" s="3">
        <v>0.4424305555555556</v>
      </c>
      <c r="C6" s="1" t="s">
        <v>14</v>
      </c>
      <c r="D6" s="1" t="s">
        <v>12</v>
      </c>
      <c r="E6" s="1">
        <v>390.16</v>
      </c>
      <c r="F6" s="1">
        <v>5</v>
      </c>
      <c r="G6" s="1">
        <v>1950.8</v>
      </c>
      <c r="H6" s="1" t="s">
        <v>18</v>
      </c>
    </row>
    <row r="7" spans="1:8" x14ac:dyDescent="0.35">
      <c r="A7" s="2">
        <v>45338.820138888892</v>
      </c>
      <c r="B7" s="3">
        <v>0.94568287037037047</v>
      </c>
      <c r="C7" s="1" t="s">
        <v>8</v>
      </c>
      <c r="D7" s="1" t="s">
        <v>9</v>
      </c>
      <c r="E7" s="1">
        <v>170.21</v>
      </c>
      <c r="F7" s="1">
        <v>4</v>
      </c>
      <c r="G7" s="1">
        <v>680.84</v>
      </c>
      <c r="H7" s="1" t="s">
        <v>19</v>
      </c>
    </row>
    <row r="8" spans="1:8" x14ac:dyDescent="0.35">
      <c r="A8" s="2">
        <v>45260.15</v>
      </c>
      <c r="B8" s="3">
        <v>0.40052083333333338</v>
      </c>
      <c r="C8" s="1" t="s">
        <v>8</v>
      </c>
      <c r="D8" s="1" t="s">
        <v>20</v>
      </c>
      <c r="E8" s="1">
        <v>81.739999999999995</v>
      </c>
      <c r="F8" s="1">
        <v>2</v>
      </c>
      <c r="G8" s="1">
        <v>163.47999999999999</v>
      </c>
      <c r="H8" s="1" t="s">
        <v>21</v>
      </c>
    </row>
    <row r="9" spans="1:8" x14ac:dyDescent="0.35">
      <c r="A9" s="2">
        <v>45448.222916666666</v>
      </c>
      <c r="B9" s="3">
        <v>0.8351736111111111</v>
      </c>
      <c r="C9" s="1" t="s">
        <v>11</v>
      </c>
      <c r="D9" s="1" t="s">
        <v>20</v>
      </c>
      <c r="E9" s="1">
        <v>181.26</v>
      </c>
      <c r="F9" s="1">
        <v>3</v>
      </c>
      <c r="G9" s="1">
        <v>543.78</v>
      </c>
      <c r="H9" s="1" t="s">
        <v>22</v>
      </c>
    </row>
    <row r="10" spans="1:8" x14ac:dyDescent="0.35">
      <c r="A10" s="2">
        <v>45450.902777777781</v>
      </c>
      <c r="B10" s="3">
        <v>0.88037037037037036</v>
      </c>
      <c r="C10" s="1" t="s">
        <v>11</v>
      </c>
      <c r="D10" s="1" t="s">
        <v>16</v>
      </c>
      <c r="E10" s="1">
        <v>471.89</v>
      </c>
      <c r="F10" s="1">
        <v>2</v>
      </c>
      <c r="G10" s="1">
        <v>943.78</v>
      </c>
      <c r="H10" s="1" t="s">
        <v>23</v>
      </c>
    </row>
    <row r="11" spans="1:8" x14ac:dyDescent="0.35">
      <c r="A11" s="2">
        <v>45289.190972222219</v>
      </c>
      <c r="B11" s="3">
        <v>0.74576388888888889</v>
      </c>
      <c r="C11" s="1" t="s">
        <v>8</v>
      </c>
      <c r="D11" s="1" t="s">
        <v>9</v>
      </c>
      <c r="E11" s="1">
        <v>59.7</v>
      </c>
      <c r="F11" s="1">
        <v>2</v>
      </c>
      <c r="G11" s="1">
        <v>119.4</v>
      </c>
      <c r="H11" s="1" t="s">
        <v>24</v>
      </c>
    </row>
    <row r="12" spans="1:8" x14ac:dyDescent="0.35">
      <c r="A12" s="2">
        <v>45639.642361111109</v>
      </c>
      <c r="B12" s="3">
        <v>0.88077546296296294</v>
      </c>
      <c r="C12" s="1" t="s">
        <v>14</v>
      </c>
      <c r="D12" s="1" t="s">
        <v>16</v>
      </c>
      <c r="E12" s="1">
        <v>198.48</v>
      </c>
      <c r="F12" s="1">
        <v>4</v>
      </c>
      <c r="G12" s="1">
        <v>793.92</v>
      </c>
      <c r="H12" s="1" t="s">
        <v>25</v>
      </c>
    </row>
    <row r="13" spans="1:8" x14ac:dyDescent="0.35">
      <c r="A13" s="2">
        <v>45015.912499999999</v>
      </c>
      <c r="B13" s="3">
        <v>1.494212962962963E-2</v>
      </c>
      <c r="C13" s="1" t="s">
        <v>8</v>
      </c>
      <c r="D13" s="1" t="s">
        <v>9</v>
      </c>
      <c r="E13" s="1">
        <v>242.14</v>
      </c>
      <c r="F13" s="1">
        <v>2</v>
      </c>
      <c r="G13" s="1">
        <v>484.28</v>
      </c>
      <c r="H13" s="1" t="s">
        <v>26</v>
      </c>
    </row>
    <row r="14" spans="1:8" x14ac:dyDescent="0.35">
      <c r="A14" s="2">
        <v>45079.587500000001</v>
      </c>
      <c r="B14" s="3">
        <v>0.76549768518518524</v>
      </c>
      <c r="C14" s="1" t="s">
        <v>11</v>
      </c>
      <c r="D14" s="1" t="s">
        <v>27</v>
      </c>
      <c r="E14" s="1">
        <v>45.87</v>
      </c>
      <c r="F14" s="1">
        <v>3</v>
      </c>
      <c r="G14" s="1">
        <v>137.61000000000001</v>
      </c>
      <c r="H14" s="1" t="s">
        <v>28</v>
      </c>
    </row>
    <row r="15" spans="1:8" x14ac:dyDescent="0.35">
      <c r="A15" s="2">
        <v>45226.481249999997</v>
      </c>
      <c r="B15" s="3">
        <v>0.47693287037037035</v>
      </c>
      <c r="C15" s="1" t="s">
        <v>11</v>
      </c>
      <c r="D15" s="1" t="s">
        <v>12</v>
      </c>
      <c r="E15" s="1">
        <v>120.57</v>
      </c>
      <c r="F15" s="1">
        <v>5</v>
      </c>
      <c r="G15" s="1">
        <v>602.85</v>
      </c>
      <c r="H15" s="1" t="s">
        <v>29</v>
      </c>
    </row>
    <row r="16" spans="1:8" x14ac:dyDescent="0.35">
      <c r="A16" s="2">
        <v>45633.57916666667</v>
      </c>
      <c r="B16" s="3">
        <v>5.8831018518518519E-2</v>
      </c>
      <c r="C16" s="1" t="s">
        <v>8</v>
      </c>
      <c r="D16" s="1" t="s">
        <v>27</v>
      </c>
      <c r="E16" s="1">
        <v>189.3</v>
      </c>
      <c r="F16" s="1">
        <v>1</v>
      </c>
      <c r="G16" s="1">
        <v>189.3</v>
      </c>
      <c r="H16" s="1" t="s">
        <v>30</v>
      </c>
    </row>
    <row r="17" spans="1:8" x14ac:dyDescent="0.35">
      <c r="A17" s="2">
        <v>45290.273611111108</v>
      </c>
      <c r="B17" s="3">
        <v>0.8528472222222222</v>
      </c>
      <c r="C17" s="1" t="s">
        <v>14</v>
      </c>
      <c r="D17" s="1" t="s">
        <v>16</v>
      </c>
      <c r="E17" s="1">
        <v>104.18</v>
      </c>
      <c r="F17" s="1">
        <v>3</v>
      </c>
      <c r="G17" s="1">
        <v>312.54000000000002</v>
      </c>
      <c r="H17" s="1" t="s">
        <v>31</v>
      </c>
    </row>
    <row r="18" spans="1:8" x14ac:dyDescent="0.35">
      <c r="A18" s="2">
        <v>45130.055555555555</v>
      </c>
      <c r="B18" s="3">
        <v>0.56770833333333337</v>
      </c>
      <c r="C18" s="1" t="s">
        <v>8</v>
      </c>
      <c r="D18" s="1" t="s">
        <v>9</v>
      </c>
      <c r="E18" s="1">
        <v>294.16000000000003</v>
      </c>
      <c r="F18" s="1">
        <v>3</v>
      </c>
      <c r="G18" s="1">
        <v>882.48</v>
      </c>
      <c r="H18" s="1" t="s">
        <v>32</v>
      </c>
    </row>
    <row r="19" spans="1:8" x14ac:dyDescent="0.35">
      <c r="A19" s="2">
        <v>45271.713888888888</v>
      </c>
      <c r="B19" s="3">
        <v>0.23350694444444445</v>
      </c>
      <c r="C19" s="1" t="s">
        <v>11</v>
      </c>
      <c r="D19" s="1" t="s">
        <v>12</v>
      </c>
      <c r="E19" s="1">
        <v>299.64999999999998</v>
      </c>
      <c r="F19" s="1">
        <v>5</v>
      </c>
      <c r="G19" s="1">
        <v>1498.25</v>
      </c>
      <c r="H19" s="1" t="s">
        <v>33</v>
      </c>
    </row>
    <row r="20" spans="1:8" x14ac:dyDescent="0.35">
      <c r="A20" s="2">
        <v>45609.448611111111</v>
      </c>
      <c r="B20" s="3">
        <v>0.27299768518518519</v>
      </c>
      <c r="C20" s="1" t="s">
        <v>14</v>
      </c>
      <c r="D20" s="1" t="s">
        <v>9</v>
      </c>
      <c r="E20" s="1">
        <v>467.27</v>
      </c>
      <c r="F20" s="1">
        <v>4</v>
      </c>
      <c r="G20" s="1">
        <v>1869.08</v>
      </c>
      <c r="H20" s="1" t="s">
        <v>34</v>
      </c>
    </row>
    <row r="21" spans="1:8" x14ac:dyDescent="0.35">
      <c r="A21" s="2">
        <v>45538.043055555558</v>
      </c>
      <c r="B21" s="3">
        <v>0.40534722222222225</v>
      </c>
      <c r="C21" s="1" t="s">
        <v>14</v>
      </c>
      <c r="D21" s="1" t="s">
        <v>9</v>
      </c>
      <c r="E21" s="1">
        <v>142.97999999999999</v>
      </c>
      <c r="F21" s="1">
        <v>2</v>
      </c>
      <c r="G21" s="1">
        <v>285.95999999999998</v>
      </c>
      <c r="H21" s="1" t="s">
        <v>35</v>
      </c>
    </row>
    <row r="22" spans="1:8" x14ac:dyDescent="0.35">
      <c r="A22" s="2">
        <v>45511.842361111114</v>
      </c>
      <c r="B22" s="3">
        <v>0.57717592592592593</v>
      </c>
      <c r="C22" s="1" t="s">
        <v>14</v>
      </c>
      <c r="D22" s="1" t="s">
        <v>20</v>
      </c>
      <c r="E22" s="1">
        <v>372.78</v>
      </c>
      <c r="F22" s="1">
        <v>1</v>
      </c>
      <c r="G22" s="1">
        <v>372.78</v>
      </c>
      <c r="H22" s="1" t="s">
        <v>36</v>
      </c>
    </row>
    <row r="23" spans="1:8" x14ac:dyDescent="0.35">
      <c r="A23" s="2">
        <v>45579.521527777775</v>
      </c>
      <c r="B23" s="3">
        <v>0.47143518518518518</v>
      </c>
      <c r="C23" s="1" t="s">
        <v>14</v>
      </c>
      <c r="D23" s="1" t="s">
        <v>27</v>
      </c>
      <c r="E23" s="1">
        <v>453.55</v>
      </c>
      <c r="F23" s="1">
        <v>4</v>
      </c>
      <c r="G23" s="1">
        <v>1814.2</v>
      </c>
      <c r="H23" s="1" t="s">
        <v>37</v>
      </c>
    </row>
    <row r="24" spans="1:8" x14ac:dyDescent="0.35">
      <c r="A24" s="2">
        <v>45487.17083333333</v>
      </c>
      <c r="B24" s="3">
        <v>0.60523148148148154</v>
      </c>
      <c r="C24" s="1" t="s">
        <v>11</v>
      </c>
      <c r="D24" s="1" t="s">
        <v>16</v>
      </c>
      <c r="E24" s="1">
        <v>400.46</v>
      </c>
      <c r="F24" s="1">
        <v>3</v>
      </c>
      <c r="G24" s="1">
        <v>1201.3800000000001</v>
      </c>
      <c r="H24" s="1" t="s">
        <v>38</v>
      </c>
    </row>
    <row r="25" spans="1:8" x14ac:dyDescent="0.35">
      <c r="A25" s="2">
        <v>45564.563194444447</v>
      </c>
      <c r="B25" s="3">
        <v>0.5977662037037037</v>
      </c>
      <c r="C25" s="1" t="s">
        <v>14</v>
      </c>
      <c r="D25" s="1" t="s">
        <v>20</v>
      </c>
      <c r="E25" s="1">
        <v>457.92</v>
      </c>
      <c r="F25" s="1">
        <v>4</v>
      </c>
      <c r="G25" s="1">
        <v>1831.68</v>
      </c>
      <c r="H25" s="1" t="s">
        <v>39</v>
      </c>
    </row>
    <row r="26" spans="1:8" x14ac:dyDescent="0.35">
      <c r="A26" s="2">
        <v>45651.502083333333</v>
      </c>
      <c r="B26" s="3">
        <v>0.58738425925925919</v>
      </c>
      <c r="C26" s="1" t="s">
        <v>11</v>
      </c>
      <c r="D26" s="1" t="s">
        <v>9</v>
      </c>
      <c r="E26" s="1">
        <v>153.38</v>
      </c>
      <c r="F26" s="1">
        <v>4</v>
      </c>
      <c r="G26" s="1">
        <v>613.52</v>
      </c>
      <c r="H26" s="1" t="s">
        <v>40</v>
      </c>
    </row>
    <row r="27" spans="1:8" x14ac:dyDescent="0.35">
      <c r="A27" s="2">
        <v>45299.84097222222</v>
      </c>
      <c r="B27" s="3">
        <v>0.49748842592592596</v>
      </c>
      <c r="C27" s="1" t="s">
        <v>11</v>
      </c>
      <c r="D27" s="1" t="s">
        <v>16</v>
      </c>
      <c r="E27" s="1">
        <v>242.49</v>
      </c>
      <c r="F27" s="1">
        <v>4</v>
      </c>
      <c r="G27" s="1">
        <v>969.96</v>
      </c>
      <c r="H27" s="1" t="s">
        <v>41</v>
      </c>
    </row>
    <row r="28" spans="1:8" x14ac:dyDescent="0.35">
      <c r="A28" s="2">
        <v>45349.717361111114</v>
      </c>
      <c r="B28" s="3">
        <v>0.83467592592592599</v>
      </c>
      <c r="C28" s="1" t="s">
        <v>11</v>
      </c>
      <c r="D28" s="1" t="s">
        <v>9</v>
      </c>
      <c r="E28" s="1">
        <v>478.73</v>
      </c>
      <c r="F28" s="1">
        <v>2</v>
      </c>
      <c r="G28" s="1">
        <v>957.46</v>
      </c>
      <c r="H28" s="1" t="s">
        <v>42</v>
      </c>
    </row>
    <row r="29" spans="1:8" x14ac:dyDescent="0.35">
      <c r="A29" s="2">
        <v>45003.296527777777</v>
      </c>
      <c r="B29" s="3">
        <v>5.1041666666666666E-3</v>
      </c>
      <c r="C29" s="1" t="s">
        <v>14</v>
      </c>
      <c r="D29" s="1" t="s">
        <v>27</v>
      </c>
      <c r="E29" s="1">
        <v>123.61</v>
      </c>
      <c r="F29" s="1">
        <v>5</v>
      </c>
      <c r="G29" s="1">
        <v>618.04999999999995</v>
      </c>
      <c r="H29" s="1" t="s">
        <v>43</v>
      </c>
    </row>
    <row r="30" spans="1:8" x14ac:dyDescent="0.35">
      <c r="A30" s="2">
        <v>45180.834722222222</v>
      </c>
      <c r="B30" s="3">
        <v>0.8383680555555556</v>
      </c>
      <c r="C30" s="1" t="s">
        <v>11</v>
      </c>
      <c r="D30" s="1" t="s">
        <v>9</v>
      </c>
      <c r="E30" s="1">
        <v>92.09</v>
      </c>
      <c r="F30" s="1">
        <v>3</v>
      </c>
      <c r="G30" s="1">
        <v>276.27</v>
      </c>
      <c r="H30" s="1" t="s">
        <v>44</v>
      </c>
    </row>
    <row r="31" spans="1:8" x14ac:dyDescent="0.35">
      <c r="A31" s="2">
        <v>45258.412499999999</v>
      </c>
      <c r="B31" s="3">
        <v>0.38459490740740737</v>
      </c>
      <c r="C31" s="1" t="s">
        <v>11</v>
      </c>
      <c r="D31" s="1" t="s">
        <v>27</v>
      </c>
      <c r="E31" s="1">
        <v>52.94</v>
      </c>
      <c r="F31" s="1">
        <v>5</v>
      </c>
      <c r="G31" s="1">
        <v>264.7</v>
      </c>
      <c r="H31" s="1" t="s">
        <v>45</v>
      </c>
    </row>
    <row r="32" spans="1:8" x14ac:dyDescent="0.35">
      <c r="A32" s="2">
        <v>45303.20208333333</v>
      </c>
      <c r="B32" s="3">
        <v>0.34684027777777776</v>
      </c>
      <c r="C32" s="1" t="s">
        <v>8</v>
      </c>
      <c r="D32" s="1" t="s">
        <v>12</v>
      </c>
      <c r="E32" s="1">
        <v>389.83</v>
      </c>
      <c r="F32" s="1">
        <v>4</v>
      </c>
      <c r="G32" s="1">
        <v>1559.32</v>
      </c>
      <c r="H32" s="1" t="s">
        <v>46</v>
      </c>
    </row>
    <row r="33" spans="1:8" x14ac:dyDescent="0.35">
      <c r="A33" s="2">
        <v>45077.963194444441</v>
      </c>
      <c r="B33" s="3">
        <v>0.65877314814814814</v>
      </c>
      <c r="C33" s="1" t="s">
        <v>14</v>
      </c>
      <c r="D33" s="1" t="s">
        <v>9</v>
      </c>
      <c r="E33" s="1">
        <v>263.45999999999998</v>
      </c>
      <c r="F33" s="1">
        <v>2</v>
      </c>
      <c r="G33" s="1">
        <v>526.91999999999996</v>
      </c>
      <c r="H33" s="1" t="s">
        <v>47</v>
      </c>
    </row>
    <row r="34" spans="1:8" x14ac:dyDescent="0.35">
      <c r="A34" s="2">
        <v>45613.948611111111</v>
      </c>
      <c r="B34" s="3">
        <v>0.24072916666666666</v>
      </c>
      <c r="C34" s="1" t="s">
        <v>8</v>
      </c>
      <c r="D34" s="1" t="s">
        <v>27</v>
      </c>
      <c r="E34" s="1">
        <v>389.06</v>
      </c>
      <c r="F34" s="1">
        <v>1</v>
      </c>
      <c r="G34" s="1">
        <v>389.06</v>
      </c>
      <c r="H34" s="1" t="s">
        <v>48</v>
      </c>
    </row>
    <row r="35" spans="1:8" x14ac:dyDescent="0.35">
      <c r="A35" s="2">
        <v>45334.172222222223</v>
      </c>
      <c r="B35" s="3">
        <v>0.55219907407407409</v>
      </c>
      <c r="C35" s="1" t="s">
        <v>8</v>
      </c>
      <c r="D35" s="1" t="s">
        <v>12</v>
      </c>
      <c r="E35" s="1">
        <v>484.47</v>
      </c>
      <c r="F35" s="1">
        <v>5</v>
      </c>
      <c r="G35" s="1">
        <v>2422.35</v>
      </c>
      <c r="H35" s="1" t="s">
        <v>49</v>
      </c>
    </row>
    <row r="36" spans="1:8" x14ac:dyDescent="0.35">
      <c r="A36" s="2">
        <v>45245.540277777778</v>
      </c>
      <c r="B36" s="3">
        <v>8.2291666666666659E-3</v>
      </c>
      <c r="C36" s="1" t="s">
        <v>8</v>
      </c>
      <c r="D36" s="1" t="s">
        <v>20</v>
      </c>
      <c r="E36" s="1">
        <v>84.4</v>
      </c>
      <c r="F36" s="1">
        <v>3</v>
      </c>
      <c r="G36" s="1">
        <v>253.2</v>
      </c>
      <c r="H36" s="1" t="s">
        <v>50</v>
      </c>
    </row>
    <row r="37" spans="1:8" x14ac:dyDescent="0.35">
      <c r="A37" s="2">
        <v>45126.470138888886</v>
      </c>
      <c r="B37" s="3">
        <v>0.54975694444444445</v>
      </c>
      <c r="C37" s="1" t="s">
        <v>14</v>
      </c>
      <c r="D37" s="1" t="s">
        <v>20</v>
      </c>
      <c r="E37" s="1">
        <v>294.49</v>
      </c>
      <c r="F37" s="1">
        <v>5</v>
      </c>
      <c r="G37" s="1">
        <v>1472.45</v>
      </c>
      <c r="H37" s="1" t="s">
        <v>51</v>
      </c>
    </row>
    <row r="38" spans="1:8" x14ac:dyDescent="0.35">
      <c r="A38" s="2">
        <v>45389.827777777777</v>
      </c>
      <c r="B38" s="3">
        <v>0.58347222222222228</v>
      </c>
      <c r="C38" s="1" t="s">
        <v>14</v>
      </c>
      <c r="D38" s="1" t="s">
        <v>12</v>
      </c>
      <c r="E38" s="1">
        <v>365</v>
      </c>
      <c r="F38" s="1">
        <v>1</v>
      </c>
      <c r="G38" s="1">
        <v>365</v>
      </c>
      <c r="H38" s="1" t="s">
        <v>52</v>
      </c>
    </row>
    <row r="39" spans="1:8" x14ac:dyDescent="0.35">
      <c r="A39" s="2">
        <v>45476.425000000003</v>
      </c>
      <c r="B39" s="3">
        <v>0.54449074074074078</v>
      </c>
      <c r="C39" s="1" t="s">
        <v>11</v>
      </c>
      <c r="D39" s="1" t="s">
        <v>16</v>
      </c>
      <c r="E39" s="1">
        <v>121.4</v>
      </c>
      <c r="F39" s="1">
        <v>1</v>
      </c>
      <c r="G39" s="1">
        <v>121.4</v>
      </c>
      <c r="H39" s="1" t="s">
        <v>53</v>
      </c>
    </row>
    <row r="40" spans="1:8" x14ac:dyDescent="0.35">
      <c r="A40" s="2">
        <v>44989.143055555556</v>
      </c>
      <c r="B40" s="3">
        <v>0.47222222222222227</v>
      </c>
      <c r="C40" s="1" t="s">
        <v>14</v>
      </c>
      <c r="D40" s="1" t="s">
        <v>16</v>
      </c>
      <c r="E40" s="1">
        <v>56.35</v>
      </c>
      <c r="F40" s="1">
        <v>3</v>
      </c>
      <c r="G40" s="1">
        <v>169.05</v>
      </c>
      <c r="H40" s="1" t="s">
        <v>39</v>
      </c>
    </row>
    <row r="41" spans="1:8" x14ac:dyDescent="0.35">
      <c r="A41" s="2">
        <v>45464.338194444441</v>
      </c>
      <c r="B41" s="3">
        <v>0.51304398148148145</v>
      </c>
      <c r="C41" s="1" t="s">
        <v>14</v>
      </c>
      <c r="D41" s="1" t="s">
        <v>20</v>
      </c>
      <c r="E41" s="1">
        <v>174.95</v>
      </c>
      <c r="F41" s="1">
        <v>5</v>
      </c>
      <c r="G41" s="1">
        <v>874.75</v>
      </c>
      <c r="H41" s="1" t="s">
        <v>54</v>
      </c>
    </row>
    <row r="42" spans="1:8" x14ac:dyDescent="0.35">
      <c r="A42" s="2">
        <v>45105.145138888889</v>
      </c>
      <c r="B42" s="3">
        <v>9.2118055555555564E-2</v>
      </c>
      <c r="C42" s="1" t="s">
        <v>14</v>
      </c>
      <c r="D42" s="1" t="s">
        <v>27</v>
      </c>
      <c r="E42" s="1">
        <v>383.83</v>
      </c>
      <c r="F42" s="1">
        <v>3</v>
      </c>
      <c r="G42" s="1">
        <v>1151.49</v>
      </c>
      <c r="H42" s="1" t="s">
        <v>55</v>
      </c>
    </row>
    <row r="43" spans="1:8" x14ac:dyDescent="0.35">
      <c r="A43" s="2">
        <v>45580.743750000001</v>
      </c>
      <c r="B43" s="3">
        <v>0.32748842592592592</v>
      </c>
      <c r="C43" s="1" t="s">
        <v>14</v>
      </c>
      <c r="D43" s="1" t="s">
        <v>20</v>
      </c>
      <c r="E43" s="1">
        <v>413.42</v>
      </c>
      <c r="F43" s="1">
        <v>1</v>
      </c>
      <c r="G43" s="1">
        <v>413.42</v>
      </c>
      <c r="H43" s="1" t="s">
        <v>56</v>
      </c>
    </row>
    <row r="44" spans="1:8" x14ac:dyDescent="0.35">
      <c r="A44" s="2">
        <v>45503.429861111108</v>
      </c>
      <c r="B44" s="3">
        <v>0.57872685185185191</v>
      </c>
      <c r="C44" s="1" t="s">
        <v>14</v>
      </c>
      <c r="D44" s="1" t="s">
        <v>9</v>
      </c>
      <c r="E44" s="1">
        <v>300.52999999999997</v>
      </c>
      <c r="F44" s="1">
        <v>5</v>
      </c>
      <c r="G44" s="1">
        <v>1502.65</v>
      </c>
      <c r="H44" s="1" t="s">
        <v>57</v>
      </c>
    </row>
    <row r="45" spans="1:8" x14ac:dyDescent="0.35">
      <c r="A45" s="2">
        <v>45293.970833333333</v>
      </c>
      <c r="B45" s="3">
        <v>8.2395833333333335E-2</v>
      </c>
      <c r="C45" s="1" t="s">
        <v>14</v>
      </c>
      <c r="D45" s="1" t="s">
        <v>20</v>
      </c>
      <c r="E45" s="1">
        <v>387.29</v>
      </c>
      <c r="F45" s="1">
        <v>5</v>
      </c>
      <c r="G45" s="1">
        <v>1936.45</v>
      </c>
      <c r="H45" s="1" t="s">
        <v>58</v>
      </c>
    </row>
    <row r="46" spans="1:8" x14ac:dyDescent="0.35">
      <c r="A46" s="2">
        <v>45195.533333333333</v>
      </c>
      <c r="B46" s="3">
        <v>0.52263888888888888</v>
      </c>
      <c r="C46" s="1" t="s">
        <v>8</v>
      </c>
      <c r="D46" s="1" t="s">
        <v>27</v>
      </c>
      <c r="E46" s="1">
        <v>493.08</v>
      </c>
      <c r="F46" s="1">
        <v>1</v>
      </c>
      <c r="G46" s="1">
        <v>493.08</v>
      </c>
      <c r="H46" s="1" t="s">
        <v>59</v>
      </c>
    </row>
    <row r="47" spans="1:8" x14ac:dyDescent="0.35">
      <c r="A47" s="2">
        <v>45158.158333333333</v>
      </c>
      <c r="B47" s="3">
        <v>0.90901620370370362</v>
      </c>
      <c r="C47" s="1" t="s">
        <v>14</v>
      </c>
      <c r="D47" s="1" t="s">
        <v>9</v>
      </c>
      <c r="E47" s="1">
        <v>111.1</v>
      </c>
      <c r="F47" s="1">
        <v>4</v>
      </c>
      <c r="G47" s="1">
        <v>444.4</v>
      </c>
      <c r="H47" s="1" t="s">
        <v>60</v>
      </c>
    </row>
    <row r="48" spans="1:8" x14ac:dyDescent="0.35">
      <c r="A48" s="2">
        <v>44992.488194444442</v>
      </c>
      <c r="B48" s="3">
        <v>0.66670138888888886</v>
      </c>
      <c r="C48" s="1" t="s">
        <v>8</v>
      </c>
      <c r="D48" s="1" t="s">
        <v>12</v>
      </c>
      <c r="E48" s="1">
        <v>324.60000000000002</v>
      </c>
      <c r="F48" s="1">
        <v>1</v>
      </c>
      <c r="G48" s="1">
        <v>324.60000000000002</v>
      </c>
      <c r="H48" s="1" t="s">
        <v>61</v>
      </c>
    </row>
    <row r="49" spans="1:8" x14ac:dyDescent="0.35">
      <c r="A49" s="2">
        <v>45156.144444444442</v>
      </c>
      <c r="B49" s="3">
        <v>0.2630439814814815</v>
      </c>
      <c r="C49" s="1" t="s">
        <v>14</v>
      </c>
      <c r="D49" s="1" t="s">
        <v>9</v>
      </c>
      <c r="E49" s="1">
        <v>216.87</v>
      </c>
      <c r="F49" s="1">
        <v>5</v>
      </c>
      <c r="G49" s="1">
        <v>1084.3499999999999</v>
      </c>
      <c r="H49" s="1" t="s">
        <v>62</v>
      </c>
    </row>
    <row r="50" spans="1:8" x14ac:dyDescent="0.35">
      <c r="A50" s="2">
        <v>45202.829861111109</v>
      </c>
      <c r="B50" s="3">
        <v>0.64184027777777775</v>
      </c>
      <c r="C50" s="1" t="s">
        <v>8</v>
      </c>
      <c r="D50" s="1" t="s">
        <v>16</v>
      </c>
      <c r="E50" s="1">
        <v>471.56</v>
      </c>
      <c r="F50" s="1">
        <v>2</v>
      </c>
      <c r="G50" s="1">
        <v>943.12</v>
      </c>
      <c r="H50" s="1" t="s">
        <v>55</v>
      </c>
    </row>
    <row r="51" spans="1:8" x14ac:dyDescent="0.35">
      <c r="A51" s="2">
        <v>45174.295138888891</v>
      </c>
      <c r="B51" s="3">
        <v>0.95959490740740738</v>
      </c>
      <c r="C51" s="1" t="s">
        <v>8</v>
      </c>
      <c r="D51" s="1" t="s">
        <v>9</v>
      </c>
      <c r="E51" s="1">
        <v>215.35</v>
      </c>
      <c r="F51" s="1">
        <v>1</v>
      </c>
      <c r="G51" s="1">
        <v>215.35</v>
      </c>
      <c r="H51" s="1" t="s">
        <v>63</v>
      </c>
    </row>
    <row r="52" spans="1:8" x14ac:dyDescent="0.35">
      <c r="A52" s="2">
        <v>44963.638194444444</v>
      </c>
      <c r="B52" s="3">
        <v>7.2175925925925921E-2</v>
      </c>
      <c r="C52" s="1" t="s">
        <v>11</v>
      </c>
      <c r="D52" s="1" t="s">
        <v>12</v>
      </c>
      <c r="E52" s="1">
        <v>439.66</v>
      </c>
      <c r="F52" s="1">
        <v>1</v>
      </c>
      <c r="G52" s="1">
        <v>439.66</v>
      </c>
      <c r="H52" s="1" t="s">
        <v>64</v>
      </c>
    </row>
    <row r="53" spans="1:8" x14ac:dyDescent="0.35">
      <c r="A53" s="2">
        <v>45256.848611111112</v>
      </c>
      <c r="B53" s="3">
        <v>0.91783564814814822</v>
      </c>
      <c r="C53" s="1" t="s">
        <v>11</v>
      </c>
      <c r="D53" s="1" t="s">
        <v>20</v>
      </c>
      <c r="E53" s="1">
        <v>464.08</v>
      </c>
      <c r="F53" s="1">
        <v>3</v>
      </c>
      <c r="G53" s="1">
        <v>1392.24</v>
      </c>
      <c r="H53" s="1" t="s">
        <v>56</v>
      </c>
    </row>
    <row r="54" spans="1:8" x14ac:dyDescent="0.35">
      <c r="A54" s="2">
        <v>45430.918749999997</v>
      </c>
      <c r="B54" s="3">
        <v>1.25E-3</v>
      </c>
      <c r="C54" s="1" t="s">
        <v>14</v>
      </c>
      <c r="D54" s="1" t="s">
        <v>12</v>
      </c>
      <c r="E54" s="1">
        <v>285.29000000000002</v>
      </c>
      <c r="F54" s="1">
        <v>5</v>
      </c>
      <c r="G54" s="1">
        <v>1426.45</v>
      </c>
      <c r="H54" s="1" t="s">
        <v>65</v>
      </c>
    </row>
    <row r="55" spans="1:8" x14ac:dyDescent="0.35">
      <c r="A55" s="2">
        <v>45119.020833333336</v>
      </c>
      <c r="B55" s="3">
        <v>0.68064814814814811</v>
      </c>
      <c r="C55" s="1" t="s">
        <v>11</v>
      </c>
      <c r="D55" s="1" t="s">
        <v>12</v>
      </c>
      <c r="E55" s="1">
        <v>27.13</v>
      </c>
      <c r="F55" s="1">
        <v>5</v>
      </c>
      <c r="G55" s="1">
        <v>135.65</v>
      </c>
      <c r="H55" s="1" t="s">
        <v>25</v>
      </c>
    </row>
    <row r="56" spans="1:8" x14ac:dyDescent="0.35">
      <c r="A56" s="2">
        <v>45522.969444444447</v>
      </c>
      <c r="B56" s="3">
        <v>0.32306712962962963</v>
      </c>
      <c r="C56" s="1" t="s">
        <v>11</v>
      </c>
      <c r="D56" s="1" t="s">
        <v>9</v>
      </c>
      <c r="E56" s="1">
        <v>238.6</v>
      </c>
      <c r="F56" s="1">
        <v>2</v>
      </c>
      <c r="G56" s="1">
        <v>477.2</v>
      </c>
      <c r="H56" s="1" t="s">
        <v>66</v>
      </c>
    </row>
    <row r="57" spans="1:8" x14ac:dyDescent="0.35">
      <c r="A57" s="2">
        <v>45042.231249999997</v>
      </c>
      <c r="B57" s="3">
        <v>0.57035879629629627</v>
      </c>
      <c r="C57" s="1" t="s">
        <v>11</v>
      </c>
      <c r="D57" s="1" t="s">
        <v>12</v>
      </c>
      <c r="E57" s="1">
        <v>19.78</v>
      </c>
      <c r="F57" s="1">
        <v>2</v>
      </c>
      <c r="G57" s="1">
        <v>39.56</v>
      </c>
      <c r="H57" s="1" t="s">
        <v>67</v>
      </c>
    </row>
    <row r="58" spans="1:8" x14ac:dyDescent="0.35">
      <c r="A58" s="2">
        <v>45469.752083333333</v>
      </c>
      <c r="B58" s="3">
        <v>0.84812500000000002</v>
      </c>
      <c r="C58" s="1" t="s">
        <v>8</v>
      </c>
      <c r="D58" s="1" t="s">
        <v>9</v>
      </c>
      <c r="E58" s="1">
        <v>290.63</v>
      </c>
      <c r="F58" s="1">
        <v>5</v>
      </c>
      <c r="G58" s="1">
        <v>1453.15</v>
      </c>
      <c r="H58" s="1" t="s">
        <v>68</v>
      </c>
    </row>
    <row r="59" spans="1:8" x14ac:dyDescent="0.35">
      <c r="A59" s="2">
        <v>45203.076388888891</v>
      </c>
      <c r="B59" s="3">
        <v>0.48402777777777778</v>
      </c>
      <c r="C59" s="1" t="s">
        <v>11</v>
      </c>
      <c r="D59" s="1" t="s">
        <v>9</v>
      </c>
      <c r="E59" s="1">
        <v>397.11</v>
      </c>
      <c r="F59" s="1">
        <v>2</v>
      </c>
      <c r="G59" s="1">
        <v>794.22</v>
      </c>
      <c r="H59" s="1" t="s">
        <v>69</v>
      </c>
    </row>
    <row r="60" spans="1:8" x14ac:dyDescent="0.35">
      <c r="A60" s="2">
        <v>45527.566666666666</v>
      </c>
      <c r="B60" s="3">
        <v>0.57153935185185178</v>
      </c>
      <c r="C60" s="1" t="s">
        <v>14</v>
      </c>
      <c r="D60" s="1" t="s">
        <v>9</v>
      </c>
      <c r="E60" s="1">
        <v>81.849999999999994</v>
      </c>
      <c r="F60" s="1">
        <v>5</v>
      </c>
      <c r="G60" s="1">
        <v>409.25</v>
      </c>
      <c r="H60" s="1" t="s">
        <v>22</v>
      </c>
    </row>
    <row r="61" spans="1:8" x14ac:dyDescent="0.35">
      <c r="A61" s="2">
        <v>45201.103472222225</v>
      </c>
      <c r="B61" s="3">
        <v>0.32656250000000003</v>
      </c>
      <c r="C61" s="1" t="s">
        <v>8</v>
      </c>
      <c r="D61" s="1" t="s">
        <v>20</v>
      </c>
      <c r="E61" s="1">
        <v>356.42</v>
      </c>
      <c r="F61" s="1">
        <v>5</v>
      </c>
      <c r="G61" s="1">
        <v>1782.1</v>
      </c>
      <c r="H61" s="1" t="s">
        <v>70</v>
      </c>
    </row>
    <row r="62" spans="1:8" x14ac:dyDescent="0.35">
      <c r="A62" s="2">
        <v>45286.3125</v>
      </c>
      <c r="B62" s="3">
        <v>0.98165509259259265</v>
      </c>
      <c r="C62" s="1" t="s">
        <v>8</v>
      </c>
      <c r="D62" s="1" t="s">
        <v>16</v>
      </c>
      <c r="E62" s="1">
        <v>147.69</v>
      </c>
      <c r="F62" s="1">
        <v>2</v>
      </c>
      <c r="G62" s="1">
        <v>295.38</v>
      </c>
      <c r="H62" s="1" t="s">
        <v>71</v>
      </c>
    </row>
    <row r="63" spans="1:8" x14ac:dyDescent="0.35">
      <c r="A63" s="2">
        <v>45060.052083333336</v>
      </c>
      <c r="B63" s="3">
        <v>0.57644675925925926</v>
      </c>
      <c r="C63" s="1" t="s">
        <v>11</v>
      </c>
      <c r="D63" s="1" t="s">
        <v>16</v>
      </c>
      <c r="E63" s="1">
        <v>409.77</v>
      </c>
      <c r="F63" s="1">
        <v>4</v>
      </c>
      <c r="G63" s="1">
        <v>1639.08</v>
      </c>
      <c r="H63" s="1" t="s">
        <v>72</v>
      </c>
    </row>
    <row r="64" spans="1:8" x14ac:dyDescent="0.35">
      <c r="A64" s="2">
        <v>45394.752083333333</v>
      </c>
      <c r="B64" s="3">
        <v>0.74187499999999995</v>
      </c>
      <c r="C64" s="1" t="s">
        <v>8</v>
      </c>
      <c r="D64" s="1" t="s">
        <v>16</v>
      </c>
      <c r="E64" s="1">
        <v>43.15</v>
      </c>
      <c r="F64" s="1">
        <v>1</v>
      </c>
      <c r="G64" s="1">
        <v>43.15</v>
      </c>
      <c r="H64" s="1" t="s">
        <v>73</v>
      </c>
    </row>
    <row r="65" spans="1:8" x14ac:dyDescent="0.35">
      <c r="A65" s="2">
        <v>45334.438888888886</v>
      </c>
      <c r="B65" s="3">
        <v>0.99204861111111109</v>
      </c>
      <c r="C65" s="1" t="s">
        <v>11</v>
      </c>
      <c r="D65" s="1" t="s">
        <v>27</v>
      </c>
      <c r="E65" s="1">
        <v>397.01</v>
      </c>
      <c r="F65" s="1">
        <v>2</v>
      </c>
      <c r="G65" s="1">
        <v>794.02</v>
      </c>
      <c r="H65" s="1" t="s">
        <v>18</v>
      </c>
    </row>
    <row r="66" spans="1:8" x14ac:dyDescent="0.35">
      <c r="A66" s="2">
        <v>45100.031944444447</v>
      </c>
      <c r="B66" s="3">
        <v>0.98069444444444442</v>
      </c>
      <c r="C66" s="1" t="s">
        <v>11</v>
      </c>
      <c r="D66" s="1" t="s">
        <v>27</v>
      </c>
      <c r="E66" s="1">
        <v>482.76</v>
      </c>
      <c r="F66" s="1">
        <v>4</v>
      </c>
      <c r="G66" s="1">
        <v>1931.04</v>
      </c>
      <c r="H66" s="1" t="s">
        <v>74</v>
      </c>
    </row>
    <row r="67" spans="1:8" x14ac:dyDescent="0.35">
      <c r="A67" s="2">
        <v>44962.197916666664</v>
      </c>
      <c r="B67" s="3">
        <v>0.8052083333333333</v>
      </c>
      <c r="C67" s="1" t="s">
        <v>11</v>
      </c>
      <c r="D67" s="1" t="s">
        <v>12</v>
      </c>
      <c r="E67" s="1">
        <v>91.19</v>
      </c>
      <c r="F67" s="1">
        <v>5</v>
      </c>
      <c r="G67" s="1">
        <v>455.95</v>
      </c>
      <c r="H67" s="1" t="s">
        <v>75</v>
      </c>
    </row>
    <row r="68" spans="1:8" x14ac:dyDescent="0.35">
      <c r="A68" s="2">
        <v>45175.17291666667</v>
      </c>
      <c r="B68" s="3">
        <v>0.59863425925925928</v>
      </c>
      <c r="C68" s="1" t="s">
        <v>8</v>
      </c>
      <c r="D68" s="1" t="s">
        <v>12</v>
      </c>
      <c r="E68" s="1">
        <v>469.96</v>
      </c>
      <c r="F68" s="1">
        <v>3</v>
      </c>
      <c r="G68" s="1">
        <v>1409.88</v>
      </c>
      <c r="H68" s="1" t="s">
        <v>76</v>
      </c>
    </row>
    <row r="69" spans="1:8" x14ac:dyDescent="0.35">
      <c r="A69" s="2">
        <v>45403.137499999997</v>
      </c>
      <c r="B69" s="3">
        <v>0.88582175925925932</v>
      </c>
      <c r="C69" s="1" t="s">
        <v>8</v>
      </c>
      <c r="D69" s="1" t="s">
        <v>20</v>
      </c>
      <c r="E69" s="1">
        <v>424.57</v>
      </c>
      <c r="F69" s="1">
        <v>5</v>
      </c>
      <c r="G69" s="1">
        <v>2122.85</v>
      </c>
      <c r="H69" s="1" t="s">
        <v>77</v>
      </c>
    </row>
    <row r="70" spans="1:8" x14ac:dyDescent="0.35">
      <c r="A70" s="2">
        <v>44927.079861111109</v>
      </c>
      <c r="B70" s="3">
        <v>0.99888888888888883</v>
      </c>
      <c r="C70" s="1" t="s">
        <v>14</v>
      </c>
      <c r="D70" s="1" t="s">
        <v>20</v>
      </c>
      <c r="E70" s="1">
        <v>175.39</v>
      </c>
      <c r="F70" s="1">
        <v>1</v>
      </c>
      <c r="G70" s="1">
        <v>175.39</v>
      </c>
      <c r="H70" s="1" t="s">
        <v>78</v>
      </c>
    </row>
    <row r="71" spans="1:8" x14ac:dyDescent="0.35">
      <c r="A71" s="2">
        <v>45140.468055555553</v>
      </c>
      <c r="B71" s="3">
        <v>0.73908564814814814</v>
      </c>
      <c r="C71" s="1" t="s">
        <v>11</v>
      </c>
      <c r="D71" s="1" t="s">
        <v>12</v>
      </c>
      <c r="E71" s="1">
        <v>448.88</v>
      </c>
      <c r="F71" s="1">
        <v>5</v>
      </c>
      <c r="G71" s="1">
        <v>2244.4</v>
      </c>
      <c r="H71" s="1" t="s">
        <v>79</v>
      </c>
    </row>
    <row r="72" spans="1:8" x14ac:dyDescent="0.35">
      <c r="A72" s="2">
        <v>45152.99722222222</v>
      </c>
      <c r="B72" s="3">
        <v>0.89304398148148145</v>
      </c>
      <c r="C72" s="1" t="s">
        <v>8</v>
      </c>
      <c r="D72" s="1" t="s">
        <v>20</v>
      </c>
      <c r="E72" s="1">
        <v>350.97</v>
      </c>
      <c r="F72" s="1">
        <v>5</v>
      </c>
      <c r="G72" s="1">
        <v>1754.85</v>
      </c>
      <c r="H72" s="1" t="s">
        <v>31</v>
      </c>
    </row>
    <row r="73" spans="1:8" x14ac:dyDescent="0.35">
      <c r="A73" s="2">
        <v>45576.894444444442</v>
      </c>
      <c r="B73" s="3">
        <v>0.91322916666666665</v>
      </c>
      <c r="C73" s="1" t="s">
        <v>11</v>
      </c>
      <c r="D73" s="1" t="s">
        <v>16</v>
      </c>
      <c r="E73" s="1">
        <v>317.55</v>
      </c>
      <c r="F73" s="1">
        <v>1</v>
      </c>
      <c r="G73" s="1">
        <v>317.55</v>
      </c>
      <c r="H73" s="1" t="s">
        <v>59</v>
      </c>
    </row>
    <row r="74" spans="1:8" x14ac:dyDescent="0.35">
      <c r="A74" s="2">
        <v>44959.414583333331</v>
      </c>
      <c r="B74" s="3">
        <v>0.2913425925925926</v>
      </c>
      <c r="C74" s="1" t="s">
        <v>11</v>
      </c>
      <c r="D74" s="1" t="s">
        <v>12</v>
      </c>
      <c r="E74" s="1">
        <v>491.74</v>
      </c>
      <c r="F74" s="1">
        <v>1</v>
      </c>
      <c r="G74" s="1">
        <v>491.74</v>
      </c>
      <c r="H74" s="1" t="s">
        <v>43</v>
      </c>
    </row>
    <row r="75" spans="1:8" x14ac:dyDescent="0.35">
      <c r="A75" s="2">
        <v>45007.831250000003</v>
      </c>
      <c r="B75" s="3">
        <v>0.23864583333333333</v>
      </c>
      <c r="C75" s="1" t="s">
        <v>8</v>
      </c>
      <c r="D75" s="1" t="s">
        <v>16</v>
      </c>
      <c r="E75" s="1">
        <v>331.31</v>
      </c>
      <c r="F75" s="1">
        <v>4</v>
      </c>
      <c r="G75" s="1">
        <v>1325.24</v>
      </c>
      <c r="H75" s="1" t="s">
        <v>54</v>
      </c>
    </row>
    <row r="76" spans="1:8" x14ac:dyDescent="0.35">
      <c r="A76" s="2">
        <v>45631.399305555555</v>
      </c>
      <c r="B76" s="3">
        <v>0.59061342592592592</v>
      </c>
      <c r="C76" s="1" t="s">
        <v>11</v>
      </c>
      <c r="D76" s="1" t="s">
        <v>16</v>
      </c>
      <c r="E76" s="1">
        <v>53.36</v>
      </c>
      <c r="F76" s="1">
        <v>1</v>
      </c>
      <c r="G76" s="1">
        <v>53.36</v>
      </c>
      <c r="H76" s="1" t="s">
        <v>80</v>
      </c>
    </row>
    <row r="77" spans="1:8" x14ac:dyDescent="0.35">
      <c r="A77" s="2">
        <v>45153.425000000003</v>
      </c>
      <c r="B77" s="3">
        <v>0.97052083333333339</v>
      </c>
      <c r="C77" s="1" t="s">
        <v>8</v>
      </c>
      <c r="D77" s="1" t="s">
        <v>20</v>
      </c>
      <c r="E77" s="1">
        <v>199.82</v>
      </c>
      <c r="F77" s="1">
        <v>3</v>
      </c>
      <c r="G77" s="1">
        <v>599.46</v>
      </c>
      <c r="H77" s="1" t="s">
        <v>81</v>
      </c>
    </row>
    <row r="78" spans="1:8" x14ac:dyDescent="0.35">
      <c r="A78" s="2">
        <v>45095.284722222219</v>
      </c>
      <c r="B78" s="3">
        <v>9.7280092592592585E-2</v>
      </c>
      <c r="C78" s="1" t="s">
        <v>8</v>
      </c>
      <c r="D78" s="1" t="s">
        <v>12</v>
      </c>
      <c r="E78" s="1">
        <v>189.16</v>
      </c>
      <c r="F78" s="1">
        <v>2</v>
      </c>
      <c r="G78" s="1">
        <v>378.32</v>
      </c>
      <c r="H78" s="1" t="s">
        <v>82</v>
      </c>
    </row>
    <row r="79" spans="1:8" x14ac:dyDescent="0.35">
      <c r="A79" s="2">
        <v>45128.79791666667</v>
      </c>
      <c r="B79" s="3">
        <v>0.17666666666666667</v>
      </c>
      <c r="C79" s="1" t="s">
        <v>8</v>
      </c>
      <c r="D79" s="1" t="s">
        <v>9</v>
      </c>
      <c r="E79" s="1">
        <v>361.82</v>
      </c>
      <c r="F79" s="1">
        <v>4</v>
      </c>
      <c r="G79" s="1">
        <v>1447.28</v>
      </c>
      <c r="H79" s="1" t="s">
        <v>83</v>
      </c>
    </row>
    <row r="80" spans="1:8" x14ac:dyDescent="0.35">
      <c r="A80" s="2">
        <v>45270.246527777781</v>
      </c>
      <c r="B80" s="3">
        <v>0.79299768518518521</v>
      </c>
      <c r="C80" s="1" t="s">
        <v>11</v>
      </c>
      <c r="D80" s="1" t="s">
        <v>20</v>
      </c>
      <c r="E80" s="1">
        <v>53.34</v>
      </c>
      <c r="F80" s="1">
        <v>4</v>
      </c>
      <c r="G80" s="1">
        <v>213.36</v>
      </c>
      <c r="H80" s="1" t="s">
        <v>84</v>
      </c>
    </row>
    <row r="81" spans="1:8" x14ac:dyDescent="0.35">
      <c r="A81" s="2">
        <v>45542.131249999999</v>
      </c>
      <c r="B81" s="3">
        <v>0.51162037037037034</v>
      </c>
      <c r="C81" s="1" t="s">
        <v>14</v>
      </c>
      <c r="D81" s="1" t="s">
        <v>12</v>
      </c>
      <c r="E81" s="1">
        <v>38.76</v>
      </c>
      <c r="F81" s="1">
        <v>1</v>
      </c>
      <c r="G81" s="1">
        <v>38.76</v>
      </c>
      <c r="H81" s="1" t="s">
        <v>85</v>
      </c>
    </row>
    <row r="82" spans="1:8" x14ac:dyDescent="0.35">
      <c r="A82" s="2">
        <v>45594.534722222219</v>
      </c>
      <c r="B82" s="3">
        <v>0.70754629629629628</v>
      </c>
      <c r="C82" s="1" t="s">
        <v>8</v>
      </c>
      <c r="D82" s="1" t="s">
        <v>20</v>
      </c>
      <c r="E82" s="1">
        <v>107.76</v>
      </c>
      <c r="F82" s="1">
        <v>1</v>
      </c>
      <c r="G82" s="1">
        <v>107.76</v>
      </c>
      <c r="H82" s="1" t="s">
        <v>86</v>
      </c>
    </row>
    <row r="83" spans="1:8" x14ac:dyDescent="0.35">
      <c r="A83" s="2">
        <v>45514.635416666664</v>
      </c>
      <c r="B83" s="3">
        <v>0.29734953703703704</v>
      </c>
      <c r="C83" s="1" t="s">
        <v>14</v>
      </c>
      <c r="D83" s="1" t="s">
        <v>20</v>
      </c>
      <c r="E83" s="1">
        <v>470.17</v>
      </c>
      <c r="F83" s="1">
        <v>3</v>
      </c>
      <c r="G83" s="1">
        <v>1410.51</v>
      </c>
      <c r="H83" s="1" t="s">
        <v>87</v>
      </c>
    </row>
    <row r="84" spans="1:8" x14ac:dyDescent="0.35">
      <c r="A84" s="2">
        <v>45632.582638888889</v>
      </c>
      <c r="B84" s="3">
        <v>0.10922453703703704</v>
      </c>
      <c r="C84" s="1" t="s">
        <v>8</v>
      </c>
      <c r="D84" s="1" t="s">
        <v>16</v>
      </c>
      <c r="E84" s="1">
        <v>189.19</v>
      </c>
      <c r="F84" s="1">
        <v>2</v>
      </c>
      <c r="G84" s="1">
        <v>378.38</v>
      </c>
      <c r="H84" s="1" t="s">
        <v>88</v>
      </c>
    </row>
    <row r="85" spans="1:8" x14ac:dyDescent="0.35">
      <c r="A85" s="2">
        <v>45460.363194444442</v>
      </c>
      <c r="B85" s="3">
        <v>4.1736111111111113E-2</v>
      </c>
      <c r="C85" s="1" t="s">
        <v>14</v>
      </c>
      <c r="D85" s="1" t="s">
        <v>20</v>
      </c>
      <c r="E85" s="1">
        <v>351.26</v>
      </c>
      <c r="F85" s="1">
        <v>5</v>
      </c>
      <c r="G85" s="1">
        <v>1756.3</v>
      </c>
      <c r="H85" s="1" t="s">
        <v>89</v>
      </c>
    </row>
    <row r="86" spans="1:8" x14ac:dyDescent="0.35">
      <c r="A86" s="2">
        <v>45419.289583333331</v>
      </c>
      <c r="B86" s="3">
        <v>0.49453703703703705</v>
      </c>
      <c r="C86" s="1" t="s">
        <v>8</v>
      </c>
      <c r="D86" s="1" t="s">
        <v>16</v>
      </c>
      <c r="E86" s="1">
        <v>281</v>
      </c>
      <c r="F86" s="1">
        <v>3</v>
      </c>
      <c r="G86" s="1">
        <v>843</v>
      </c>
      <c r="H86" s="1" t="s">
        <v>90</v>
      </c>
    </row>
    <row r="87" spans="1:8" x14ac:dyDescent="0.35">
      <c r="A87" s="2">
        <v>45425.713194444441</v>
      </c>
      <c r="B87" s="3">
        <v>0.30107638888888888</v>
      </c>
      <c r="C87" s="1" t="s">
        <v>8</v>
      </c>
      <c r="D87" s="1" t="s">
        <v>9</v>
      </c>
      <c r="E87" s="1">
        <v>176.74</v>
      </c>
      <c r="F87" s="1">
        <v>4</v>
      </c>
      <c r="G87" s="1">
        <v>706.96</v>
      </c>
      <c r="H87" s="1" t="s">
        <v>29</v>
      </c>
    </row>
    <row r="88" spans="1:8" x14ac:dyDescent="0.35">
      <c r="A88" s="2">
        <v>45541.64166666667</v>
      </c>
      <c r="B88" s="3">
        <v>0.26993055555555556</v>
      </c>
      <c r="C88" s="1" t="s">
        <v>8</v>
      </c>
      <c r="D88" s="1" t="s">
        <v>20</v>
      </c>
      <c r="E88" s="1">
        <v>447.9</v>
      </c>
      <c r="F88" s="1">
        <v>3</v>
      </c>
      <c r="G88" s="1">
        <v>1343.7</v>
      </c>
      <c r="H88" s="1" t="s">
        <v>91</v>
      </c>
    </row>
    <row r="89" spans="1:8" x14ac:dyDescent="0.35">
      <c r="A89" s="2">
        <v>45125.92291666667</v>
      </c>
      <c r="B89" s="3">
        <v>0.31821759259259258</v>
      </c>
      <c r="C89" s="1" t="s">
        <v>8</v>
      </c>
      <c r="D89" s="1" t="s">
        <v>20</v>
      </c>
      <c r="E89" s="1">
        <v>74.78</v>
      </c>
      <c r="F89" s="1">
        <v>4</v>
      </c>
      <c r="G89" s="1">
        <v>299.12</v>
      </c>
      <c r="H89" s="1" t="s">
        <v>92</v>
      </c>
    </row>
    <row r="90" spans="1:8" x14ac:dyDescent="0.35">
      <c r="A90" s="2">
        <v>45044.268750000003</v>
      </c>
      <c r="B90" s="3">
        <v>0.80150462962962965</v>
      </c>
      <c r="C90" s="1" t="s">
        <v>11</v>
      </c>
      <c r="D90" s="1" t="s">
        <v>16</v>
      </c>
      <c r="E90" s="1">
        <v>383.7</v>
      </c>
      <c r="F90" s="1">
        <v>5</v>
      </c>
      <c r="G90" s="1">
        <v>1918.5</v>
      </c>
      <c r="H90" s="1" t="s">
        <v>93</v>
      </c>
    </row>
    <row r="91" spans="1:8" x14ac:dyDescent="0.35">
      <c r="A91" s="2">
        <v>45417.513888888891</v>
      </c>
      <c r="B91" s="3">
        <v>0.14685185185185184</v>
      </c>
      <c r="C91" s="1" t="s">
        <v>8</v>
      </c>
      <c r="D91" s="1" t="s">
        <v>20</v>
      </c>
      <c r="E91" s="1">
        <v>404.52</v>
      </c>
      <c r="F91" s="1">
        <v>4</v>
      </c>
      <c r="G91" s="1">
        <v>1618.08</v>
      </c>
      <c r="H91" s="1" t="s">
        <v>94</v>
      </c>
    </row>
    <row r="92" spans="1:8" x14ac:dyDescent="0.35">
      <c r="A92" s="2">
        <v>45557.910416666666</v>
      </c>
      <c r="B92" s="3">
        <v>0.52357638888888891</v>
      </c>
      <c r="C92" s="1" t="s">
        <v>11</v>
      </c>
      <c r="D92" s="1" t="s">
        <v>20</v>
      </c>
      <c r="E92" s="1">
        <v>224.19</v>
      </c>
      <c r="F92" s="1">
        <v>1</v>
      </c>
      <c r="G92" s="1">
        <v>224.19</v>
      </c>
      <c r="H92" s="1" t="s">
        <v>95</v>
      </c>
    </row>
    <row r="93" spans="1:8" x14ac:dyDescent="0.35">
      <c r="A93" s="2">
        <v>45399.053472222222</v>
      </c>
      <c r="B93" s="3">
        <v>0.59092592592592597</v>
      </c>
      <c r="C93" s="1" t="s">
        <v>14</v>
      </c>
      <c r="D93" s="1" t="s">
        <v>27</v>
      </c>
      <c r="E93" s="1">
        <v>43.86</v>
      </c>
      <c r="F93" s="1">
        <v>1</v>
      </c>
      <c r="G93" s="1">
        <v>43.86</v>
      </c>
      <c r="H93" s="1" t="s">
        <v>96</v>
      </c>
    </row>
    <row r="94" spans="1:8" x14ac:dyDescent="0.35">
      <c r="A94" s="2">
        <v>45314.713888888888</v>
      </c>
      <c r="B94" s="3">
        <v>0.55579861111111117</v>
      </c>
      <c r="C94" s="1" t="s">
        <v>8</v>
      </c>
      <c r="D94" s="1" t="s">
        <v>20</v>
      </c>
      <c r="E94" s="1">
        <v>478.62</v>
      </c>
      <c r="F94" s="1">
        <v>4</v>
      </c>
      <c r="G94" s="1">
        <v>1914.48</v>
      </c>
      <c r="H94" s="1" t="s">
        <v>97</v>
      </c>
    </row>
    <row r="95" spans="1:8" x14ac:dyDescent="0.35">
      <c r="A95" s="2">
        <v>45224.589583333334</v>
      </c>
      <c r="B95" s="3">
        <v>0.12306712962962962</v>
      </c>
      <c r="C95" s="1" t="s">
        <v>14</v>
      </c>
      <c r="D95" s="1" t="s">
        <v>9</v>
      </c>
      <c r="E95" s="1">
        <v>411.93</v>
      </c>
      <c r="F95" s="1">
        <v>4</v>
      </c>
      <c r="G95" s="1">
        <v>1647.72</v>
      </c>
      <c r="H95" s="1" t="s">
        <v>98</v>
      </c>
    </row>
    <row r="96" spans="1:8" x14ac:dyDescent="0.35">
      <c r="A96" s="2">
        <v>45126.976388888892</v>
      </c>
      <c r="B96" s="3">
        <v>0.49979166666666663</v>
      </c>
      <c r="C96" s="1" t="s">
        <v>8</v>
      </c>
      <c r="D96" s="1" t="s">
        <v>12</v>
      </c>
      <c r="E96" s="1">
        <v>324.42</v>
      </c>
      <c r="F96" s="1">
        <v>4</v>
      </c>
      <c r="G96" s="1">
        <v>1297.68</v>
      </c>
      <c r="H96" s="1" t="s">
        <v>99</v>
      </c>
    </row>
    <row r="97" spans="1:8" x14ac:dyDescent="0.35">
      <c r="A97" s="2">
        <v>45177.145833333336</v>
      </c>
      <c r="B97" s="3">
        <v>0.60067129629629623</v>
      </c>
      <c r="C97" s="1" t="s">
        <v>14</v>
      </c>
      <c r="D97" s="1" t="s">
        <v>12</v>
      </c>
      <c r="E97" s="1">
        <v>338.05</v>
      </c>
      <c r="F97" s="1">
        <v>5</v>
      </c>
      <c r="G97" s="1">
        <v>1690.25</v>
      </c>
      <c r="H97" s="1" t="s">
        <v>100</v>
      </c>
    </row>
    <row r="98" spans="1:8" x14ac:dyDescent="0.35">
      <c r="A98" s="2">
        <v>45279.907638888886</v>
      </c>
      <c r="B98" s="3">
        <v>0.2044560185185185</v>
      </c>
      <c r="C98" s="1" t="s">
        <v>8</v>
      </c>
      <c r="D98" s="1" t="s">
        <v>27</v>
      </c>
      <c r="E98" s="1">
        <v>429.05</v>
      </c>
      <c r="F98" s="1">
        <v>3</v>
      </c>
      <c r="G98" s="1">
        <v>1287.1500000000001</v>
      </c>
      <c r="H98" s="1" t="s">
        <v>101</v>
      </c>
    </row>
    <row r="99" spans="1:8" x14ac:dyDescent="0.35">
      <c r="A99" s="2">
        <v>45215.393055555556</v>
      </c>
      <c r="B99" s="3">
        <v>0.12340277777777779</v>
      </c>
      <c r="C99" s="1" t="s">
        <v>8</v>
      </c>
      <c r="D99" s="1" t="s">
        <v>20</v>
      </c>
      <c r="E99" s="1">
        <v>94.21</v>
      </c>
      <c r="F99" s="1">
        <v>2</v>
      </c>
      <c r="G99" s="1">
        <v>188.42</v>
      </c>
      <c r="H99" s="1" t="s">
        <v>102</v>
      </c>
    </row>
    <row r="100" spans="1:8" x14ac:dyDescent="0.35">
      <c r="A100" s="2">
        <v>45167.020833333336</v>
      </c>
      <c r="B100" s="3">
        <v>0.30140046296296297</v>
      </c>
      <c r="C100" s="1" t="s">
        <v>8</v>
      </c>
      <c r="D100" s="1" t="s">
        <v>20</v>
      </c>
      <c r="E100" s="1">
        <v>217.42</v>
      </c>
      <c r="F100" s="1">
        <v>5</v>
      </c>
      <c r="G100" s="1">
        <v>1087.0999999999999</v>
      </c>
      <c r="H100" s="1" t="s">
        <v>103</v>
      </c>
    </row>
    <row r="101" spans="1:8" x14ac:dyDescent="0.35">
      <c r="A101" s="2">
        <v>45614.775000000001</v>
      </c>
      <c r="B101" s="3">
        <v>0.69961805555555545</v>
      </c>
      <c r="C101" s="1" t="s">
        <v>11</v>
      </c>
      <c r="D101" s="1" t="s">
        <v>20</v>
      </c>
      <c r="E101" s="1">
        <v>264.58999999999997</v>
      </c>
      <c r="F101" s="1">
        <v>2</v>
      </c>
      <c r="G101" s="1">
        <v>529.17999999999995</v>
      </c>
      <c r="H101" s="1" t="s">
        <v>104</v>
      </c>
    </row>
    <row r="102" spans="1:8" x14ac:dyDescent="0.35">
      <c r="A102" s="2">
        <v>45019.636805555558</v>
      </c>
      <c r="B102" s="3">
        <v>0.87832175925925926</v>
      </c>
      <c r="C102" s="1" t="s">
        <v>11</v>
      </c>
      <c r="D102" s="1" t="s">
        <v>12</v>
      </c>
      <c r="E102" s="1">
        <v>274.95</v>
      </c>
      <c r="F102" s="1">
        <v>5</v>
      </c>
      <c r="G102" s="1">
        <v>1374.75</v>
      </c>
      <c r="H102" s="1" t="s">
        <v>105</v>
      </c>
    </row>
    <row r="103" spans="1:8" x14ac:dyDescent="0.35">
      <c r="A103" s="2">
        <v>45181.540277777778</v>
      </c>
      <c r="B103" s="3">
        <v>0.82939814814814816</v>
      </c>
      <c r="C103" s="1" t="s">
        <v>14</v>
      </c>
      <c r="D103" s="1" t="s">
        <v>20</v>
      </c>
      <c r="E103" s="1">
        <v>217.31</v>
      </c>
      <c r="F103" s="1">
        <v>3</v>
      </c>
      <c r="G103" s="1">
        <v>651.92999999999995</v>
      </c>
      <c r="H103" s="1" t="s">
        <v>106</v>
      </c>
    </row>
    <row r="104" spans="1:8" x14ac:dyDescent="0.35">
      <c r="A104" s="2">
        <v>45568.324999999997</v>
      </c>
      <c r="B104" s="3">
        <v>0.59282407407407411</v>
      </c>
      <c r="C104" s="1" t="s">
        <v>8</v>
      </c>
      <c r="D104" s="1" t="s">
        <v>20</v>
      </c>
      <c r="E104" s="1">
        <v>130.99</v>
      </c>
      <c r="F104" s="1">
        <v>1</v>
      </c>
      <c r="G104" s="1">
        <v>130.99</v>
      </c>
      <c r="H104" s="1" t="s">
        <v>107</v>
      </c>
    </row>
    <row r="105" spans="1:8" x14ac:dyDescent="0.35">
      <c r="A105" s="2">
        <v>45553.530555555553</v>
      </c>
      <c r="B105" s="3">
        <v>0.96759259259259256</v>
      </c>
      <c r="C105" s="1" t="s">
        <v>14</v>
      </c>
      <c r="D105" s="1" t="s">
        <v>27</v>
      </c>
      <c r="E105" s="1">
        <v>494.43</v>
      </c>
      <c r="F105" s="1">
        <v>4</v>
      </c>
      <c r="G105" s="1">
        <v>1977.72</v>
      </c>
      <c r="H105" s="1" t="s">
        <v>108</v>
      </c>
    </row>
    <row r="106" spans="1:8" x14ac:dyDescent="0.35">
      <c r="A106" s="2">
        <v>45185.51458333333</v>
      </c>
      <c r="B106" s="3">
        <v>0.6036921296296297</v>
      </c>
      <c r="C106" s="1" t="s">
        <v>14</v>
      </c>
      <c r="D106" s="1" t="s">
        <v>12</v>
      </c>
      <c r="E106" s="1">
        <v>61.69</v>
      </c>
      <c r="F106" s="1">
        <v>3</v>
      </c>
      <c r="G106" s="1">
        <v>185.07</v>
      </c>
      <c r="H106" s="1" t="s">
        <v>109</v>
      </c>
    </row>
    <row r="107" spans="1:8" x14ac:dyDescent="0.35">
      <c r="A107" s="2">
        <v>45531.884722222225</v>
      </c>
      <c r="B107" s="3">
        <v>0.76238425925925923</v>
      </c>
      <c r="C107" s="1" t="s">
        <v>11</v>
      </c>
      <c r="D107" s="1" t="s">
        <v>9</v>
      </c>
      <c r="E107" s="1">
        <v>339.09</v>
      </c>
      <c r="F107" s="1">
        <v>4</v>
      </c>
      <c r="G107" s="1">
        <v>1356.36</v>
      </c>
      <c r="H107" s="1" t="s">
        <v>110</v>
      </c>
    </row>
    <row r="108" spans="1:8" x14ac:dyDescent="0.35">
      <c r="A108" s="2">
        <v>45370.690972222219</v>
      </c>
      <c r="B108" s="3">
        <v>0.36351851851851852</v>
      </c>
      <c r="C108" s="1" t="s">
        <v>8</v>
      </c>
      <c r="D108" s="1" t="s">
        <v>27</v>
      </c>
      <c r="E108" s="1">
        <v>344.58</v>
      </c>
      <c r="F108" s="1">
        <v>5</v>
      </c>
      <c r="G108" s="1">
        <v>1722.9</v>
      </c>
      <c r="H108" s="1" t="s">
        <v>111</v>
      </c>
    </row>
    <row r="109" spans="1:8" x14ac:dyDescent="0.35">
      <c r="A109" s="2">
        <v>45181.554166666669</v>
      </c>
      <c r="B109" s="3">
        <v>0.43972222222222218</v>
      </c>
      <c r="C109" s="1" t="s">
        <v>14</v>
      </c>
      <c r="D109" s="1" t="s">
        <v>20</v>
      </c>
      <c r="E109" s="1">
        <v>101.81</v>
      </c>
      <c r="F109" s="1">
        <v>1</v>
      </c>
      <c r="G109" s="1">
        <v>101.81</v>
      </c>
      <c r="H109" s="1" t="s">
        <v>112</v>
      </c>
    </row>
    <row r="110" spans="1:8" x14ac:dyDescent="0.35">
      <c r="A110" s="2">
        <v>45185.914583333331</v>
      </c>
      <c r="B110" s="3">
        <v>0.48391203703703706</v>
      </c>
      <c r="C110" s="1" t="s">
        <v>14</v>
      </c>
      <c r="D110" s="1" t="s">
        <v>16</v>
      </c>
      <c r="E110" s="1">
        <v>226.52</v>
      </c>
      <c r="F110" s="1">
        <v>1</v>
      </c>
      <c r="G110" s="1">
        <v>226.52</v>
      </c>
      <c r="H110" s="1" t="s">
        <v>113</v>
      </c>
    </row>
    <row r="111" spans="1:8" x14ac:dyDescent="0.35">
      <c r="A111" s="2">
        <v>45046.918055555558</v>
      </c>
      <c r="B111" s="3">
        <v>0.59868055555555555</v>
      </c>
      <c r="C111" s="1" t="s">
        <v>14</v>
      </c>
      <c r="D111" s="1" t="s">
        <v>9</v>
      </c>
      <c r="E111" s="1">
        <v>304.22000000000003</v>
      </c>
      <c r="F111" s="1">
        <v>1</v>
      </c>
      <c r="G111" s="1">
        <v>304.22000000000003</v>
      </c>
      <c r="H111" s="1" t="s">
        <v>78</v>
      </c>
    </row>
    <row r="112" spans="1:8" x14ac:dyDescent="0.35">
      <c r="A112" s="2">
        <v>45353.824305555558</v>
      </c>
      <c r="B112" s="3">
        <v>6.6875000000000004E-2</v>
      </c>
      <c r="C112" s="1" t="s">
        <v>14</v>
      </c>
      <c r="D112" s="1" t="s">
        <v>20</v>
      </c>
      <c r="E112" s="1">
        <v>65.72</v>
      </c>
      <c r="F112" s="1">
        <v>4</v>
      </c>
      <c r="G112" s="1">
        <v>262.88</v>
      </c>
      <c r="H112" s="1" t="s">
        <v>58</v>
      </c>
    </row>
    <row r="113" spans="1:8" x14ac:dyDescent="0.35">
      <c r="A113" s="2">
        <v>45221.788888888892</v>
      </c>
      <c r="B113" s="3">
        <v>0.97472222222222227</v>
      </c>
      <c r="C113" s="1" t="s">
        <v>11</v>
      </c>
      <c r="D113" s="1" t="s">
        <v>9</v>
      </c>
      <c r="E113" s="1">
        <v>23.07</v>
      </c>
      <c r="F113" s="1">
        <v>2</v>
      </c>
      <c r="G113" s="1">
        <v>46.14</v>
      </c>
      <c r="H113" s="1" t="s">
        <v>114</v>
      </c>
    </row>
    <row r="114" spans="1:8" x14ac:dyDescent="0.35">
      <c r="A114" s="2">
        <v>45192.236111111109</v>
      </c>
      <c r="B114" s="3">
        <v>1.7210648148148149E-2</v>
      </c>
      <c r="C114" s="1" t="s">
        <v>14</v>
      </c>
      <c r="D114" s="1" t="s">
        <v>9</v>
      </c>
      <c r="E114" s="1">
        <v>236.09</v>
      </c>
      <c r="F114" s="1">
        <v>5</v>
      </c>
      <c r="G114" s="1">
        <v>1180.45</v>
      </c>
      <c r="H114" s="1" t="s">
        <v>115</v>
      </c>
    </row>
    <row r="115" spans="1:8" x14ac:dyDescent="0.35">
      <c r="A115" s="2">
        <v>44993.323611111111</v>
      </c>
      <c r="B115" s="3">
        <v>0.49927083333333333</v>
      </c>
      <c r="C115" s="1" t="s">
        <v>14</v>
      </c>
      <c r="D115" s="1" t="s">
        <v>16</v>
      </c>
      <c r="E115" s="1">
        <v>484.31</v>
      </c>
      <c r="F115" s="1">
        <v>5</v>
      </c>
      <c r="G115" s="1">
        <v>2421.5500000000002</v>
      </c>
      <c r="H115" s="1" t="s">
        <v>65</v>
      </c>
    </row>
    <row r="116" spans="1:8" x14ac:dyDescent="0.35">
      <c r="A116" s="2">
        <v>45065.147916666669</v>
      </c>
      <c r="B116" s="3">
        <v>0.17818287037037037</v>
      </c>
      <c r="C116" s="1" t="s">
        <v>8</v>
      </c>
      <c r="D116" s="1" t="s">
        <v>9</v>
      </c>
      <c r="E116" s="1">
        <v>410.03</v>
      </c>
      <c r="F116" s="1">
        <v>3</v>
      </c>
      <c r="G116" s="1">
        <v>1230.0899999999999</v>
      </c>
      <c r="H116" s="1" t="s">
        <v>116</v>
      </c>
    </row>
    <row r="117" spans="1:8" x14ac:dyDescent="0.35">
      <c r="A117" s="2">
        <v>45579.734722222223</v>
      </c>
      <c r="B117" s="3">
        <v>0.65687499999999999</v>
      </c>
      <c r="C117" s="1" t="s">
        <v>14</v>
      </c>
      <c r="D117" s="1" t="s">
        <v>16</v>
      </c>
      <c r="E117" s="1">
        <v>402.41</v>
      </c>
      <c r="F117" s="1">
        <v>5</v>
      </c>
      <c r="G117" s="1">
        <v>2012.05</v>
      </c>
      <c r="H117" s="1" t="s">
        <v>117</v>
      </c>
    </row>
    <row r="118" spans="1:8" x14ac:dyDescent="0.35">
      <c r="A118" s="2">
        <v>45137.650694444441</v>
      </c>
      <c r="B118" s="3">
        <v>4.5266203703703704E-2</v>
      </c>
      <c r="C118" s="1" t="s">
        <v>11</v>
      </c>
      <c r="D118" s="1" t="s">
        <v>27</v>
      </c>
      <c r="E118" s="1">
        <v>197.65</v>
      </c>
      <c r="F118" s="1">
        <v>1</v>
      </c>
      <c r="G118" s="1">
        <v>197.65</v>
      </c>
      <c r="H118" s="1" t="s">
        <v>75</v>
      </c>
    </row>
    <row r="119" spans="1:8" x14ac:dyDescent="0.35">
      <c r="A119" s="2">
        <v>44931.553472222222</v>
      </c>
      <c r="B119" s="3">
        <v>0.67924768518518519</v>
      </c>
      <c r="C119" s="1" t="s">
        <v>14</v>
      </c>
      <c r="D119" s="1" t="s">
        <v>20</v>
      </c>
      <c r="E119" s="1">
        <v>336.23</v>
      </c>
      <c r="F119" s="1">
        <v>2</v>
      </c>
      <c r="G119" s="1">
        <v>672.46</v>
      </c>
      <c r="H119" s="1" t="s">
        <v>78</v>
      </c>
    </row>
    <row r="120" spans="1:8" x14ac:dyDescent="0.35">
      <c r="A120" s="2">
        <v>45039.580555555556</v>
      </c>
      <c r="B120" s="3">
        <v>8.818287037037037E-2</v>
      </c>
      <c r="C120" s="1" t="s">
        <v>14</v>
      </c>
      <c r="D120" s="1" t="s">
        <v>27</v>
      </c>
      <c r="E120" s="1">
        <v>38.229999999999997</v>
      </c>
      <c r="F120" s="1">
        <v>2</v>
      </c>
      <c r="G120" s="1">
        <v>76.459999999999994</v>
      </c>
      <c r="H120" s="1" t="s">
        <v>86</v>
      </c>
    </row>
    <row r="121" spans="1:8" x14ac:dyDescent="0.35">
      <c r="A121" s="2">
        <v>45495.973611111112</v>
      </c>
      <c r="B121" s="3">
        <v>3.4039351851851855E-2</v>
      </c>
      <c r="C121" s="1" t="s">
        <v>8</v>
      </c>
      <c r="D121" s="1" t="s">
        <v>9</v>
      </c>
      <c r="E121" s="1">
        <v>116.44</v>
      </c>
      <c r="F121" s="1">
        <v>4</v>
      </c>
      <c r="G121" s="1">
        <v>465.76</v>
      </c>
      <c r="H121" s="1" t="s">
        <v>118</v>
      </c>
    </row>
    <row r="122" spans="1:8" x14ac:dyDescent="0.35">
      <c r="A122" s="2">
        <v>45037.467361111114</v>
      </c>
      <c r="B122" s="3">
        <v>0.58004629629629634</v>
      </c>
      <c r="C122" s="1" t="s">
        <v>14</v>
      </c>
      <c r="D122" s="1" t="s">
        <v>27</v>
      </c>
      <c r="E122" s="1">
        <v>235.6</v>
      </c>
      <c r="F122" s="1">
        <v>1</v>
      </c>
      <c r="G122" s="1">
        <v>235.6</v>
      </c>
      <c r="H122" s="1" t="s">
        <v>119</v>
      </c>
    </row>
    <row r="123" spans="1:8" x14ac:dyDescent="0.35">
      <c r="A123" s="2">
        <v>44940.592361111114</v>
      </c>
      <c r="B123" s="3">
        <v>0.22964120370370369</v>
      </c>
      <c r="C123" s="1" t="s">
        <v>11</v>
      </c>
      <c r="D123" s="1" t="s">
        <v>16</v>
      </c>
      <c r="E123" s="1">
        <v>80.010000000000005</v>
      </c>
      <c r="F123" s="1">
        <v>2</v>
      </c>
      <c r="G123" s="1">
        <v>160.02000000000001</v>
      </c>
      <c r="H123" s="1" t="s">
        <v>120</v>
      </c>
    </row>
    <row r="124" spans="1:8" x14ac:dyDescent="0.35">
      <c r="A124" s="2">
        <v>45228.655555555553</v>
      </c>
      <c r="B124" s="3">
        <v>0.79800925925925925</v>
      </c>
      <c r="C124" s="1" t="s">
        <v>11</v>
      </c>
      <c r="D124" s="1" t="s">
        <v>12</v>
      </c>
      <c r="E124" s="1">
        <v>194.62</v>
      </c>
      <c r="F124" s="1">
        <v>5</v>
      </c>
      <c r="G124" s="1">
        <v>973.1</v>
      </c>
      <c r="H124" s="1" t="s">
        <v>121</v>
      </c>
    </row>
    <row r="125" spans="1:8" x14ac:dyDescent="0.35">
      <c r="A125" s="2">
        <v>45404.478472222225</v>
      </c>
      <c r="B125" s="3">
        <v>0.1106712962962963</v>
      </c>
      <c r="C125" s="1" t="s">
        <v>14</v>
      </c>
      <c r="D125" s="1" t="s">
        <v>12</v>
      </c>
      <c r="E125" s="1">
        <v>396.47</v>
      </c>
      <c r="F125" s="1">
        <v>4</v>
      </c>
      <c r="G125" s="1">
        <v>1585.88</v>
      </c>
      <c r="H125" s="1" t="s">
        <v>122</v>
      </c>
    </row>
    <row r="126" spans="1:8" x14ac:dyDescent="0.35">
      <c r="A126" s="2">
        <v>45322.859027777777</v>
      </c>
      <c r="B126" s="3">
        <v>0.84334490740740742</v>
      </c>
      <c r="C126" s="1" t="s">
        <v>14</v>
      </c>
      <c r="D126" s="1" t="s">
        <v>16</v>
      </c>
      <c r="E126" s="1">
        <v>372.57</v>
      </c>
      <c r="F126" s="1">
        <v>5</v>
      </c>
      <c r="G126" s="1">
        <v>1862.85</v>
      </c>
      <c r="H126" s="1" t="s">
        <v>123</v>
      </c>
    </row>
    <row r="127" spans="1:8" x14ac:dyDescent="0.35">
      <c r="A127" s="2">
        <v>45388.850694444445</v>
      </c>
      <c r="B127" s="3">
        <v>0.73274305555555552</v>
      </c>
      <c r="C127" s="1" t="s">
        <v>8</v>
      </c>
      <c r="D127" s="1" t="s">
        <v>9</v>
      </c>
      <c r="E127" s="1">
        <v>295.87</v>
      </c>
      <c r="F127" s="1">
        <v>5</v>
      </c>
      <c r="G127" s="1">
        <v>1479.35</v>
      </c>
      <c r="H127" s="1" t="s">
        <v>124</v>
      </c>
    </row>
    <row r="128" spans="1:8" x14ac:dyDescent="0.35">
      <c r="A128" s="2">
        <v>45598.259027777778</v>
      </c>
      <c r="B128" s="3">
        <v>0.54932870370370368</v>
      </c>
      <c r="C128" s="1" t="s">
        <v>8</v>
      </c>
      <c r="D128" s="1" t="s">
        <v>12</v>
      </c>
      <c r="E128" s="1">
        <v>16.43</v>
      </c>
      <c r="F128" s="1">
        <v>2</v>
      </c>
      <c r="G128" s="1">
        <v>32.86</v>
      </c>
      <c r="H128" s="1" t="s">
        <v>125</v>
      </c>
    </row>
    <row r="129" spans="1:8" x14ac:dyDescent="0.35">
      <c r="A129" s="2">
        <v>45315.320138888892</v>
      </c>
      <c r="B129" s="3">
        <v>0.80439814814814825</v>
      </c>
      <c r="C129" s="1" t="s">
        <v>14</v>
      </c>
      <c r="D129" s="1" t="s">
        <v>16</v>
      </c>
      <c r="E129" s="1">
        <v>440.19</v>
      </c>
      <c r="F129" s="1">
        <v>4</v>
      </c>
      <c r="G129" s="1">
        <v>1760.76</v>
      </c>
      <c r="H129" s="1" t="s">
        <v>77</v>
      </c>
    </row>
    <row r="130" spans="1:8" x14ac:dyDescent="0.35">
      <c r="A130" s="2">
        <v>45243.777083333334</v>
      </c>
      <c r="B130" s="3">
        <v>0.16361111111111112</v>
      </c>
      <c r="C130" s="1" t="s">
        <v>14</v>
      </c>
      <c r="D130" s="1" t="s">
        <v>12</v>
      </c>
      <c r="E130" s="1">
        <v>216.77</v>
      </c>
      <c r="F130" s="1">
        <v>2</v>
      </c>
      <c r="G130" s="1">
        <v>433.54</v>
      </c>
      <c r="H130" s="1" t="s">
        <v>115</v>
      </c>
    </row>
    <row r="131" spans="1:8" x14ac:dyDescent="0.35">
      <c r="A131" s="2">
        <v>45639.809027777781</v>
      </c>
      <c r="B131" s="3">
        <v>0.94552083333333325</v>
      </c>
      <c r="C131" s="1" t="s">
        <v>11</v>
      </c>
      <c r="D131" s="1" t="s">
        <v>20</v>
      </c>
      <c r="E131" s="1">
        <v>448.36</v>
      </c>
      <c r="F131" s="1">
        <v>3</v>
      </c>
      <c r="G131" s="1">
        <v>1345.08</v>
      </c>
      <c r="H131" s="1" t="s">
        <v>36</v>
      </c>
    </row>
    <row r="132" spans="1:8" x14ac:dyDescent="0.35">
      <c r="A132" s="2">
        <v>44976.897222222222</v>
      </c>
      <c r="B132" s="3">
        <v>0.69305555555555554</v>
      </c>
      <c r="C132" s="1" t="s">
        <v>11</v>
      </c>
      <c r="D132" s="1" t="s">
        <v>20</v>
      </c>
      <c r="E132" s="1">
        <v>406.56</v>
      </c>
      <c r="F132" s="1">
        <v>2</v>
      </c>
      <c r="G132" s="1">
        <v>813.12</v>
      </c>
      <c r="H132" s="1" t="s">
        <v>126</v>
      </c>
    </row>
    <row r="133" spans="1:8" x14ac:dyDescent="0.35">
      <c r="A133" s="2">
        <v>45468.84097222222</v>
      </c>
      <c r="B133" s="3">
        <v>0.39483796296296297</v>
      </c>
      <c r="C133" s="1" t="s">
        <v>11</v>
      </c>
      <c r="D133" s="1" t="s">
        <v>20</v>
      </c>
      <c r="E133" s="1">
        <v>221.76</v>
      </c>
      <c r="F133" s="1">
        <v>1</v>
      </c>
      <c r="G133" s="1">
        <v>221.76</v>
      </c>
      <c r="H133" s="1" t="s">
        <v>127</v>
      </c>
    </row>
    <row r="134" spans="1:8" x14ac:dyDescent="0.35">
      <c r="A134" s="2">
        <v>45440.24722222222</v>
      </c>
      <c r="B134" s="3">
        <v>5.8298611111111114E-2</v>
      </c>
      <c r="C134" s="1" t="s">
        <v>14</v>
      </c>
      <c r="D134" s="1" t="s">
        <v>9</v>
      </c>
      <c r="E134" s="1">
        <v>220.95</v>
      </c>
      <c r="F134" s="1">
        <v>3</v>
      </c>
      <c r="G134" s="1">
        <v>662.85</v>
      </c>
      <c r="H134" s="1" t="s">
        <v>128</v>
      </c>
    </row>
    <row r="135" spans="1:8" x14ac:dyDescent="0.35">
      <c r="A135" s="2">
        <v>45147.172222222223</v>
      </c>
      <c r="B135" s="3">
        <v>0.13673611111111111</v>
      </c>
      <c r="C135" s="1" t="s">
        <v>11</v>
      </c>
      <c r="D135" s="1" t="s">
        <v>16</v>
      </c>
      <c r="E135" s="1">
        <v>429.75</v>
      </c>
      <c r="F135" s="1">
        <v>5</v>
      </c>
      <c r="G135" s="1">
        <v>2148.75</v>
      </c>
      <c r="H135" s="1" t="s">
        <v>22</v>
      </c>
    </row>
    <row r="136" spans="1:8" x14ac:dyDescent="0.35">
      <c r="A136" s="2">
        <v>45331.455555555556</v>
      </c>
      <c r="B136" s="3">
        <v>2.0173611111111111E-2</v>
      </c>
      <c r="C136" s="1" t="s">
        <v>8</v>
      </c>
      <c r="D136" s="1" t="s">
        <v>20</v>
      </c>
      <c r="E136" s="1">
        <v>469.21</v>
      </c>
      <c r="F136" s="1">
        <v>1</v>
      </c>
      <c r="G136" s="1">
        <v>469.21</v>
      </c>
      <c r="H136" s="1" t="s">
        <v>129</v>
      </c>
    </row>
    <row r="137" spans="1:8" x14ac:dyDescent="0.35">
      <c r="A137" s="2">
        <v>45582.989583333336</v>
      </c>
      <c r="B137" s="3">
        <v>0.9028356481481481</v>
      </c>
      <c r="C137" s="1" t="s">
        <v>14</v>
      </c>
      <c r="D137" s="1" t="s">
        <v>9</v>
      </c>
      <c r="E137" s="1">
        <v>217.83</v>
      </c>
      <c r="F137" s="1">
        <v>5</v>
      </c>
      <c r="G137" s="1">
        <v>1089.1500000000001</v>
      </c>
      <c r="H137" s="1" t="s">
        <v>130</v>
      </c>
    </row>
    <row r="138" spans="1:8" x14ac:dyDescent="0.35">
      <c r="A138" s="2">
        <v>45036.74722222222</v>
      </c>
      <c r="B138" s="3">
        <v>3.9837962962962964E-2</v>
      </c>
      <c r="C138" s="1" t="s">
        <v>8</v>
      </c>
      <c r="D138" s="1" t="s">
        <v>16</v>
      </c>
      <c r="E138" s="1">
        <v>302.26</v>
      </c>
      <c r="F138" s="1">
        <v>4</v>
      </c>
      <c r="G138" s="1">
        <v>1209.04</v>
      </c>
      <c r="H138" s="1" t="s">
        <v>131</v>
      </c>
    </row>
    <row r="139" spans="1:8" x14ac:dyDescent="0.35">
      <c r="A139" s="2">
        <v>44931.144444444442</v>
      </c>
      <c r="B139" s="3">
        <v>0.57630787037037035</v>
      </c>
      <c r="C139" s="1" t="s">
        <v>11</v>
      </c>
      <c r="D139" s="1" t="s">
        <v>16</v>
      </c>
      <c r="E139" s="1">
        <v>365.97</v>
      </c>
      <c r="F139" s="1">
        <v>4</v>
      </c>
      <c r="G139" s="1">
        <v>1463.88</v>
      </c>
      <c r="H139" s="1" t="s">
        <v>132</v>
      </c>
    </row>
    <row r="140" spans="1:8" x14ac:dyDescent="0.35">
      <c r="A140" s="2">
        <v>45593.363888888889</v>
      </c>
      <c r="B140" s="3">
        <v>0.91399305555555566</v>
      </c>
      <c r="C140" s="1" t="s">
        <v>14</v>
      </c>
      <c r="D140" s="1" t="s">
        <v>20</v>
      </c>
      <c r="E140" s="1">
        <v>404.88</v>
      </c>
      <c r="F140" s="1">
        <v>4</v>
      </c>
      <c r="G140" s="1">
        <v>1619.52</v>
      </c>
      <c r="H140" s="1" t="s">
        <v>133</v>
      </c>
    </row>
    <row r="141" spans="1:8" x14ac:dyDescent="0.35">
      <c r="A141" s="2">
        <v>45643.734722222223</v>
      </c>
      <c r="B141" s="3">
        <v>0.19928240740740741</v>
      </c>
      <c r="C141" s="1" t="s">
        <v>11</v>
      </c>
      <c r="D141" s="1" t="s">
        <v>16</v>
      </c>
      <c r="E141" s="1">
        <v>97.28</v>
      </c>
      <c r="F141" s="1">
        <v>4</v>
      </c>
      <c r="G141" s="1">
        <v>389.12</v>
      </c>
      <c r="H141" s="1" t="s">
        <v>134</v>
      </c>
    </row>
    <row r="142" spans="1:8" x14ac:dyDescent="0.35">
      <c r="A142" s="2">
        <v>45619.977083333331</v>
      </c>
      <c r="B142" s="3">
        <v>0.22363425925925925</v>
      </c>
      <c r="C142" s="1" t="s">
        <v>14</v>
      </c>
      <c r="D142" s="1" t="s">
        <v>20</v>
      </c>
      <c r="E142" s="1">
        <v>262.89</v>
      </c>
      <c r="F142" s="1">
        <v>4</v>
      </c>
      <c r="G142" s="1">
        <v>1051.56</v>
      </c>
      <c r="H142" s="1" t="s">
        <v>135</v>
      </c>
    </row>
    <row r="143" spans="1:8" x14ac:dyDescent="0.35">
      <c r="A143" s="2">
        <v>45380.638194444444</v>
      </c>
      <c r="B143" s="3">
        <v>0.87918981481481484</v>
      </c>
      <c r="C143" s="1" t="s">
        <v>11</v>
      </c>
      <c r="D143" s="1" t="s">
        <v>16</v>
      </c>
      <c r="E143" s="1">
        <v>344.72</v>
      </c>
      <c r="F143" s="1">
        <v>5</v>
      </c>
      <c r="G143" s="1">
        <v>1723.6</v>
      </c>
      <c r="H143" s="1" t="s">
        <v>136</v>
      </c>
    </row>
    <row r="144" spans="1:8" x14ac:dyDescent="0.35">
      <c r="A144" s="2">
        <v>44929.699305555558</v>
      </c>
      <c r="B144" s="3">
        <v>0.31149305555555556</v>
      </c>
      <c r="C144" s="1" t="s">
        <v>14</v>
      </c>
      <c r="D144" s="1" t="s">
        <v>16</v>
      </c>
      <c r="E144" s="1">
        <v>336.85</v>
      </c>
      <c r="F144" s="1">
        <v>1</v>
      </c>
      <c r="G144" s="1">
        <v>336.85</v>
      </c>
      <c r="H144" s="1" t="s">
        <v>137</v>
      </c>
    </row>
    <row r="145" spans="1:8" x14ac:dyDescent="0.35">
      <c r="A145" s="2">
        <v>44949.979166666664</v>
      </c>
      <c r="B145" s="3">
        <v>0.70328703703703699</v>
      </c>
      <c r="C145" s="1" t="s">
        <v>11</v>
      </c>
      <c r="D145" s="1" t="s">
        <v>27</v>
      </c>
      <c r="E145" s="1">
        <v>217.13</v>
      </c>
      <c r="F145" s="1">
        <v>1</v>
      </c>
      <c r="G145" s="1">
        <v>217.13</v>
      </c>
      <c r="H145" s="1" t="s">
        <v>138</v>
      </c>
    </row>
    <row r="146" spans="1:8" x14ac:dyDescent="0.35">
      <c r="A146" s="2">
        <v>44961.700694444444</v>
      </c>
      <c r="B146" s="3">
        <v>0.68291666666666673</v>
      </c>
      <c r="C146" s="1" t="s">
        <v>14</v>
      </c>
      <c r="D146" s="1" t="s">
        <v>27</v>
      </c>
      <c r="E146" s="1">
        <v>343.97</v>
      </c>
      <c r="F146" s="1">
        <v>2</v>
      </c>
      <c r="G146" s="1">
        <v>687.94</v>
      </c>
      <c r="H146" s="1" t="s">
        <v>139</v>
      </c>
    </row>
    <row r="147" spans="1:8" x14ac:dyDescent="0.35">
      <c r="A147" s="2">
        <v>45189.178472222222</v>
      </c>
      <c r="B147" s="3">
        <v>0.51362268518518517</v>
      </c>
      <c r="C147" s="1" t="s">
        <v>8</v>
      </c>
      <c r="D147" s="1" t="s">
        <v>12</v>
      </c>
      <c r="E147" s="1">
        <v>61.65</v>
      </c>
      <c r="F147" s="1">
        <v>4</v>
      </c>
      <c r="G147" s="1">
        <v>246.6</v>
      </c>
      <c r="H147" s="1" t="s">
        <v>139</v>
      </c>
    </row>
    <row r="148" spans="1:8" x14ac:dyDescent="0.35">
      <c r="A148" s="2">
        <v>45058.774305555555</v>
      </c>
      <c r="B148" s="3">
        <v>0.81480324074074073</v>
      </c>
      <c r="C148" s="1" t="s">
        <v>14</v>
      </c>
      <c r="D148" s="1" t="s">
        <v>9</v>
      </c>
      <c r="E148" s="1">
        <v>154.75</v>
      </c>
      <c r="F148" s="1">
        <v>4</v>
      </c>
      <c r="G148" s="1">
        <v>619</v>
      </c>
      <c r="H148" s="1" t="s">
        <v>140</v>
      </c>
    </row>
    <row r="149" spans="1:8" x14ac:dyDescent="0.35">
      <c r="A149" s="2">
        <v>45422.675694444442</v>
      </c>
      <c r="B149" s="3">
        <v>0.63278935185185181</v>
      </c>
      <c r="C149" s="1" t="s">
        <v>8</v>
      </c>
      <c r="D149" s="1" t="s">
        <v>9</v>
      </c>
      <c r="E149" s="1">
        <v>45.01</v>
      </c>
      <c r="F149" s="1">
        <v>3</v>
      </c>
      <c r="G149" s="1">
        <v>135.03</v>
      </c>
      <c r="H149" s="1" t="s">
        <v>120</v>
      </c>
    </row>
    <row r="150" spans="1:8" x14ac:dyDescent="0.35">
      <c r="A150" s="2">
        <v>45096.593055555553</v>
      </c>
      <c r="B150" s="3">
        <v>0.44692129629629629</v>
      </c>
      <c r="C150" s="1" t="s">
        <v>8</v>
      </c>
      <c r="D150" s="1" t="s">
        <v>12</v>
      </c>
      <c r="E150" s="1">
        <v>206.59</v>
      </c>
      <c r="F150" s="1">
        <v>5</v>
      </c>
      <c r="G150" s="1">
        <v>1032.95</v>
      </c>
      <c r="H150" s="1" t="s">
        <v>141</v>
      </c>
    </row>
    <row r="151" spans="1:8" x14ac:dyDescent="0.35">
      <c r="A151" s="2">
        <v>45077.301388888889</v>
      </c>
      <c r="B151" s="3">
        <v>0.19768518518518519</v>
      </c>
      <c r="C151" s="1" t="s">
        <v>14</v>
      </c>
      <c r="D151" s="1" t="s">
        <v>12</v>
      </c>
      <c r="E151" s="1">
        <v>66.03</v>
      </c>
      <c r="F151" s="1">
        <v>1</v>
      </c>
      <c r="G151" s="1">
        <v>66.03</v>
      </c>
      <c r="H151" s="1" t="s">
        <v>142</v>
      </c>
    </row>
    <row r="152" spans="1:8" x14ac:dyDescent="0.35">
      <c r="A152" s="2">
        <v>45017.691666666666</v>
      </c>
      <c r="B152" s="3">
        <v>0.25150462962962966</v>
      </c>
      <c r="C152" s="1" t="s">
        <v>14</v>
      </c>
      <c r="D152" s="1" t="s">
        <v>20</v>
      </c>
      <c r="E152" s="1">
        <v>148.97999999999999</v>
      </c>
      <c r="F152" s="1">
        <v>5</v>
      </c>
      <c r="G152" s="1">
        <v>744.9</v>
      </c>
      <c r="H152" s="1" t="s">
        <v>143</v>
      </c>
    </row>
    <row r="153" spans="1:8" x14ac:dyDescent="0.35">
      <c r="A153" s="2">
        <v>45483.145833333336</v>
      </c>
      <c r="B153" s="3">
        <v>7.8101851851851853E-2</v>
      </c>
      <c r="C153" s="1" t="s">
        <v>11</v>
      </c>
      <c r="D153" s="1" t="s">
        <v>20</v>
      </c>
      <c r="E153" s="1">
        <v>66.25</v>
      </c>
      <c r="F153" s="1">
        <v>3</v>
      </c>
      <c r="G153" s="1">
        <v>198.75</v>
      </c>
      <c r="H153" s="1" t="s">
        <v>144</v>
      </c>
    </row>
    <row r="154" spans="1:8" x14ac:dyDescent="0.35">
      <c r="A154" s="2">
        <v>45665.455555555556</v>
      </c>
      <c r="B154" s="3">
        <v>0.21972222222222224</v>
      </c>
      <c r="C154" s="1" t="s">
        <v>14</v>
      </c>
      <c r="D154" s="1" t="s">
        <v>9</v>
      </c>
      <c r="E154" s="1">
        <v>438.41</v>
      </c>
      <c r="F154" s="1">
        <v>4</v>
      </c>
      <c r="G154" s="1">
        <v>1753.64</v>
      </c>
      <c r="H154" s="1" t="s">
        <v>145</v>
      </c>
    </row>
    <row r="155" spans="1:8" x14ac:dyDescent="0.35">
      <c r="A155" s="2">
        <v>45165.932638888888</v>
      </c>
      <c r="B155" s="3">
        <v>0.2177199074074074</v>
      </c>
      <c r="C155" s="1" t="s">
        <v>11</v>
      </c>
      <c r="D155" s="1" t="s">
        <v>16</v>
      </c>
      <c r="E155" s="1">
        <v>213.32</v>
      </c>
      <c r="F155" s="1">
        <v>1</v>
      </c>
      <c r="G155" s="1">
        <v>213.32</v>
      </c>
      <c r="H155" s="1" t="s">
        <v>146</v>
      </c>
    </row>
    <row r="156" spans="1:8" x14ac:dyDescent="0.35">
      <c r="A156" s="2">
        <v>45107.45208333333</v>
      </c>
      <c r="B156" s="3">
        <v>0.33953703703703703</v>
      </c>
      <c r="C156" s="1" t="s">
        <v>8</v>
      </c>
      <c r="D156" s="1" t="s">
        <v>16</v>
      </c>
      <c r="E156" s="1">
        <v>137.63</v>
      </c>
      <c r="F156" s="1">
        <v>3</v>
      </c>
      <c r="G156" s="1">
        <v>412.89</v>
      </c>
      <c r="H156" s="1" t="s">
        <v>147</v>
      </c>
    </row>
    <row r="157" spans="1:8" x14ac:dyDescent="0.35">
      <c r="A157" s="2">
        <v>44960.955555555556</v>
      </c>
      <c r="B157" s="3">
        <v>0.43950231481481478</v>
      </c>
      <c r="C157" s="1" t="s">
        <v>14</v>
      </c>
      <c r="D157" s="1" t="s">
        <v>27</v>
      </c>
      <c r="E157" s="1">
        <v>400.27</v>
      </c>
      <c r="F157" s="1">
        <v>2</v>
      </c>
      <c r="G157" s="1">
        <v>800.54</v>
      </c>
      <c r="H157" s="1" t="s">
        <v>128</v>
      </c>
    </row>
    <row r="158" spans="1:8" x14ac:dyDescent="0.35">
      <c r="A158" s="2">
        <v>45049.497916666667</v>
      </c>
      <c r="B158" s="3">
        <v>0.20315972222222223</v>
      </c>
      <c r="C158" s="1" t="s">
        <v>8</v>
      </c>
      <c r="D158" s="1" t="s">
        <v>9</v>
      </c>
      <c r="E158" s="1">
        <v>73.98</v>
      </c>
      <c r="F158" s="1">
        <v>3</v>
      </c>
      <c r="G158" s="1">
        <v>221.94</v>
      </c>
      <c r="H158" s="1" t="s">
        <v>148</v>
      </c>
    </row>
    <row r="159" spans="1:8" x14ac:dyDescent="0.35">
      <c r="A159" s="2">
        <v>45106.322916666664</v>
      </c>
      <c r="B159" s="3">
        <v>0.93989583333333337</v>
      </c>
      <c r="C159" s="1" t="s">
        <v>14</v>
      </c>
      <c r="D159" s="1" t="s">
        <v>16</v>
      </c>
      <c r="E159" s="1">
        <v>250.51</v>
      </c>
      <c r="F159" s="1">
        <v>3</v>
      </c>
      <c r="G159" s="1">
        <v>751.53</v>
      </c>
      <c r="H159" s="1" t="s">
        <v>119</v>
      </c>
    </row>
    <row r="160" spans="1:8" x14ac:dyDescent="0.35">
      <c r="A160" s="2">
        <v>45317.392361111109</v>
      </c>
      <c r="B160" s="3">
        <v>0.20953703703703705</v>
      </c>
      <c r="C160" s="1" t="s">
        <v>14</v>
      </c>
      <c r="D160" s="1" t="s">
        <v>20</v>
      </c>
      <c r="E160" s="1">
        <v>22.28</v>
      </c>
      <c r="F160" s="1">
        <v>2</v>
      </c>
      <c r="G160" s="1">
        <v>44.56</v>
      </c>
      <c r="H160" s="1" t="s">
        <v>149</v>
      </c>
    </row>
    <row r="161" spans="1:8" x14ac:dyDescent="0.35">
      <c r="A161" s="2">
        <v>45059.354861111111</v>
      </c>
      <c r="B161" s="3">
        <v>0.34987268518518522</v>
      </c>
      <c r="C161" s="1" t="s">
        <v>14</v>
      </c>
      <c r="D161" s="1" t="s">
        <v>9</v>
      </c>
      <c r="E161" s="1">
        <v>359.05</v>
      </c>
      <c r="F161" s="1">
        <v>2</v>
      </c>
      <c r="G161" s="1">
        <v>718.1</v>
      </c>
      <c r="H161" s="1" t="s">
        <v>150</v>
      </c>
    </row>
    <row r="162" spans="1:8" x14ac:dyDescent="0.35">
      <c r="A162" s="2">
        <v>45569.612500000003</v>
      </c>
      <c r="B162" s="3">
        <v>0.33667824074074071</v>
      </c>
      <c r="C162" s="1" t="s">
        <v>14</v>
      </c>
      <c r="D162" s="1" t="s">
        <v>16</v>
      </c>
      <c r="E162" s="1">
        <v>472.75</v>
      </c>
      <c r="F162" s="1">
        <v>5</v>
      </c>
      <c r="G162" s="1">
        <v>2363.75</v>
      </c>
      <c r="H162" s="1" t="s">
        <v>151</v>
      </c>
    </row>
    <row r="163" spans="1:8" x14ac:dyDescent="0.35">
      <c r="A163" s="2">
        <v>45424.509722222225</v>
      </c>
      <c r="B163" s="3">
        <v>0.34004629629629629</v>
      </c>
      <c r="C163" s="1" t="s">
        <v>14</v>
      </c>
      <c r="D163" s="1" t="s">
        <v>12</v>
      </c>
      <c r="E163" s="1">
        <v>287.52</v>
      </c>
      <c r="F163" s="1">
        <v>1</v>
      </c>
      <c r="G163" s="1">
        <v>287.52</v>
      </c>
      <c r="H163" s="1" t="s">
        <v>102</v>
      </c>
    </row>
    <row r="164" spans="1:8" x14ac:dyDescent="0.35">
      <c r="A164" s="2">
        <v>45598.081944444442</v>
      </c>
      <c r="B164" s="3">
        <v>0.92770833333333336</v>
      </c>
      <c r="C164" s="1" t="s">
        <v>8</v>
      </c>
      <c r="D164" s="1" t="s">
        <v>16</v>
      </c>
      <c r="E164" s="1">
        <v>318.08999999999997</v>
      </c>
      <c r="F164" s="1">
        <v>1</v>
      </c>
      <c r="G164" s="1">
        <v>318.08999999999997</v>
      </c>
      <c r="H164" s="1" t="s">
        <v>152</v>
      </c>
    </row>
    <row r="165" spans="1:8" x14ac:dyDescent="0.35">
      <c r="A165" s="2">
        <v>45596.354861111111</v>
      </c>
      <c r="B165" s="3">
        <v>0.73422453703703694</v>
      </c>
      <c r="C165" s="1" t="s">
        <v>14</v>
      </c>
      <c r="D165" s="1" t="s">
        <v>16</v>
      </c>
      <c r="E165" s="1">
        <v>142.24</v>
      </c>
      <c r="F165" s="1">
        <v>3</v>
      </c>
      <c r="G165" s="1">
        <v>426.72</v>
      </c>
      <c r="H165" s="1" t="s">
        <v>59</v>
      </c>
    </row>
    <row r="166" spans="1:8" x14ac:dyDescent="0.35">
      <c r="A166" s="2">
        <v>45431.515972222223</v>
      </c>
      <c r="B166" s="3">
        <v>0.15987268518518519</v>
      </c>
      <c r="C166" s="1" t="s">
        <v>14</v>
      </c>
      <c r="D166" s="1" t="s">
        <v>27</v>
      </c>
      <c r="E166" s="1">
        <v>405.4</v>
      </c>
      <c r="F166" s="1">
        <v>3</v>
      </c>
      <c r="G166" s="1">
        <v>1216.2</v>
      </c>
      <c r="H166" s="1" t="s">
        <v>146</v>
      </c>
    </row>
    <row r="167" spans="1:8" x14ac:dyDescent="0.35">
      <c r="A167" s="2">
        <v>45424.136805555558</v>
      </c>
      <c r="B167" s="3">
        <v>0.52958333333333341</v>
      </c>
      <c r="C167" s="1" t="s">
        <v>8</v>
      </c>
      <c r="D167" s="1" t="s">
        <v>16</v>
      </c>
      <c r="E167" s="1">
        <v>368.51</v>
      </c>
      <c r="F167" s="1">
        <v>4</v>
      </c>
      <c r="G167" s="1">
        <v>1474.04</v>
      </c>
      <c r="H167" s="1" t="s">
        <v>153</v>
      </c>
    </row>
    <row r="168" spans="1:8" x14ac:dyDescent="0.35">
      <c r="A168" s="2">
        <v>44948.404166666667</v>
      </c>
      <c r="B168" s="3">
        <v>8.89699074074074E-2</v>
      </c>
      <c r="C168" s="1" t="s">
        <v>11</v>
      </c>
      <c r="D168" s="1" t="s">
        <v>20</v>
      </c>
      <c r="E168" s="1">
        <v>363.47</v>
      </c>
      <c r="F168" s="1">
        <v>4</v>
      </c>
      <c r="G168" s="1">
        <v>1453.88</v>
      </c>
      <c r="H168" s="1" t="s">
        <v>68</v>
      </c>
    </row>
    <row r="169" spans="1:8" x14ac:dyDescent="0.35">
      <c r="A169" s="2">
        <v>45458.397916666669</v>
      </c>
      <c r="B169" s="3">
        <v>0.75667824074074075</v>
      </c>
      <c r="C169" s="1" t="s">
        <v>14</v>
      </c>
      <c r="D169" s="1" t="s">
        <v>20</v>
      </c>
      <c r="E169" s="1">
        <v>201.39</v>
      </c>
      <c r="F169" s="1">
        <v>1</v>
      </c>
      <c r="G169" s="1">
        <v>201.39</v>
      </c>
      <c r="H169" s="1" t="s">
        <v>26</v>
      </c>
    </row>
    <row r="170" spans="1:8" x14ac:dyDescent="0.35">
      <c r="A170" s="2">
        <v>45421.247916666667</v>
      </c>
      <c r="B170" s="3">
        <v>0.49197916666666663</v>
      </c>
      <c r="C170" s="1" t="s">
        <v>11</v>
      </c>
      <c r="D170" s="1" t="s">
        <v>16</v>
      </c>
      <c r="E170" s="1">
        <v>107.88</v>
      </c>
      <c r="F170" s="1">
        <v>4</v>
      </c>
      <c r="G170" s="1">
        <v>431.52</v>
      </c>
      <c r="H170" s="1" t="s">
        <v>33</v>
      </c>
    </row>
    <row r="171" spans="1:8" x14ac:dyDescent="0.35">
      <c r="A171" s="2">
        <v>45428.493055555555</v>
      </c>
      <c r="B171" s="3">
        <v>5.3981481481481484E-2</v>
      </c>
      <c r="C171" s="1" t="s">
        <v>11</v>
      </c>
      <c r="D171" s="1" t="s">
        <v>12</v>
      </c>
      <c r="E171" s="1">
        <v>293.06</v>
      </c>
      <c r="F171" s="1">
        <v>1</v>
      </c>
      <c r="G171" s="1">
        <v>293.06</v>
      </c>
      <c r="H171" s="1" t="s">
        <v>154</v>
      </c>
    </row>
    <row r="172" spans="1:8" x14ac:dyDescent="0.35">
      <c r="A172" s="2">
        <v>45264.654166666667</v>
      </c>
      <c r="B172" s="3">
        <v>3.2534722222222222E-2</v>
      </c>
      <c r="C172" s="1" t="s">
        <v>14</v>
      </c>
      <c r="D172" s="1" t="s">
        <v>16</v>
      </c>
      <c r="E172" s="1">
        <v>304.49</v>
      </c>
      <c r="F172" s="1">
        <v>2</v>
      </c>
      <c r="G172" s="1">
        <v>608.98</v>
      </c>
      <c r="H172" s="1" t="s">
        <v>155</v>
      </c>
    </row>
    <row r="173" spans="1:8" x14ac:dyDescent="0.35">
      <c r="A173" s="2">
        <v>45051.547222222223</v>
      </c>
      <c r="B173" s="3">
        <v>0.68884259259259262</v>
      </c>
      <c r="C173" s="1" t="s">
        <v>14</v>
      </c>
      <c r="D173" s="1" t="s">
        <v>9</v>
      </c>
      <c r="E173" s="1">
        <v>21.21</v>
      </c>
      <c r="F173" s="1">
        <v>4</v>
      </c>
      <c r="G173" s="1">
        <v>84.84</v>
      </c>
      <c r="H173" s="1" t="s">
        <v>156</v>
      </c>
    </row>
    <row r="174" spans="1:8" x14ac:dyDescent="0.35">
      <c r="A174" s="2">
        <v>45628.134722222225</v>
      </c>
      <c r="B174" s="3">
        <v>0.38231481481481483</v>
      </c>
      <c r="C174" s="1" t="s">
        <v>11</v>
      </c>
      <c r="D174" s="1" t="s">
        <v>9</v>
      </c>
      <c r="E174" s="1">
        <v>474.87</v>
      </c>
      <c r="F174" s="1">
        <v>1</v>
      </c>
      <c r="G174" s="1">
        <v>474.87</v>
      </c>
      <c r="H174" s="1" t="s">
        <v>53</v>
      </c>
    </row>
    <row r="175" spans="1:8" x14ac:dyDescent="0.35">
      <c r="A175" s="2">
        <v>45397.177777777775</v>
      </c>
      <c r="B175" s="3">
        <v>0.54240740740740734</v>
      </c>
      <c r="C175" s="1" t="s">
        <v>11</v>
      </c>
      <c r="D175" s="1" t="s">
        <v>16</v>
      </c>
      <c r="E175" s="1">
        <v>342.39</v>
      </c>
      <c r="F175" s="1">
        <v>1</v>
      </c>
      <c r="G175" s="1">
        <v>342.39</v>
      </c>
      <c r="H175" s="1" t="s">
        <v>157</v>
      </c>
    </row>
    <row r="176" spans="1:8" x14ac:dyDescent="0.35">
      <c r="A176" s="2">
        <v>45623.595833333333</v>
      </c>
      <c r="B176" s="3">
        <v>0.73454861111111114</v>
      </c>
      <c r="C176" s="1" t="s">
        <v>11</v>
      </c>
      <c r="D176" s="1" t="s">
        <v>9</v>
      </c>
      <c r="E176" s="1">
        <v>55.09</v>
      </c>
      <c r="F176" s="1">
        <v>3</v>
      </c>
      <c r="G176" s="1">
        <v>165.27</v>
      </c>
      <c r="H176" s="1" t="s">
        <v>35</v>
      </c>
    </row>
    <row r="177" spans="1:8" x14ac:dyDescent="0.35">
      <c r="A177" s="2">
        <v>45358.566666666666</v>
      </c>
      <c r="B177" s="3">
        <v>0.19979166666666667</v>
      </c>
      <c r="C177" s="1" t="s">
        <v>8</v>
      </c>
      <c r="D177" s="1" t="s">
        <v>16</v>
      </c>
      <c r="E177" s="1">
        <v>319.10000000000002</v>
      </c>
      <c r="F177" s="1">
        <v>1</v>
      </c>
      <c r="G177" s="1">
        <v>319.10000000000002</v>
      </c>
      <c r="H177" s="1" t="s">
        <v>158</v>
      </c>
    </row>
    <row r="178" spans="1:8" x14ac:dyDescent="0.35">
      <c r="A178" s="2">
        <v>45188.899305555555</v>
      </c>
      <c r="B178" s="3">
        <v>0.74991898148148151</v>
      </c>
      <c r="C178" s="1" t="s">
        <v>11</v>
      </c>
      <c r="D178" s="1" t="s">
        <v>16</v>
      </c>
      <c r="E178" s="1">
        <v>316.13</v>
      </c>
      <c r="F178" s="1">
        <v>2</v>
      </c>
      <c r="G178" s="1">
        <v>632.26</v>
      </c>
      <c r="H178" s="1" t="s">
        <v>74</v>
      </c>
    </row>
    <row r="179" spans="1:8" x14ac:dyDescent="0.35">
      <c r="A179" s="2">
        <v>45363.277083333334</v>
      </c>
      <c r="B179" s="3">
        <v>0.70137731481481491</v>
      </c>
      <c r="C179" s="1" t="s">
        <v>11</v>
      </c>
      <c r="D179" s="1" t="s">
        <v>27</v>
      </c>
      <c r="E179" s="1">
        <v>240.78</v>
      </c>
      <c r="F179" s="1">
        <v>3</v>
      </c>
      <c r="G179" s="1">
        <v>722.34</v>
      </c>
      <c r="H179" s="1" t="s">
        <v>159</v>
      </c>
    </row>
    <row r="180" spans="1:8" x14ac:dyDescent="0.35">
      <c r="A180" s="2">
        <v>45106.854861111111</v>
      </c>
      <c r="B180" s="3">
        <v>0.85886574074074085</v>
      </c>
      <c r="C180" s="1" t="s">
        <v>8</v>
      </c>
      <c r="D180" s="1" t="s">
        <v>27</v>
      </c>
      <c r="E180" s="1">
        <v>425.35</v>
      </c>
      <c r="F180" s="1">
        <v>5</v>
      </c>
      <c r="G180" s="1">
        <v>2126.75</v>
      </c>
      <c r="H180" s="1" t="s">
        <v>160</v>
      </c>
    </row>
    <row r="181" spans="1:8" x14ac:dyDescent="0.35">
      <c r="A181" s="2">
        <v>45149.536805555559</v>
      </c>
      <c r="B181" s="3">
        <v>0.45023148148148145</v>
      </c>
      <c r="C181" s="1" t="s">
        <v>14</v>
      </c>
      <c r="D181" s="1" t="s">
        <v>9</v>
      </c>
      <c r="E181" s="1">
        <v>399.28</v>
      </c>
      <c r="F181" s="1">
        <v>2</v>
      </c>
      <c r="G181" s="1">
        <v>798.56</v>
      </c>
      <c r="H181" s="1" t="s">
        <v>65</v>
      </c>
    </row>
    <row r="182" spans="1:8" x14ac:dyDescent="0.35">
      <c r="A182" s="2">
        <v>45215.185416666667</v>
      </c>
      <c r="B182" s="3">
        <v>0.11320601851851853</v>
      </c>
      <c r="C182" s="1" t="s">
        <v>14</v>
      </c>
      <c r="D182" s="1" t="s">
        <v>12</v>
      </c>
      <c r="E182" s="1">
        <v>398.79</v>
      </c>
      <c r="F182" s="1">
        <v>3</v>
      </c>
      <c r="G182" s="1">
        <v>1196.3699999999999</v>
      </c>
      <c r="H182" s="1" t="s">
        <v>144</v>
      </c>
    </row>
    <row r="183" spans="1:8" x14ac:dyDescent="0.35">
      <c r="A183" s="2">
        <v>45546.597222222219</v>
      </c>
      <c r="B183" s="3">
        <v>0.13299768518518518</v>
      </c>
      <c r="C183" s="1" t="s">
        <v>11</v>
      </c>
      <c r="D183" s="1" t="s">
        <v>27</v>
      </c>
      <c r="E183" s="1">
        <v>172.7</v>
      </c>
      <c r="F183" s="1">
        <v>2</v>
      </c>
      <c r="G183" s="1">
        <v>345.4</v>
      </c>
      <c r="H183" s="1" t="s">
        <v>119</v>
      </c>
    </row>
    <row r="184" spans="1:8" x14ac:dyDescent="0.35">
      <c r="A184" s="2">
        <v>45177.509722222225</v>
      </c>
      <c r="B184" s="3">
        <v>0.53538194444444442</v>
      </c>
      <c r="C184" s="1" t="s">
        <v>8</v>
      </c>
      <c r="D184" s="1" t="s">
        <v>20</v>
      </c>
      <c r="E184" s="1">
        <v>385.69</v>
      </c>
      <c r="F184" s="1">
        <v>4</v>
      </c>
      <c r="G184" s="1">
        <v>1542.76</v>
      </c>
      <c r="H184" s="1" t="s">
        <v>161</v>
      </c>
    </row>
    <row r="185" spans="1:8" x14ac:dyDescent="0.35">
      <c r="A185" s="2">
        <v>45275.079861111109</v>
      </c>
      <c r="B185" s="3">
        <v>0.9682291666666667</v>
      </c>
      <c r="C185" s="1" t="s">
        <v>11</v>
      </c>
      <c r="D185" s="1" t="s">
        <v>16</v>
      </c>
      <c r="E185" s="1">
        <v>48.3</v>
      </c>
      <c r="F185" s="1">
        <v>2</v>
      </c>
      <c r="G185" s="1">
        <v>96.6</v>
      </c>
      <c r="H185" s="1" t="s">
        <v>162</v>
      </c>
    </row>
    <row r="186" spans="1:8" x14ac:dyDescent="0.35">
      <c r="A186" s="2">
        <v>45161.219444444447</v>
      </c>
      <c r="B186" s="3">
        <v>0.67417824074074073</v>
      </c>
      <c r="C186" s="1" t="s">
        <v>14</v>
      </c>
      <c r="D186" s="1" t="s">
        <v>12</v>
      </c>
      <c r="E186" s="1">
        <v>79.95</v>
      </c>
      <c r="F186" s="1">
        <v>4</v>
      </c>
      <c r="G186" s="1">
        <v>319.8</v>
      </c>
      <c r="H186" s="1" t="s">
        <v>163</v>
      </c>
    </row>
    <row r="187" spans="1:8" x14ac:dyDescent="0.35">
      <c r="A187" s="2">
        <v>45077.722916666666</v>
      </c>
      <c r="B187" s="3">
        <v>0.64077546296296295</v>
      </c>
      <c r="C187" s="1" t="s">
        <v>8</v>
      </c>
      <c r="D187" s="1" t="s">
        <v>12</v>
      </c>
      <c r="E187" s="1">
        <v>433.1</v>
      </c>
      <c r="F187" s="1">
        <v>3</v>
      </c>
      <c r="G187" s="1">
        <v>1299.3</v>
      </c>
      <c r="H187" s="1" t="s">
        <v>62</v>
      </c>
    </row>
    <row r="188" spans="1:8" x14ac:dyDescent="0.35">
      <c r="A188" s="2">
        <v>45366.706250000003</v>
      </c>
      <c r="B188" s="3">
        <v>0.30569444444444444</v>
      </c>
      <c r="C188" s="1" t="s">
        <v>8</v>
      </c>
      <c r="D188" s="1" t="s">
        <v>16</v>
      </c>
      <c r="E188" s="1">
        <v>468.67</v>
      </c>
      <c r="F188" s="1">
        <v>3</v>
      </c>
      <c r="G188" s="1">
        <v>1406.01</v>
      </c>
      <c r="H188" s="1" t="s">
        <v>164</v>
      </c>
    </row>
    <row r="189" spans="1:8" x14ac:dyDescent="0.35">
      <c r="A189" s="2">
        <v>45506.213194444441</v>
      </c>
      <c r="B189" s="3">
        <v>0.10238425925925926</v>
      </c>
      <c r="C189" s="1" t="s">
        <v>11</v>
      </c>
      <c r="D189" s="1" t="s">
        <v>12</v>
      </c>
      <c r="E189" s="1">
        <v>268.26</v>
      </c>
      <c r="F189" s="1">
        <v>2</v>
      </c>
      <c r="G189" s="1">
        <v>536.52</v>
      </c>
      <c r="H189" s="1" t="s">
        <v>165</v>
      </c>
    </row>
    <row r="190" spans="1:8" x14ac:dyDescent="0.35">
      <c r="A190" s="2">
        <v>45071.474305555559</v>
      </c>
      <c r="B190" s="3">
        <v>0.11670138888888888</v>
      </c>
      <c r="C190" s="1" t="s">
        <v>8</v>
      </c>
      <c r="D190" s="1" t="s">
        <v>20</v>
      </c>
      <c r="E190" s="1">
        <v>161.13</v>
      </c>
      <c r="F190" s="1">
        <v>4</v>
      </c>
      <c r="G190" s="1">
        <v>644.52</v>
      </c>
      <c r="H190" s="1" t="s">
        <v>166</v>
      </c>
    </row>
    <row r="191" spans="1:8" x14ac:dyDescent="0.35">
      <c r="A191" s="2">
        <v>45334.62222222222</v>
      </c>
      <c r="B191" s="3">
        <v>0.61175925925925922</v>
      </c>
      <c r="C191" s="1" t="s">
        <v>11</v>
      </c>
      <c r="D191" s="1" t="s">
        <v>27</v>
      </c>
      <c r="E191" s="1">
        <v>86.59</v>
      </c>
      <c r="F191" s="1">
        <v>5</v>
      </c>
      <c r="G191" s="1">
        <v>432.95</v>
      </c>
      <c r="H191" s="1" t="s">
        <v>82</v>
      </c>
    </row>
    <row r="192" spans="1:8" x14ac:dyDescent="0.35">
      <c r="A192" s="2">
        <v>45591.609027777777</v>
      </c>
      <c r="B192" s="3">
        <v>0.96402777777777782</v>
      </c>
      <c r="C192" s="1" t="s">
        <v>8</v>
      </c>
      <c r="D192" s="1" t="s">
        <v>12</v>
      </c>
      <c r="E192" s="1">
        <v>117.16</v>
      </c>
      <c r="F192" s="1">
        <v>5</v>
      </c>
      <c r="G192" s="1">
        <v>585.79999999999995</v>
      </c>
      <c r="H192" s="1" t="s">
        <v>79</v>
      </c>
    </row>
    <row r="193" spans="1:8" x14ac:dyDescent="0.35">
      <c r="A193" s="2">
        <v>45548.283333333333</v>
      </c>
      <c r="B193" s="3">
        <v>0.99402777777777773</v>
      </c>
      <c r="C193" s="1" t="s">
        <v>14</v>
      </c>
      <c r="D193" s="1" t="s">
        <v>9</v>
      </c>
      <c r="E193" s="1">
        <v>37.42</v>
      </c>
      <c r="F193" s="1">
        <v>3</v>
      </c>
      <c r="G193" s="1">
        <v>112.26</v>
      </c>
      <c r="H193" s="1" t="s">
        <v>167</v>
      </c>
    </row>
    <row r="194" spans="1:8" x14ac:dyDescent="0.35">
      <c r="A194" s="2">
        <v>44951.790277777778</v>
      </c>
      <c r="B194" s="3">
        <v>0.19527777777777777</v>
      </c>
      <c r="C194" s="1" t="s">
        <v>11</v>
      </c>
      <c r="D194" s="1" t="s">
        <v>9</v>
      </c>
      <c r="E194" s="1">
        <v>57.31</v>
      </c>
      <c r="F194" s="1">
        <v>3</v>
      </c>
      <c r="G194" s="1">
        <v>171.93</v>
      </c>
      <c r="H194" s="1" t="s">
        <v>168</v>
      </c>
    </row>
    <row r="195" spans="1:8" x14ac:dyDescent="0.35">
      <c r="A195" s="2">
        <v>45008.412499999999</v>
      </c>
      <c r="B195" s="3">
        <v>4.341435185185185E-2</v>
      </c>
      <c r="C195" s="1" t="s">
        <v>14</v>
      </c>
      <c r="D195" s="1" t="s">
        <v>12</v>
      </c>
      <c r="E195" s="1">
        <v>179.06</v>
      </c>
      <c r="F195" s="1">
        <v>3</v>
      </c>
      <c r="G195" s="1">
        <v>537.17999999999995</v>
      </c>
      <c r="H195" s="1" t="s">
        <v>169</v>
      </c>
    </row>
    <row r="196" spans="1:8" x14ac:dyDescent="0.35">
      <c r="A196" s="2">
        <v>45147.165277777778</v>
      </c>
      <c r="B196" s="3">
        <v>0.450625</v>
      </c>
      <c r="C196" s="1" t="s">
        <v>11</v>
      </c>
      <c r="D196" s="1" t="s">
        <v>9</v>
      </c>
      <c r="E196" s="1">
        <v>249.56</v>
      </c>
      <c r="F196" s="1">
        <v>1</v>
      </c>
      <c r="G196" s="1">
        <v>249.56</v>
      </c>
      <c r="H196" s="1" t="s">
        <v>129</v>
      </c>
    </row>
    <row r="197" spans="1:8" x14ac:dyDescent="0.35">
      <c r="A197" s="2">
        <v>45230.904861111114</v>
      </c>
      <c r="B197" s="3">
        <v>0.64236111111111105</v>
      </c>
      <c r="C197" s="1" t="s">
        <v>11</v>
      </c>
      <c r="D197" s="1" t="s">
        <v>16</v>
      </c>
      <c r="E197" s="1">
        <v>270.25</v>
      </c>
      <c r="F197" s="1">
        <v>3</v>
      </c>
      <c r="G197" s="1">
        <v>810.75</v>
      </c>
      <c r="H197" s="1" t="s">
        <v>15</v>
      </c>
    </row>
    <row r="198" spans="1:8" x14ac:dyDescent="0.35">
      <c r="A198" s="2">
        <v>45600.306944444441</v>
      </c>
      <c r="B198" s="3">
        <v>0.66013888888888894</v>
      </c>
      <c r="C198" s="1" t="s">
        <v>11</v>
      </c>
      <c r="D198" s="1" t="s">
        <v>16</v>
      </c>
      <c r="E198" s="1">
        <v>251.37</v>
      </c>
      <c r="F198" s="1">
        <v>3</v>
      </c>
      <c r="G198" s="1">
        <v>754.11</v>
      </c>
      <c r="H198" s="1" t="s">
        <v>170</v>
      </c>
    </row>
    <row r="199" spans="1:8" x14ac:dyDescent="0.35">
      <c r="A199" s="2">
        <v>45204.293055555558</v>
      </c>
      <c r="B199" s="3">
        <v>0.80237268518518512</v>
      </c>
      <c r="C199" s="1" t="s">
        <v>14</v>
      </c>
      <c r="D199" s="1" t="s">
        <v>27</v>
      </c>
      <c r="E199" s="1">
        <v>358.78</v>
      </c>
      <c r="F199" s="1">
        <v>3</v>
      </c>
      <c r="G199" s="1">
        <v>1076.3399999999999</v>
      </c>
      <c r="H199" s="1" t="s">
        <v>22</v>
      </c>
    </row>
    <row r="200" spans="1:8" x14ac:dyDescent="0.35">
      <c r="A200" s="2">
        <v>45107.519444444442</v>
      </c>
      <c r="B200" s="3">
        <v>0.76354166666666667</v>
      </c>
      <c r="C200" s="1" t="s">
        <v>8</v>
      </c>
      <c r="D200" s="1" t="s">
        <v>27</v>
      </c>
      <c r="E200" s="1">
        <v>496.1</v>
      </c>
      <c r="F200" s="1">
        <v>2</v>
      </c>
      <c r="G200" s="1">
        <v>992.2</v>
      </c>
      <c r="H200" s="1" t="s">
        <v>171</v>
      </c>
    </row>
    <row r="201" spans="1:8" x14ac:dyDescent="0.35">
      <c r="A201" s="2">
        <v>45442.777083333334</v>
      </c>
      <c r="B201" s="3">
        <v>0.27715277777777775</v>
      </c>
      <c r="C201" s="1" t="s">
        <v>14</v>
      </c>
      <c r="D201" s="1" t="s">
        <v>9</v>
      </c>
      <c r="E201" s="1">
        <v>385.74</v>
      </c>
      <c r="F201" s="1">
        <v>2</v>
      </c>
      <c r="G201" s="1">
        <v>771.48</v>
      </c>
      <c r="H201" s="1" t="s">
        <v>172</v>
      </c>
    </row>
    <row r="202" spans="1:8" x14ac:dyDescent="0.35">
      <c r="A202" s="2">
        <v>45631.774305555555</v>
      </c>
      <c r="B202" s="3">
        <v>0.67724537037037036</v>
      </c>
      <c r="C202" s="1" t="s">
        <v>8</v>
      </c>
      <c r="D202" s="1" t="s">
        <v>9</v>
      </c>
      <c r="E202" s="1">
        <v>95.96</v>
      </c>
      <c r="F202" s="1">
        <v>4</v>
      </c>
      <c r="G202" s="1">
        <v>383.84</v>
      </c>
      <c r="H202" s="1" t="s">
        <v>173</v>
      </c>
    </row>
    <row r="203" spans="1:8" x14ac:dyDescent="0.35">
      <c r="A203" s="2">
        <v>45335.023611111108</v>
      </c>
      <c r="B203" s="3">
        <v>0.73761574074074077</v>
      </c>
      <c r="C203" s="1" t="s">
        <v>11</v>
      </c>
      <c r="D203" s="1" t="s">
        <v>12</v>
      </c>
      <c r="E203" s="1">
        <v>494.54</v>
      </c>
      <c r="F203" s="1">
        <v>3</v>
      </c>
      <c r="G203" s="1">
        <v>1483.62</v>
      </c>
      <c r="H203" s="1" t="s">
        <v>151</v>
      </c>
    </row>
    <row r="204" spans="1:8" x14ac:dyDescent="0.35">
      <c r="A204" s="2">
        <v>45012.527777777781</v>
      </c>
      <c r="B204" s="3">
        <v>0.73184027777777771</v>
      </c>
      <c r="C204" s="1" t="s">
        <v>11</v>
      </c>
      <c r="D204" s="1" t="s">
        <v>20</v>
      </c>
      <c r="E204" s="1">
        <v>125.53</v>
      </c>
      <c r="F204" s="1">
        <v>1</v>
      </c>
      <c r="G204" s="1">
        <v>125.53</v>
      </c>
      <c r="H204" s="1" t="s">
        <v>115</v>
      </c>
    </row>
    <row r="205" spans="1:8" x14ac:dyDescent="0.35">
      <c r="A205" s="2">
        <v>45480.80972222222</v>
      </c>
      <c r="B205" s="3">
        <v>0.72333333333333327</v>
      </c>
      <c r="C205" s="1" t="s">
        <v>14</v>
      </c>
      <c r="D205" s="1" t="s">
        <v>27</v>
      </c>
      <c r="E205" s="1">
        <v>28.56</v>
      </c>
      <c r="F205" s="1">
        <v>5</v>
      </c>
      <c r="G205" s="1">
        <v>142.80000000000001</v>
      </c>
      <c r="H205" s="1" t="s">
        <v>174</v>
      </c>
    </row>
    <row r="206" spans="1:8" x14ac:dyDescent="0.35">
      <c r="A206" s="2">
        <v>45598.097222222219</v>
      </c>
      <c r="B206" s="3">
        <v>4.6643518518518518E-3</v>
      </c>
      <c r="C206" s="1" t="s">
        <v>11</v>
      </c>
      <c r="D206" s="1" t="s">
        <v>20</v>
      </c>
      <c r="E206" s="1">
        <v>277.41000000000003</v>
      </c>
      <c r="F206" s="1">
        <v>1</v>
      </c>
      <c r="G206" s="1">
        <v>277.41000000000003</v>
      </c>
      <c r="H206" s="1" t="s">
        <v>59</v>
      </c>
    </row>
    <row r="207" spans="1:8" x14ac:dyDescent="0.35">
      <c r="A207" s="2">
        <v>45576.504861111112</v>
      </c>
      <c r="B207" s="3">
        <v>0.61653935185185182</v>
      </c>
      <c r="C207" s="1" t="s">
        <v>8</v>
      </c>
      <c r="D207" s="1" t="s">
        <v>16</v>
      </c>
      <c r="E207" s="1">
        <v>33.04</v>
      </c>
      <c r="F207" s="1">
        <v>1</v>
      </c>
      <c r="G207" s="1">
        <v>33.04</v>
      </c>
      <c r="H207" s="1" t="s">
        <v>30</v>
      </c>
    </row>
    <row r="208" spans="1:8" x14ac:dyDescent="0.35">
      <c r="A208" s="2">
        <v>45160.189583333333</v>
      </c>
      <c r="B208" s="3">
        <v>0.81202546296296296</v>
      </c>
      <c r="C208" s="1" t="s">
        <v>8</v>
      </c>
      <c r="D208" s="1" t="s">
        <v>16</v>
      </c>
      <c r="E208" s="1">
        <v>85.73</v>
      </c>
      <c r="F208" s="1">
        <v>4</v>
      </c>
      <c r="G208" s="1">
        <v>342.92</v>
      </c>
      <c r="H208" s="1" t="s">
        <v>90</v>
      </c>
    </row>
    <row r="209" spans="1:8" x14ac:dyDescent="0.35">
      <c r="A209" s="2">
        <v>45165.354861111111</v>
      </c>
      <c r="B209" s="3">
        <v>0.24319444444444446</v>
      </c>
      <c r="C209" s="1" t="s">
        <v>14</v>
      </c>
      <c r="D209" s="1" t="s">
        <v>9</v>
      </c>
      <c r="E209" s="1">
        <v>364.29</v>
      </c>
      <c r="F209" s="1">
        <v>5</v>
      </c>
      <c r="G209" s="1">
        <v>1821.45</v>
      </c>
      <c r="H209" s="1" t="s">
        <v>175</v>
      </c>
    </row>
    <row r="210" spans="1:8" x14ac:dyDescent="0.35">
      <c r="A210" s="2">
        <v>45165.98333333333</v>
      </c>
      <c r="B210" s="3">
        <v>0.81596064814814817</v>
      </c>
      <c r="C210" s="1" t="s">
        <v>8</v>
      </c>
      <c r="D210" s="1" t="s">
        <v>20</v>
      </c>
      <c r="E210" s="1">
        <v>330.96</v>
      </c>
      <c r="F210" s="1">
        <v>3</v>
      </c>
      <c r="G210" s="1">
        <v>992.88</v>
      </c>
      <c r="H210" s="1" t="s">
        <v>176</v>
      </c>
    </row>
    <row r="211" spans="1:8" x14ac:dyDescent="0.35">
      <c r="A211" s="2">
        <v>45031.036111111112</v>
      </c>
      <c r="B211" s="3">
        <v>0.58196759259259256</v>
      </c>
      <c r="C211" s="1" t="s">
        <v>14</v>
      </c>
      <c r="D211" s="1" t="s">
        <v>27</v>
      </c>
      <c r="E211" s="1">
        <v>200.85</v>
      </c>
      <c r="F211" s="1">
        <v>4</v>
      </c>
      <c r="G211" s="1">
        <v>803.4</v>
      </c>
      <c r="H211" s="1" t="s">
        <v>122</v>
      </c>
    </row>
    <row r="212" spans="1:8" x14ac:dyDescent="0.35">
      <c r="A212" s="2">
        <v>45491.651388888888</v>
      </c>
      <c r="B212" s="3">
        <v>0.89038194444444441</v>
      </c>
      <c r="C212" s="1" t="s">
        <v>8</v>
      </c>
      <c r="D212" s="1" t="s">
        <v>9</v>
      </c>
      <c r="E212" s="1">
        <v>416.52</v>
      </c>
      <c r="F212" s="1">
        <v>5</v>
      </c>
      <c r="G212" s="1">
        <v>2082.6</v>
      </c>
      <c r="H212" s="1" t="s">
        <v>177</v>
      </c>
    </row>
    <row r="213" spans="1:8" x14ac:dyDescent="0.35">
      <c r="A213" s="2">
        <v>45273.980555555558</v>
      </c>
      <c r="B213" s="3">
        <v>0.8294097222222222</v>
      </c>
      <c r="C213" s="1" t="s">
        <v>11</v>
      </c>
      <c r="D213" s="1" t="s">
        <v>16</v>
      </c>
      <c r="E213" s="1">
        <v>59.29</v>
      </c>
      <c r="F213" s="1">
        <v>1</v>
      </c>
      <c r="G213" s="1">
        <v>59.29</v>
      </c>
      <c r="H213" s="1" t="s">
        <v>178</v>
      </c>
    </row>
    <row r="214" spans="1:8" x14ac:dyDescent="0.35">
      <c r="A214" s="2">
        <v>44960.006249999999</v>
      </c>
      <c r="B214" s="3">
        <v>0.73696759259259259</v>
      </c>
      <c r="C214" s="1" t="s">
        <v>8</v>
      </c>
      <c r="D214" s="1" t="s">
        <v>9</v>
      </c>
      <c r="E214" s="1">
        <v>495.12</v>
      </c>
      <c r="F214" s="1">
        <v>2</v>
      </c>
      <c r="G214" s="1">
        <v>990.24</v>
      </c>
      <c r="H214" s="1" t="s">
        <v>100</v>
      </c>
    </row>
    <row r="215" spans="1:8" x14ac:dyDescent="0.35">
      <c r="A215" s="2">
        <v>45325.862500000003</v>
      </c>
      <c r="B215" s="3">
        <v>0.67521990740740734</v>
      </c>
      <c r="C215" s="1" t="s">
        <v>8</v>
      </c>
      <c r="D215" s="1" t="s">
        <v>12</v>
      </c>
      <c r="E215" s="1">
        <v>51.13</v>
      </c>
      <c r="F215" s="1">
        <v>3</v>
      </c>
      <c r="G215" s="1">
        <v>153.38999999999999</v>
      </c>
      <c r="H215" s="1" t="s">
        <v>63</v>
      </c>
    </row>
    <row r="216" spans="1:8" x14ac:dyDescent="0.35">
      <c r="A216" s="2">
        <v>45544.740972222222</v>
      </c>
      <c r="B216" s="3">
        <v>0.37106481481481479</v>
      </c>
      <c r="C216" s="1" t="s">
        <v>8</v>
      </c>
      <c r="D216" s="1" t="s">
        <v>9</v>
      </c>
      <c r="E216" s="1">
        <v>31.33</v>
      </c>
      <c r="F216" s="1">
        <v>1</v>
      </c>
      <c r="G216" s="1">
        <v>31.33</v>
      </c>
      <c r="H216" s="1" t="s">
        <v>179</v>
      </c>
    </row>
    <row r="217" spans="1:8" x14ac:dyDescent="0.35">
      <c r="A217" s="2">
        <v>45194.364583333336</v>
      </c>
      <c r="B217" s="3">
        <v>0.25868055555555552</v>
      </c>
      <c r="C217" s="1" t="s">
        <v>8</v>
      </c>
      <c r="D217" s="1" t="s">
        <v>20</v>
      </c>
      <c r="E217" s="1">
        <v>480.3</v>
      </c>
      <c r="F217" s="1">
        <v>3</v>
      </c>
      <c r="G217" s="1">
        <v>1440.9</v>
      </c>
      <c r="H217" s="1" t="s">
        <v>180</v>
      </c>
    </row>
    <row r="218" spans="1:8" x14ac:dyDescent="0.35">
      <c r="A218" s="2">
        <v>45048.756249999999</v>
      </c>
      <c r="B218" s="3">
        <v>0.13173611111111111</v>
      </c>
      <c r="C218" s="1" t="s">
        <v>11</v>
      </c>
      <c r="D218" s="1" t="s">
        <v>12</v>
      </c>
      <c r="E218" s="1">
        <v>269.56</v>
      </c>
      <c r="F218" s="1">
        <v>4</v>
      </c>
      <c r="G218" s="1">
        <v>1078.24</v>
      </c>
      <c r="H218" s="1" t="s">
        <v>181</v>
      </c>
    </row>
    <row r="219" spans="1:8" x14ac:dyDescent="0.35">
      <c r="A219" s="2">
        <v>45204.272222222222</v>
      </c>
      <c r="B219" s="3">
        <v>0.12128472222222221</v>
      </c>
      <c r="C219" s="1" t="s">
        <v>11</v>
      </c>
      <c r="D219" s="1" t="s">
        <v>27</v>
      </c>
      <c r="E219" s="1">
        <v>425</v>
      </c>
      <c r="F219" s="1">
        <v>1</v>
      </c>
      <c r="G219" s="1">
        <v>425</v>
      </c>
      <c r="H219" s="1" t="s">
        <v>182</v>
      </c>
    </row>
    <row r="220" spans="1:8" x14ac:dyDescent="0.35">
      <c r="A220" s="2">
        <v>45413.148611111108</v>
      </c>
      <c r="B220" s="3">
        <v>0.28972222222222221</v>
      </c>
      <c r="C220" s="1" t="s">
        <v>8</v>
      </c>
      <c r="D220" s="1" t="s">
        <v>20</v>
      </c>
      <c r="E220" s="1">
        <v>374.61</v>
      </c>
      <c r="F220" s="1">
        <v>1</v>
      </c>
      <c r="G220" s="1">
        <v>374.61</v>
      </c>
      <c r="H220" s="1" t="s">
        <v>79</v>
      </c>
    </row>
    <row r="221" spans="1:8" x14ac:dyDescent="0.35">
      <c r="A221" s="2">
        <v>44965.622916666667</v>
      </c>
      <c r="B221" s="3">
        <v>0.69049768518518517</v>
      </c>
      <c r="C221" s="1" t="s">
        <v>14</v>
      </c>
      <c r="D221" s="1" t="s">
        <v>20</v>
      </c>
      <c r="E221" s="1">
        <v>349.96</v>
      </c>
      <c r="F221" s="1">
        <v>5</v>
      </c>
      <c r="G221" s="1">
        <v>1749.8</v>
      </c>
      <c r="H221" s="1" t="s">
        <v>183</v>
      </c>
    </row>
    <row r="222" spans="1:8" x14ac:dyDescent="0.35">
      <c r="A222" s="2">
        <v>45003.611805555556</v>
      </c>
      <c r="B222" s="3">
        <v>0.90315972222222218</v>
      </c>
      <c r="C222" s="1" t="s">
        <v>8</v>
      </c>
      <c r="D222" s="1" t="s">
        <v>12</v>
      </c>
      <c r="E222" s="1">
        <v>73.53</v>
      </c>
      <c r="F222" s="1">
        <v>2</v>
      </c>
      <c r="G222" s="1">
        <v>147.06</v>
      </c>
      <c r="H222" s="1" t="s">
        <v>64</v>
      </c>
    </row>
    <row r="223" spans="1:8" x14ac:dyDescent="0.35">
      <c r="A223" s="2">
        <v>44973.90902777778</v>
      </c>
      <c r="B223" s="3">
        <v>0.1625810185185185</v>
      </c>
      <c r="C223" s="1" t="s">
        <v>11</v>
      </c>
      <c r="D223" s="1" t="s">
        <v>9</v>
      </c>
      <c r="E223" s="1">
        <v>214.82</v>
      </c>
      <c r="F223" s="1">
        <v>3</v>
      </c>
      <c r="G223" s="1">
        <v>644.46</v>
      </c>
      <c r="H223" s="1" t="s">
        <v>184</v>
      </c>
    </row>
    <row r="224" spans="1:8" x14ac:dyDescent="0.35">
      <c r="A224" s="2">
        <v>45081.519444444442</v>
      </c>
      <c r="B224" s="3">
        <v>7.6805555555555557E-2</v>
      </c>
      <c r="C224" s="1" t="s">
        <v>14</v>
      </c>
      <c r="D224" s="1" t="s">
        <v>16</v>
      </c>
      <c r="E224" s="1">
        <v>72.739999999999995</v>
      </c>
      <c r="F224" s="1">
        <v>1</v>
      </c>
      <c r="G224" s="1">
        <v>72.739999999999995</v>
      </c>
      <c r="H224" s="1" t="s">
        <v>185</v>
      </c>
    </row>
    <row r="225" spans="1:8" x14ac:dyDescent="0.35">
      <c r="A225" s="2">
        <v>45316.811111111114</v>
      </c>
      <c r="B225" s="3">
        <v>0.65930555555555559</v>
      </c>
      <c r="C225" s="1" t="s">
        <v>14</v>
      </c>
      <c r="D225" s="1" t="s">
        <v>9</v>
      </c>
      <c r="E225" s="1">
        <v>61.61</v>
      </c>
      <c r="F225" s="1">
        <v>2</v>
      </c>
      <c r="G225" s="1">
        <v>123.22</v>
      </c>
      <c r="H225" s="1" t="s">
        <v>186</v>
      </c>
    </row>
    <row r="226" spans="1:8" x14ac:dyDescent="0.35">
      <c r="A226" s="2">
        <v>45477.963194444441</v>
      </c>
      <c r="B226" s="3">
        <v>0.91535879629629635</v>
      </c>
      <c r="C226" s="1" t="s">
        <v>8</v>
      </c>
      <c r="D226" s="1" t="s">
        <v>16</v>
      </c>
      <c r="E226" s="1">
        <v>227.54</v>
      </c>
      <c r="F226" s="1">
        <v>4</v>
      </c>
      <c r="G226" s="1">
        <v>910.16</v>
      </c>
      <c r="H226" s="1" t="s">
        <v>187</v>
      </c>
    </row>
    <row r="227" spans="1:8" x14ac:dyDescent="0.35">
      <c r="A227" s="2">
        <v>45437.931944444441</v>
      </c>
      <c r="B227" s="3">
        <v>0.42598379629629629</v>
      </c>
      <c r="C227" s="1" t="s">
        <v>8</v>
      </c>
      <c r="D227" s="1" t="s">
        <v>27</v>
      </c>
      <c r="E227" s="1">
        <v>192.22</v>
      </c>
      <c r="F227" s="1">
        <v>3</v>
      </c>
      <c r="G227" s="1">
        <v>576.66</v>
      </c>
      <c r="H227" s="1" t="s">
        <v>188</v>
      </c>
    </row>
    <row r="228" spans="1:8" x14ac:dyDescent="0.35">
      <c r="A228" s="2">
        <v>45654.459722222222</v>
      </c>
      <c r="B228" s="3">
        <v>0.61593750000000003</v>
      </c>
      <c r="C228" s="1" t="s">
        <v>11</v>
      </c>
      <c r="D228" s="1" t="s">
        <v>20</v>
      </c>
      <c r="E228" s="1">
        <v>348.01</v>
      </c>
      <c r="F228" s="1">
        <v>4</v>
      </c>
      <c r="G228" s="1">
        <v>1392.04</v>
      </c>
      <c r="H228" s="1" t="s">
        <v>189</v>
      </c>
    </row>
    <row r="229" spans="1:8" x14ac:dyDescent="0.35">
      <c r="A229" s="2">
        <v>45487.890972222223</v>
      </c>
      <c r="B229" s="3">
        <v>0.50152777777777779</v>
      </c>
      <c r="C229" s="1" t="s">
        <v>11</v>
      </c>
      <c r="D229" s="1" t="s">
        <v>9</v>
      </c>
      <c r="E229" s="1">
        <v>332.38</v>
      </c>
      <c r="F229" s="1">
        <v>1</v>
      </c>
      <c r="G229" s="1">
        <v>332.38</v>
      </c>
      <c r="H229" s="1" t="s">
        <v>166</v>
      </c>
    </row>
    <row r="230" spans="1:8" x14ac:dyDescent="0.35">
      <c r="A230" s="2">
        <v>45357.763888888891</v>
      </c>
      <c r="B230" s="3">
        <v>0.54988425925925932</v>
      </c>
      <c r="C230" s="1" t="s">
        <v>14</v>
      </c>
      <c r="D230" s="1" t="s">
        <v>27</v>
      </c>
      <c r="E230" s="1">
        <v>412.87</v>
      </c>
      <c r="F230" s="1">
        <v>1</v>
      </c>
      <c r="G230" s="1">
        <v>412.87</v>
      </c>
      <c r="H230" s="1" t="s">
        <v>190</v>
      </c>
    </row>
    <row r="231" spans="1:8" x14ac:dyDescent="0.35">
      <c r="A231" s="2">
        <v>45242.915972222225</v>
      </c>
      <c r="B231" s="3">
        <v>0.27653935185185186</v>
      </c>
      <c r="C231" s="1" t="s">
        <v>11</v>
      </c>
      <c r="D231" s="1" t="s">
        <v>16</v>
      </c>
      <c r="E231" s="1">
        <v>80.83</v>
      </c>
      <c r="F231" s="1">
        <v>1</v>
      </c>
      <c r="G231" s="1">
        <v>80.83</v>
      </c>
      <c r="H231" s="1" t="s">
        <v>61</v>
      </c>
    </row>
    <row r="232" spans="1:8" x14ac:dyDescent="0.35">
      <c r="A232" s="2">
        <v>45582.986111111109</v>
      </c>
      <c r="B232" s="3">
        <v>0.23643518518518516</v>
      </c>
      <c r="C232" s="1" t="s">
        <v>11</v>
      </c>
      <c r="D232" s="1" t="s">
        <v>27</v>
      </c>
      <c r="E232" s="1">
        <v>44.71</v>
      </c>
      <c r="F232" s="1">
        <v>4</v>
      </c>
      <c r="G232" s="1">
        <v>178.84</v>
      </c>
      <c r="H232" s="1" t="s">
        <v>191</v>
      </c>
    </row>
    <row r="233" spans="1:8" x14ac:dyDescent="0.35">
      <c r="A233" s="2">
        <v>45647.440972222219</v>
      </c>
      <c r="B233" s="3">
        <v>0.32760416666666664</v>
      </c>
      <c r="C233" s="1" t="s">
        <v>14</v>
      </c>
      <c r="D233" s="1" t="s">
        <v>20</v>
      </c>
      <c r="E233" s="1">
        <v>380.02</v>
      </c>
      <c r="F233" s="1">
        <v>2</v>
      </c>
      <c r="G233" s="1">
        <v>760.04</v>
      </c>
      <c r="H233" s="1" t="s">
        <v>192</v>
      </c>
    </row>
    <row r="234" spans="1:8" x14ac:dyDescent="0.35">
      <c r="A234" s="2">
        <v>44994.017361111109</v>
      </c>
      <c r="B234" s="3">
        <v>0.74937500000000001</v>
      </c>
      <c r="C234" s="1" t="s">
        <v>8</v>
      </c>
      <c r="D234" s="1" t="s">
        <v>12</v>
      </c>
      <c r="E234" s="1">
        <v>265.42</v>
      </c>
      <c r="F234" s="1">
        <v>4</v>
      </c>
      <c r="G234" s="1">
        <v>1061.68</v>
      </c>
      <c r="H234" s="1" t="s">
        <v>141</v>
      </c>
    </row>
    <row r="235" spans="1:8" x14ac:dyDescent="0.35">
      <c r="A235" s="2">
        <v>45375.209722222222</v>
      </c>
      <c r="B235" s="3">
        <v>0.70925925925925926</v>
      </c>
      <c r="C235" s="1" t="s">
        <v>14</v>
      </c>
      <c r="D235" s="1" t="s">
        <v>16</v>
      </c>
      <c r="E235" s="1">
        <v>296.07</v>
      </c>
      <c r="F235" s="1">
        <v>5</v>
      </c>
      <c r="G235" s="1">
        <v>1480.35</v>
      </c>
      <c r="H235" s="1" t="s">
        <v>193</v>
      </c>
    </row>
    <row r="236" spans="1:8" x14ac:dyDescent="0.35">
      <c r="A236" s="2">
        <v>45395.75277777778</v>
      </c>
      <c r="B236" s="3">
        <v>0.59634259259259259</v>
      </c>
      <c r="C236" s="1" t="s">
        <v>8</v>
      </c>
      <c r="D236" s="1" t="s">
        <v>16</v>
      </c>
      <c r="E236" s="1">
        <v>189.25</v>
      </c>
      <c r="F236" s="1">
        <v>1</v>
      </c>
      <c r="G236" s="1">
        <v>189.25</v>
      </c>
      <c r="H236" s="1" t="s">
        <v>33</v>
      </c>
    </row>
    <row r="237" spans="1:8" x14ac:dyDescent="0.35">
      <c r="A237" s="2">
        <v>45119.788888888892</v>
      </c>
      <c r="B237" s="3">
        <v>0.82142361111111117</v>
      </c>
      <c r="C237" s="1" t="s">
        <v>11</v>
      </c>
      <c r="D237" s="1" t="s">
        <v>27</v>
      </c>
      <c r="E237" s="1">
        <v>19.11</v>
      </c>
      <c r="F237" s="1">
        <v>4</v>
      </c>
      <c r="G237" s="1">
        <v>76.44</v>
      </c>
      <c r="H237" s="1" t="s">
        <v>194</v>
      </c>
    </row>
    <row r="238" spans="1:8" x14ac:dyDescent="0.35">
      <c r="A238" s="2">
        <v>45136.595138888886</v>
      </c>
      <c r="B238" s="3">
        <v>0.42413194444444446</v>
      </c>
      <c r="C238" s="1" t="s">
        <v>11</v>
      </c>
      <c r="D238" s="1" t="s">
        <v>9</v>
      </c>
      <c r="E238" s="1">
        <v>69.38</v>
      </c>
      <c r="F238" s="1">
        <v>5</v>
      </c>
      <c r="G238" s="1">
        <v>346.9</v>
      </c>
      <c r="H238" s="1" t="s">
        <v>195</v>
      </c>
    </row>
    <row r="239" spans="1:8" x14ac:dyDescent="0.35">
      <c r="A239" s="2">
        <v>45564.325694444444</v>
      </c>
      <c r="B239" s="3">
        <v>0.39932870370370371</v>
      </c>
      <c r="C239" s="1" t="s">
        <v>14</v>
      </c>
      <c r="D239" s="1" t="s">
        <v>12</v>
      </c>
      <c r="E239" s="1">
        <v>306.17</v>
      </c>
      <c r="F239" s="1">
        <v>1</v>
      </c>
      <c r="G239" s="1">
        <v>306.17</v>
      </c>
      <c r="H239" s="1" t="s">
        <v>196</v>
      </c>
    </row>
    <row r="240" spans="1:8" x14ac:dyDescent="0.35">
      <c r="A240" s="2">
        <v>44976.893750000003</v>
      </c>
      <c r="B240" s="3">
        <v>0.6778587962962962</v>
      </c>
      <c r="C240" s="1" t="s">
        <v>14</v>
      </c>
      <c r="D240" s="1" t="s">
        <v>27</v>
      </c>
      <c r="E240" s="1">
        <v>409.91</v>
      </c>
      <c r="F240" s="1">
        <v>3</v>
      </c>
      <c r="G240" s="1">
        <v>1229.73</v>
      </c>
      <c r="H240" s="1" t="s">
        <v>182</v>
      </c>
    </row>
    <row r="241" spans="1:8" x14ac:dyDescent="0.35">
      <c r="A241" s="2">
        <v>45565.743055555555</v>
      </c>
      <c r="B241" s="3">
        <v>0.27178240740740739</v>
      </c>
      <c r="C241" s="1" t="s">
        <v>8</v>
      </c>
      <c r="D241" s="1" t="s">
        <v>27</v>
      </c>
      <c r="E241" s="1">
        <v>287.08999999999997</v>
      </c>
      <c r="F241" s="1">
        <v>5</v>
      </c>
      <c r="G241" s="1">
        <v>1435.45</v>
      </c>
      <c r="H241" s="1" t="s">
        <v>197</v>
      </c>
    </row>
    <row r="242" spans="1:8" x14ac:dyDescent="0.35">
      <c r="A242" s="2">
        <v>45547.237500000003</v>
      </c>
      <c r="B242" s="3">
        <v>0.27056712962962964</v>
      </c>
      <c r="C242" s="1" t="s">
        <v>11</v>
      </c>
      <c r="D242" s="1" t="s">
        <v>9</v>
      </c>
      <c r="E242" s="1">
        <v>21.58</v>
      </c>
      <c r="F242" s="1">
        <v>1</v>
      </c>
      <c r="G242" s="1">
        <v>21.58</v>
      </c>
      <c r="H242" s="1" t="s">
        <v>198</v>
      </c>
    </row>
    <row r="243" spans="1:8" x14ac:dyDescent="0.35">
      <c r="A243" s="2">
        <v>45513.727777777778</v>
      </c>
      <c r="B243" s="3">
        <v>0.57634259259259257</v>
      </c>
      <c r="C243" s="1" t="s">
        <v>11</v>
      </c>
      <c r="D243" s="1" t="s">
        <v>12</v>
      </c>
      <c r="E243" s="1">
        <v>159.12</v>
      </c>
      <c r="F243" s="1">
        <v>4</v>
      </c>
      <c r="G243" s="1">
        <v>636.48</v>
      </c>
      <c r="H243" s="1" t="s">
        <v>199</v>
      </c>
    </row>
    <row r="244" spans="1:8" x14ac:dyDescent="0.35">
      <c r="A244" s="2">
        <v>45378.615972222222</v>
      </c>
      <c r="B244" s="3">
        <v>0.19750000000000001</v>
      </c>
      <c r="C244" s="1" t="s">
        <v>11</v>
      </c>
      <c r="D244" s="1" t="s">
        <v>20</v>
      </c>
      <c r="E244" s="1">
        <v>370.16</v>
      </c>
      <c r="F244" s="1">
        <v>2</v>
      </c>
      <c r="G244" s="1">
        <v>740.32</v>
      </c>
      <c r="H244" s="1" t="s">
        <v>200</v>
      </c>
    </row>
    <row r="245" spans="1:8" x14ac:dyDescent="0.35">
      <c r="A245" s="2">
        <v>45289.981249999997</v>
      </c>
      <c r="B245" s="3">
        <v>0.38457175925925924</v>
      </c>
      <c r="C245" s="1" t="s">
        <v>14</v>
      </c>
      <c r="D245" s="1" t="s">
        <v>27</v>
      </c>
      <c r="E245" s="1">
        <v>204.08</v>
      </c>
      <c r="F245" s="1">
        <v>1</v>
      </c>
      <c r="G245" s="1">
        <v>204.08</v>
      </c>
      <c r="H245" s="1" t="s">
        <v>122</v>
      </c>
    </row>
    <row r="246" spans="1:8" x14ac:dyDescent="0.35">
      <c r="A246" s="2">
        <v>45632.29791666667</v>
      </c>
      <c r="B246" s="3">
        <v>0.75531250000000005</v>
      </c>
      <c r="C246" s="1" t="s">
        <v>14</v>
      </c>
      <c r="D246" s="1" t="s">
        <v>12</v>
      </c>
      <c r="E246" s="1">
        <v>475.17</v>
      </c>
      <c r="F246" s="1">
        <v>5</v>
      </c>
      <c r="G246" s="1">
        <v>2375.85</v>
      </c>
      <c r="H246" s="1" t="s">
        <v>191</v>
      </c>
    </row>
    <row r="247" spans="1:8" x14ac:dyDescent="0.35">
      <c r="A247" s="2">
        <v>45556.081250000003</v>
      </c>
      <c r="B247" s="3">
        <v>0.43208333333333332</v>
      </c>
      <c r="C247" s="1" t="s">
        <v>14</v>
      </c>
      <c r="D247" s="1" t="s">
        <v>12</v>
      </c>
      <c r="E247" s="1">
        <v>151.72999999999999</v>
      </c>
      <c r="F247" s="1">
        <v>3</v>
      </c>
      <c r="G247" s="1">
        <v>455.19</v>
      </c>
      <c r="H247" s="1" t="s">
        <v>166</v>
      </c>
    </row>
    <row r="248" spans="1:8" x14ac:dyDescent="0.35">
      <c r="A248" s="2">
        <v>45253.296527777777</v>
      </c>
      <c r="B248" s="3">
        <v>0.20443287037037039</v>
      </c>
      <c r="C248" s="1" t="s">
        <v>14</v>
      </c>
      <c r="D248" s="1" t="s">
        <v>16</v>
      </c>
      <c r="E248" s="1">
        <v>334.92</v>
      </c>
      <c r="F248" s="1">
        <v>2</v>
      </c>
      <c r="G248" s="1">
        <v>669.84</v>
      </c>
      <c r="H248" s="1" t="s">
        <v>172</v>
      </c>
    </row>
    <row r="249" spans="1:8" x14ac:dyDescent="0.35">
      <c r="A249" s="2">
        <v>45551.708333333336</v>
      </c>
      <c r="B249" s="3">
        <v>0.18875</v>
      </c>
      <c r="C249" s="1" t="s">
        <v>8</v>
      </c>
      <c r="D249" s="1" t="s">
        <v>20</v>
      </c>
      <c r="E249" s="1">
        <v>483.16</v>
      </c>
      <c r="F249" s="1">
        <v>4</v>
      </c>
      <c r="G249" s="1">
        <v>1932.64</v>
      </c>
      <c r="H249" s="1" t="s">
        <v>201</v>
      </c>
    </row>
    <row r="250" spans="1:8" x14ac:dyDescent="0.35">
      <c r="A250" s="2">
        <v>45513.372916666667</v>
      </c>
      <c r="B250" s="3">
        <v>0.9865046296296297</v>
      </c>
      <c r="C250" s="1" t="s">
        <v>14</v>
      </c>
      <c r="D250" s="1" t="s">
        <v>12</v>
      </c>
      <c r="E250" s="1">
        <v>200.77</v>
      </c>
      <c r="F250" s="1">
        <v>5</v>
      </c>
      <c r="G250" s="1">
        <v>1003.85</v>
      </c>
      <c r="H250" s="1" t="s">
        <v>202</v>
      </c>
    </row>
    <row r="251" spans="1:8" x14ac:dyDescent="0.35">
      <c r="A251" s="2">
        <v>45416.38958333333</v>
      </c>
      <c r="B251" s="3">
        <v>0.89574074074074073</v>
      </c>
      <c r="C251" s="1" t="s">
        <v>8</v>
      </c>
      <c r="D251" s="1" t="s">
        <v>12</v>
      </c>
      <c r="E251" s="1">
        <v>31.09</v>
      </c>
      <c r="F251" s="1">
        <v>5</v>
      </c>
      <c r="G251" s="1">
        <v>155.44999999999999</v>
      </c>
      <c r="H251" s="1" t="s">
        <v>203</v>
      </c>
    </row>
    <row r="252" spans="1:8" x14ac:dyDescent="0.35">
      <c r="A252" s="2">
        <v>45126.717361111114</v>
      </c>
      <c r="B252" s="3">
        <v>0.55158564814814814</v>
      </c>
      <c r="C252" s="1" t="s">
        <v>8</v>
      </c>
      <c r="D252" s="1" t="s">
        <v>12</v>
      </c>
      <c r="E252" s="1">
        <v>362.26</v>
      </c>
      <c r="F252" s="1">
        <v>3</v>
      </c>
      <c r="G252" s="1">
        <v>1086.78</v>
      </c>
      <c r="H252" s="1" t="s">
        <v>19</v>
      </c>
    </row>
    <row r="253" spans="1:8" x14ac:dyDescent="0.35">
      <c r="A253" s="2">
        <v>45128.888194444444</v>
      </c>
      <c r="B253" s="3">
        <v>0.61020833333333335</v>
      </c>
      <c r="C253" s="1" t="s">
        <v>14</v>
      </c>
      <c r="D253" s="1" t="s">
        <v>16</v>
      </c>
      <c r="E253" s="1">
        <v>458.75</v>
      </c>
      <c r="F253" s="1">
        <v>1</v>
      </c>
      <c r="G253" s="1">
        <v>458.75</v>
      </c>
      <c r="H253" s="1" t="s">
        <v>97</v>
      </c>
    </row>
    <row r="254" spans="1:8" x14ac:dyDescent="0.35">
      <c r="A254" s="2">
        <v>45592.526388888888</v>
      </c>
      <c r="B254" s="3">
        <v>0.3319212962962963</v>
      </c>
      <c r="C254" s="1" t="s">
        <v>14</v>
      </c>
      <c r="D254" s="1" t="s">
        <v>9</v>
      </c>
      <c r="E254" s="1">
        <v>458.24</v>
      </c>
      <c r="F254" s="1">
        <v>1</v>
      </c>
      <c r="G254" s="1">
        <v>458.24</v>
      </c>
      <c r="H254" s="1" t="s">
        <v>168</v>
      </c>
    </row>
    <row r="255" spans="1:8" x14ac:dyDescent="0.35">
      <c r="A255" s="2">
        <v>45534.038194444445</v>
      </c>
      <c r="B255" s="3">
        <v>0.11113425925925925</v>
      </c>
      <c r="C255" s="1" t="s">
        <v>8</v>
      </c>
      <c r="D255" s="1" t="s">
        <v>20</v>
      </c>
      <c r="E255" s="1">
        <v>71.540000000000006</v>
      </c>
      <c r="F255" s="1">
        <v>2</v>
      </c>
      <c r="G255" s="1">
        <v>143.08000000000001</v>
      </c>
      <c r="H255" s="1" t="s">
        <v>190</v>
      </c>
    </row>
    <row r="256" spans="1:8" x14ac:dyDescent="0.35">
      <c r="A256" s="2">
        <v>45457.681250000001</v>
      </c>
      <c r="B256" s="3">
        <v>0.81785879629629632</v>
      </c>
      <c r="C256" s="1" t="s">
        <v>11</v>
      </c>
      <c r="D256" s="1" t="s">
        <v>27</v>
      </c>
      <c r="E256" s="1">
        <v>362.62</v>
      </c>
      <c r="F256" s="1">
        <v>5</v>
      </c>
      <c r="G256" s="1">
        <v>1813.1</v>
      </c>
      <c r="H256" s="1" t="s">
        <v>100</v>
      </c>
    </row>
    <row r="257" spans="1:8" x14ac:dyDescent="0.35">
      <c r="A257" s="2">
        <v>45591.684027777781</v>
      </c>
      <c r="B257" s="3">
        <v>6.1435185185185183E-2</v>
      </c>
      <c r="C257" s="1" t="s">
        <v>8</v>
      </c>
      <c r="D257" s="1" t="s">
        <v>27</v>
      </c>
      <c r="E257" s="1">
        <v>112.21</v>
      </c>
      <c r="F257" s="1">
        <v>1</v>
      </c>
      <c r="G257" s="1">
        <v>112.21</v>
      </c>
      <c r="H257" s="1" t="s">
        <v>51</v>
      </c>
    </row>
    <row r="258" spans="1:8" x14ac:dyDescent="0.35">
      <c r="A258" s="2">
        <v>45027.496527777781</v>
      </c>
      <c r="B258" s="3">
        <v>4.0543981481481479E-2</v>
      </c>
      <c r="C258" s="1" t="s">
        <v>11</v>
      </c>
      <c r="D258" s="1" t="s">
        <v>27</v>
      </c>
      <c r="E258" s="1">
        <v>173.85</v>
      </c>
      <c r="F258" s="1">
        <v>4</v>
      </c>
      <c r="G258" s="1">
        <v>695.4</v>
      </c>
      <c r="H258" s="1" t="s">
        <v>204</v>
      </c>
    </row>
    <row r="259" spans="1:8" x14ac:dyDescent="0.35">
      <c r="A259" s="2">
        <v>45483.694444444445</v>
      </c>
      <c r="B259" s="3">
        <v>0.27405092592592589</v>
      </c>
      <c r="C259" s="1" t="s">
        <v>11</v>
      </c>
      <c r="D259" s="1" t="s">
        <v>9</v>
      </c>
      <c r="E259" s="1">
        <v>283.07</v>
      </c>
      <c r="F259" s="1">
        <v>5</v>
      </c>
      <c r="G259" s="1">
        <v>1415.35</v>
      </c>
      <c r="H259" s="1" t="s">
        <v>112</v>
      </c>
    </row>
    <row r="260" spans="1:8" x14ac:dyDescent="0.35">
      <c r="A260" s="2">
        <v>45194.104861111111</v>
      </c>
      <c r="B260" s="3">
        <v>0.67159722222222218</v>
      </c>
      <c r="C260" s="1" t="s">
        <v>14</v>
      </c>
      <c r="D260" s="1" t="s">
        <v>27</v>
      </c>
      <c r="E260" s="1">
        <v>186.01</v>
      </c>
      <c r="F260" s="1">
        <v>4</v>
      </c>
      <c r="G260" s="1">
        <v>744.04</v>
      </c>
      <c r="H260" s="1" t="s">
        <v>108</v>
      </c>
    </row>
    <row r="261" spans="1:8" x14ac:dyDescent="0.35">
      <c r="A261" s="2">
        <v>45493.536805555559</v>
      </c>
      <c r="B261" s="3">
        <v>0.86057870370370371</v>
      </c>
      <c r="C261" s="1" t="s">
        <v>8</v>
      </c>
      <c r="D261" s="1" t="s">
        <v>16</v>
      </c>
      <c r="E261" s="1">
        <v>393.65</v>
      </c>
      <c r="F261" s="1">
        <v>1</v>
      </c>
      <c r="G261" s="1">
        <v>393.65</v>
      </c>
      <c r="H261" s="1" t="s">
        <v>205</v>
      </c>
    </row>
    <row r="262" spans="1:8" x14ac:dyDescent="0.35">
      <c r="A262" s="2">
        <v>45584.354166666664</v>
      </c>
      <c r="B262" s="3">
        <v>0.78306712962962965</v>
      </c>
      <c r="C262" s="1" t="s">
        <v>14</v>
      </c>
      <c r="D262" s="1" t="s">
        <v>9</v>
      </c>
      <c r="E262" s="1">
        <v>438.39</v>
      </c>
      <c r="F262" s="1">
        <v>4</v>
      </c>
      <c r="G262" s="1">
        <v>1753.56</v>
      </c>
      <c r="H262" s="1" t="s">
        <v>206</v>
      </c>
    </row>
    <row r="263" spans="1:8" x14ac:dyDescent="0.35">
      <c r="A263" s="2">
        <v>45372.587500000001</v>
      </c>
      <c r="B263" s="3">
        <v>0.55780092592592589</v>
      </c>
      <c r="C263" s="1" t="s">
        <v>14</v>
      </c>
      <c r="D263" s="1" t="s">
        <v>12</v>
      </c>
      <c r="E263" s="1">
        <v>173.29</v>
      </c>
      <c r="F263" s="1">
        <v>2</v>
      </c>
      <c r="G263" s="1">
        <v>346.58</v>
      </c>
      <c r="H263" s="1" t="s">
        <v>176</v>
      </c>
    </row>
    <row r="264" spans="1:8" x14ac:dyDescent="0.35">
      <c r="A264" s="2">
        <v>45332.695138888892</v>
      </c>
      <c r="B264" s="3">
        <v>0.10549768518518519</v>
      </c>
      <c r="C264" s="1" t="s">
        <v>8</v>
      </c>
      <c r="D264" s="1" t="s">
        <v>20</v>
      </c>
      <c r="E264" s="1">
        <v>186.5</v>
      </c>
      <c r="F264" s="1">
        <v>2</v>
      </c>
      <c r="G264" s="1">
        <v>373</v>
      </c>
      <c r="H264" s="1" t="s">
        <v>111</v>
      </c>
    </row>
    <row r="265" spans="1:8" x14ac:dyDescent="0.35">
      <c r="A265" s="2">
        <v>45052.961805555555</v>
      </c>
      <c r="B265" s="3">
        <v>0.40517361111111111</v>
      </c>
      <c r="C265" s="1" t="s">
        <v>8</v>
      </c>
      <c r="D265" s="1" t="s">
        <v>16</v>
      </c>
      <c r="E265" s="1">
        <v>197.3</v>
      </c>
      <c r="F265" s="1">
        <v>4</v>
      </c>
      <c r="G265" s="1">
        <v>789.2</v>
      </c>
      <c r="H265" s="1" t="s">
        <v>207</v>
      </c>
    </row>
    <row r="266" spans="1:8" x14ac:dyDescent="0.35">
      <c r="A266" s="2">
        <v>45651.402083333334</v>
      </c>
      <c r="B266" s="3">
        <v>0.25969907407407405</v>
      </c>
      <c r="C266" s="1" t="s">
        <v>11</v>
      </c>
      <c r="D266" s="1" t="s">
        <v>27</v>
      </c>
      <c r="E266" s="1">
        <v>176.83</v>
      </c>
      <c r="F266" s="1">
        <v>1</v>
      </c>
      <c r="G266" s="1">
        <v>176.83</v>
      </c>
      <c r="H266" s="1" t="s">
        <v>17</v>
      </c>
    </row>
    <row r="267" spans="1:8" x14ac:dyDescent="0.35">
      <c r="A267" s="2">
        <v>45284.234027777777</v>
      </c>
      <c r="B267" s="3">
        <v>0.44777777777777777</v>
      </c>
      <c r="C267" s="1" t="s">
        <v>14</v>
      </c>
      <c r="D267" s="1" t="s">
        <v>12</v>
      </c>
      <c r="E267" s="1">
        <v>150.66</v>
      </c>
      <c r="F267" s="1">
        <v>1</v>
      </c>
      <c r="G267" s="1">
        <v>150.66</v>
      </c>
      <c r="H267" s="1" t="s">
        <v>17</v>
      </c>
    </row>
    <row r="268" spans="1:8" x14ac:dyDescent="0.35">
      <c r="A268" s="2">
        <v>45650.947916666664</v>
      </c>
      <c r="B268" s="3">
        <v>0.93759259259259264</v>
      </c>
      <c r="C268" s="1" t="s">
        <v>14</v>
      </c>
      <c r="D268" s="1" t="s">
        <v>9</v>
      </c>
      <c r="E268" s="1">
        <v>219.68</v>
      </c>
      <c r="F268" s="1">
        <v>4</v>
      </c>
      <c r="G268" s="1">
        <v>878.72</v>
      </c>
      <c r="H268" s="1" t="s">
        <v>208</v>
      </c>
    </row>
    <row r="269" spans="1:8" x14ac:dyDescent="0.35">
      <c r="A269" s="2">
        <v>45435.246527777781</v>
      </c>
      <c r="B269" s="3">
        <v>0.64369212962962963</v>
      </c>
      <c r="C269" s="1" t="s">
        <v>14</v>
      </c>
      <c r="D269" s="1" t="s">
        <v>12</v>
      </c>
      <c r="E269" s="1">
        <v>245.53</v>
      </c>
      <c r="F269" s="1">
        <v>5</v>
      </c>
      <c r="G269" s="1">
        <v>1227.6500000000001</v>
      </c>
      <c r="H269" s="1" t="s">
        <v>209</v>
      </c>
    </row>
    <row r="270" spans="1:8" x14ac:dyDescent="0.35">
      <c r="A270" s="2">
        <v>45340.729861111111</v>
      </c>
      <c r="B270" s="3">
        <v>0.56806712962962969</v>
      </c>
      <c r="C270" s="1" t="s">
        <v>14</v>
      </c>
      <c r="D270" s="1" t="s">
        <v>9</v>
      </c>
      <c r="E270" s="1">
        <v>257.42</v>
      </c>
      <c r="F270" s="1">
        <v>1</v>
      </c>
      <c r="G270" s="1">
        <v>257.42</v>
      </c>
      <c r="H270" s="1" t="s">
        <v>210</v>
      </c>
    </row>
    <row r="271" spans="1:8" x14ac:dyDescent="0.35">
      <c r="A271" s="2">
        <v>45594.084722222222</v>
      </c>
      <c r="B271" s="3">
        <v>0.68593749999999998</v>
      </c>
      <c r="C271" s="1" t="s">
        <v>11</v>
      </c>
      <c r="D271" s="1" t="s">
        <v>16</v>
      </c>
      <c r="E271" s="1">
        <v>393.22</v>
      </c>
      <c r="F271" s="1">
        <v>2</v>
      </c>
      <c r="G271" s="1">
        <v>786.44</v>
      </c>
      <c r="H271" s="1" t="s">
        <v>211</v>
      </c>
    </row>
    <row r="272" spans="1:8" x14ac:dyDescent="0.35">
      <c r="A272" s="2">
        <v>45040.816666666666</v>
      </c>
      <c r="B272" s="3">
        <v>0.78616898148148151</v>
      </c>
      <c r="C272" s="1" t="s">
        <v>11</v>
      </c>
      <c r="D272" s="1" t="s">
        <v>20</v>
      </c>
      <c r="E272" s="1">
        <v>453.56</v>
      </c>
      <c r="F272" s="1">
        <v>5</v>
      </c>
      <c r="G272" s="1">
        <v>2267.8000000000002</v>
      </c>
      <c r="H272" s="1" t="s">
        <v>212</v>
      </c>
    </row>
    <row r="273" spans="1:8" x14ac:dyDescent="0.35">
      <c r="A273" s="2">
        <v>45349.548611111109</v>
      </c>
      <c r="B273" s="3">
        <v>0.59835648148148146</v>
      </c>
      <c r="C273" s="1" t="s">
        <v>8</v>
      </c>
      <c r="D273" s="1" t="s">
        <v>20</v>
      </c>
      <c r="E273" s="1">
        <v>50.83</v>
      </c>
      <c r="F273" s="1">
        <v>1</v>
      </c>
      <c r="G273" s="1">
        <v>50.83</v>
      </c>
      <c r="H273" s="1" t="s">
        <v>147</v>
      </c>
    </row>
    <row r="274" spans="1:8" x14ac:dyDescent="0.35">
      <c r="A274" s="2">
        <v>44978.97152777778</v>
      </c>
      <c r="B274" s="3">
        <v>0.98875000000000002</v>
      </c>
      <c r="C274" s="1" t="s">
        <v>8</v>
      </c>
      <c r="D274" s="1" t="s">
        <v>9</v>
      </c>
      <c r="E274" s="1">
        <v>223.53</v>
      </c>
      <c r="F274" s="1">
        <v>3</v>
      </c>
      <c r="G274" s="1">
        <v>670.59</v>
      </c>
      <c r="H274" s="1" t="s">
        <v>202</v>
      </c>
    </row>
    <row r="275" spans="1:8" x14ac:dyDescent="0.35">
      <c r="A275" s="2">
        <v>45646.770833333336</v>
      </c>
      <c r="B275" s="3">
        <v>0.38559027777777777</v>
      </c>
      <c r="C275" s="1" t="s">
        <v>11</v>
      </c>
      <c r="D275" s="1" t="s">
        <v>9</v>
      </c>
      <c r="E275" s="1">
        <v>486.58</v>
      </c>
      <c r="F275" s="1">
        <v>5</v>
      </c>
      <c r="G275" s="1">
        <v>2432.9</v>
      </c>
      <c r="H275" s="1" t="s">
        <v>41</v>
      </c>
    </row>
    <row r="276" spans="1:8" x14ac:dyDescent="0.35">
      <c r="A276" s="2">
        <v>45481.840277777781</v>
      </c>
      <c r="B276" s="3">
        <v>0.25862268518518522</v>
      </c>
      <c r="C276" s="1" t="s">
        <v>11</v>
      </c>
      <c r="D276" s="1" t="s">
        <v>20</v>
      </c>
      <c r="E276" s="1">
        <v>115.43</v>
      </c>
      <c r="F276" s="1">
        <v>2</v>
      </c>
      <c r="G276" s="1">
        <v>230.86</v>
      </c>
      <c r="H276" s="1" t="s">
        <v>213</v>
      </c>
    </row>
    <row r="277" spans="1:8" x14ac:dyDescent="0.35">
      <c r="A277" s="2">
        <v>45590.024305555555</v>
      </c>
      <c r="B277" s="3">
        <v>0.66100694444444441</v>
      </c>
      <c r="C277" s="1" t="s">
        <v>11</v>
      </c>
      <c r="D277" s="1" t="s">
        <v>12</v>
      </c>
      <c r="E277" s="1">
        <v>375.79</v>
      </c>
      <c r="F277" s="1">
        <v>2</v>
      </c>
      <c r="G277" s="1">
        <v>751.58</v>
      </c>
      <c r="H277" s="1" t="s">
        <v>214</v>
      </c>
    </row>
    <row r="278" spans="1:8" x14ac:dyDescent="0.35">
      <c r="A278" s="2">
        <v>45370.25</v>
      </c>
      <c r="B278" s="3">
        <v>0.93916666666666659</v>
      </c>
      <c r="C278" s="1" t="s">
        <v>8</v>
      </c>
      <c r="D278" s="1" t="s">
        <v>12</v>
      </c>
      <c r="E278" s="1">
        <v>275.87</v>
      </c>
      <c r="F278" s="1">
        <v>2</v>
      </c>
      <c r="G278" s="1">
        <v>551.74</v>
      </c>
      <c r="H278" s="1" t="s">
        <v>215</v>
      </c>
    </row>
    <row r="279" spans="1:8" x14ac:dyDescent="0.35">
      <c r="A279" s="2">
        <v>45260.029861111114</v>
      </c>
      <c r="B279" s="3">
        <v>0.19766203703703702</v>
      </c>
      <c r="C279" s="1" t="s">
        <v>14</v>
      </c>
      <c r="D279" s="1" t="s">
        <v>27</v>
      </c>
      <c r="E279" s="1">
        <v>320.45</v>
      </c>
      <c r="F279" s="1">
        <v>1</v>
      </c>
      <c r="G279" s="1">
        <v>320.45</v>
      </c>
      <c r="H279" s="1" t="s">
        <v>199</v>
      </c>
    </row>
    <row r="280" spans="1:8" x14ac:dyDescent="0.35">
      <c r="A280" s="2">
        <v>45425.821527777778</v>
      </c>
      <c r="B280" s="3">
        <v>0.2638773148148148</v>
      </c>
      <c r="C280" s="1" t="s">
        <v>8</v>
      </c>
      <c r="D280" s="1" t="s">
        <v>20</v>
      </c>
      <c r="E280" s="1">
        <v>462.94</v>
      </c>
      <c r="F280" s="1">
        <v>2</v>
      </c>
      <c r="G280" s="1">
        <v>925.88</v>
      </c>
      <c r="H280" s="1" t="s">
        <v>92</v>
      </c>
    </row>
    <row r="281" spans="1:8" x14ac:dyDescent="0.35">
      <c r="A281" s="2">
        <v>45661.507638888892</v>
      </c>
      <c r="B281" s="3">
        <v>0.18011574074074074</v>
      </c>
      <c r="C281" s="1" t="s">
        <v>11</v>
      </c>
      <c r="D281" s="1" t="s">
        <v>12</v>
      </c>
      <c r="E281" s="1">
        <v>41</v>
      </c>
      <c r="F281" s="1">
        <v>2</v>
      </c>
      <c r="G281" s="1">
        <v>82</v>
      </c>
      <c r="H281" s="1" t="s">
        <v>216</v>
      </c>
    </row>
    <row r="282" spans="1:8" x14ac:dyDescent="0.35">
      <c r="A282" s="2">
        <v>45530.938888888886</v>
      </c>
      <c r="B282" s="3">
        <v>0.92530092592592583</v>
      </c>
      <c r="C282" s="1" t="s">
        <v>8</v>
      </c>
      <c r="D282" s="1" t="s">
        <v>16</v>
      </c>
      <c r="E282" s="1">
        <v>402.27</v>
      </c>
      <c r="F282" s="1">
        <v>2</v>
      </c>
      <c r="G282" s="1">
        <v>804.54</v>
      </c>
      <c r="H282" s="1" t="s">
        <v>124</v>
      </c>
    </row>
    <row r="283" spans="1:8" x14ac:dyDescent="0.35">
      <c r="A283" s="2">
        <v>45589.095833333333</v>
      </c>
      <c r="B283" s="3">
        <v>0.23106481481481481</v>
      </c>
      <c r="C283" s="1" t="s">
        <v>14</v>
      </c>
      <c r="D283" s="1" t="s">
        <v>27</v>
      </c>
      <c r="E283" s="1">
        <v>34.950000000000003</v>
      </c>
      <c r="F283" s="1">
        <v>4</v>
      </c>
      <c r="G283" s="1">
        <v>139.80000000000001</v>
      </c>
      <c r="H283" s="1" t="s">
        <v>217</v>
      </c>
    </row>
    <row r="284" spans="1:8" x14ac:dyDescent="0.35">
      <c r="A284" s="2">
        <v>45276.055555555555</v>
      </c>
      <c r="B284" s="3">
        <v>0.54078703703703701</v>
      </c>
      <c r="C284" s="1" t="s">
        <v>14</v>
      </c>
      <c r="D284" s="1" t="s">
        <v>12</v>
      </c>
      <c r="E284" s="1">
        <v>373.1</v>
      </c>
      <c r="F284" s="1">
        <v>2</v>
      </c>
      <c r="G284" s="1">
        <v>746.2</v>
      </c>
      <c r="H284" s="1" t="s">
        <v>218</v>
      </c>
    </row>
    <row r="285" spans="1:8" x14ac:dyDescent="0.35">
      <c r="A285" s="2">
        <v>45018.859722222223</v>
      </c>
      <c r="B285" s="3">
        <v>0.1638425925925926</v>
      </c>
      <c r="C285" s="1" t="s">
        <v>8</v>
      </c>
      <c r="D285" s="1" t="s">
        <v>9</v>
      </c>
      <c r="E285" s="1">
        <v>389.52</v>
      </c>
      <c r="F285" s="1">
        <v>3</v>
      </c>
      <c r="G285" s="1">
        <v>1168.56</v>
      </c>
      <c r="H285" s="1" t="s">
        <v>144</v>
      </c>
    </row>
    <row r="286" spans="1:8" x14ac:dyDescent="0.35">
      <c r="A286" s="2">
        <v>45150.62222222222</v>
      </c>
      <c r="B286" s="3">
        <v>0.85306712962962961</v>
      </c>
      <c r="C286" s="1" t="s">
        <v>11</v>
      </c>
      <c r="D286" s="1" t="s">
        <v>9</v>
      </c>
      <c r="E286" s="1">
        <v>467.71</v>
      </c>
      <c r="F286" s="1">
        <v>5</v>
      </c>
      <c r="G286" s="1">
        <v>2338.5500000000002</v>
      </c>
      <c r="H286" s="1" t="s">
        <v>164</v>
      </c>
    </row>
    <row r="287" spans="1:8" x14ac:dyDescent="0.35">
      <c r="A287" s="2">
        <v>45345.186805555553</v>
      </c>
      <c r="B287" s="3">
        <v>0.38354166666666667</v>
      </c>
      <c r="C287" s="1" t="s">
        <v>14</v>
      </c>
      <c r="D287" s="1" t="s">
        <v>12</v>
      </c>
      <c r="E287" s="1">
        <v>310.57</v>
      </c>
      <c r="F287" s="1">
        <v>2</v>
      </c>
      <c r="G287" s="1">
        <v>621.14</v>
      </c>
      <c r="H287" s="1" t="s">
        <v>219</v>
      </c>
    </row>
    <row r="288" spans="1:8" x14ac:dyDescent="0.35">
      <c r="A288" s="2">
        <v>45296.025694444441</v>
      </c>
      <c r="B288" s="3">
        <v>0.99171296296296296</v>
      </c>
      <c r="C288" s="1" t="s">
        <v>11</v>
      </c>
      <c r="D288" s="1" t="s">
        <v>27</v>
      </c>
      <c r="E288" s="1">
        <v>213.58</v>
      </c>
      <c r="F288" s="1">
        <v>3</v>
      </c>
      <c r="G288" s="1">
        <v>640.74</v>
      </c>
      <c r="H288" s="1" t="s">
        <v>220</v>
      </c>
    </row>
    <row r="289" spans="1:8" x14ac:dyDescent="0.35">
      <c r="A289" s="2">
        <v>45530.520138888889</v>
      </c>
      <c r="B289" s="3">
        <v>0.5357291666666667</v>
      </c>
      <c r="C289" s="1" t="s">
        <v>8</v>
      </c>
      <c r="D289" s="1" t="s">
        <v>9</v>
      </c>
      <c r="E289" s="1">
        <v>207.74</v>
      </c>
      <c r="F289" s="1">
        <v>3</v>
      </c>
      <c r="G289" s="1">
        <v>623.22</v>
      </c>
      <c r="H289" s="1" t="s">
        <v>221</v>
      </c>
    </row>
    <row r="290" spans="1:8" x14ac:dyDescent="0.35">
      <c r="A290" s="2">
        <v>45040.140972222223</v>
      </c>
      <c r="B290" s="3">
        <v>0.83230324074074069</v>
      </c>
      <c r="C290" s="1" t="s">
        <v>11</v>
      </c>
      <c r="D290" s="1" t="s">
        <v>27</v>
      </c>
      <c r="E290" s="1">
        <v>412.27</v>
      </c>
      <c r="F290" s="1">
        <v>1</v>
      </c>
      <c r="G290" s="1">
        <v>412.27</v>
      </c>
      <c r="H290" s="1" t="s">
        <v>147</v>
      </c>
    </row>
    <row r="291" spans="1:8" x14ac:dyDescent="0.35">
      <c r="A291" s="2">
        <v>45343.243750000001</v>
      </c>
      <c r="B291" s="3">
        <v>2.0266203703703703E-2</v>
      </c>
      <c r="C291" s="1" t="s">
        <v>14</v>
      </c>
      <c r="D291" s="1" t="s">
        <v>16</v>
      </c>
      <c r="E291" s="1">
        <v>29.22</v>
      </c>
      <c r="F291" s="1">
        <v>2</v>
      </c>
      <c r="G291" s="1">
        <v>58.44</v>
      </c>
      <c r="H291" s="1" t="s">
        <v>222</v>
      </c>
    </row>
    <row r="292" spans="1:8" x14ac:dyDescent="0.35">
      <c r="A292" s="2">
        <v>45070.957638888889</v>
      </c>
      <c r="B292" s="3">
        <v>0.7193518518518518</v>
      </c>
      <c r="C292" s="1" t="s">
        <v>14</v>
      </c>
      <c r="D292" s="1" t="s">
        <v>16</v>
      </c>
      <c r="E292" s="1">
        <v>394.46</v>
      </c>
      <c r="F292" s="1">
        <v>4</v>
      </c>
      <c r="G292" s="1">
        <v>1577.84</v>
      </c>
      <c r="H292" s="1" t="s">
        <v>223</v>
      </c>
    </row>
    <row r="293" spans="1:8" x14ac:dyDescent="0.35">
      <c r="A293" s="2">
        <v>44961.089583333334</v>
      </c>
      <c r="B293" s="3">
        <v>0.58269675925925923</v>
      </c>
      <c r="C293" s="1" t="s">
        <v>8</v>
      </c>
      <c r="D293" s="1" t="s">
        <v>16</v>
      </c>
      <c r="E293" s="1">
        <v>275.99</v>
      </c>
      <c r="F293" s="1">
        <v>1</v>
      </c>
      <c r="G293" s="1">
        <v>275.99</v>
      </c>
      <c r="H293" s="1" t="s">
        <v>201</v>
      </c>
    </row>
    <row r="294" spans="1:8" x14ac:dyDescent="0.35">
      <c r="A294" s="2">
        <v>45617.561111111114</v>
      </c>
      <c r="B294" s="3">
        <v>0.27818287037037037</v>
      </c>
      <c r="C294" s="1" t="s">
        <v>14</v>
      </c>
      <c r="D294" s="1" t="s">
        <v>12</v>
      </c>
      <c r="E294" s="1">
        <v>321.81</v>
      </c>
      <c r="F294" s="1">
        <v>4</v>
      </c>
      <c r="G294" s="1">
        <v>1287.24</v>
      </c>
      <c r="H294" s="1" t="s">
        <v>67</v>
      </c>
    </row>
    <row r="295" spans="1:8" x14ac:dyDescent="0.35">
      <c r="A295" s="2">
        <v>45018.563888888886</v>
      </c>
      <c r="B295" s="3">
        <v>0.76178240740740744</v>
      </c>
      <c r="C295" s="1" t="s">
        <v>14</v>
      </c>
      <c r="D295" s="1" t="s">
        <v>20</v>
      </c>
      <c r="E295" s="1">
        <v>429.51</v>
      </c>
      <c r="F295" s="1">
        <v>1</v>
      </c>
      <c r="G295" s="1">
        <v>429.51</v>
      </c>
      <c r="H295" s="1" t="s">
        <v>25</v>
      </c>
    </row>
    <row r="296" spans="1:8" x14ac:dyDescent="0.35">
      <c r="A296" s="2">
        <v>45183.6875</v>
      </c>
      <c r="B296" s="3">
        <v>0</v>
      </c>
      <c r="C296" s="1" t="s">
        <v>11</v>
      </c>
      <c r="D296" s="1" t="s">
        <v>9</v>
      </c>
      <c r="E296" s="1">
        <v>191.48</v>
      </c>
      <c r="F296" s="1">
        <v>3</v>
      </c>
      <c r="G296" s="1">
        <v>574.44000000000005</v>
      </c>
      <c r="H296" s="1" t="s">
        <v>120</v>
      </c>
    </row>
    <row r="297" spans="1:8" x14ac:dyDescent="0.35">
      <c r="A297" s="2">
        <v>45484.402083333334</v>
      </c>
      <c r="B297" s="3">
        <v>0.71910879629629632</v>
      </c>
      <c r="C297" s="1" t="s">
        <v>11</v>
      </c>
      <c r="D297" s="1" t="s">
        <v>27</v>
      </c>
      <c r="E297" s="1">
        <v>134.37</v>
      </c>
      <c r="F297" s="1">
        <v>5</v>
      </c>
      <c r="G297" s="1">
        <v>671.85</v>
      </c>
      <c r="H297" s="1" t="s">
        <v>224</v>
      </c>
    </row>
    <row r="298" spans="1:8" x14ac:dyDescent="0.35">
      <c r="A298" s="2">
        <v>45174.152083333334</v>
      </c>
      <c r="B298" s="3">
        <v>3.5451388888888886E-2</v>
      </c>
      <c r="C298" s="1" t="s">
        <v>14</v>
      </c>
      <c r="D298" s="1" t="s">
        <v>12</v>
      </c>
      <c r="E298" s="1">
        <v>12.38</v>
      </c>
      <c r="F298" s="1">
        <v>2</v>
      </c>
      <c r="G298" s="1">
        <v>24.76</v>
      </c>
      <c r="H298" s="1" t="s">
        <v>164</v>
      </c>
    </row>
    <row r="299" spans="1:8" x14ac:dyDescent="0.35">
      <c r="A299" s="2">
        <v>45593.836805555555</v>
      </c>
      <c r="B299" s="3">
        <v>0.46172453703703703</v>
      </c>
      <c r="C299" s="1" t="s">
        <v>11</v>
      </c>
      <c r="D299" s="1" t="s">
        <v>16</v>
      </c>
      <c r="E299" s="1">
        <v>83.43</v>
      </c>
      <c r="F299" s="1">
        <v>5</v>
      </c>
      <c r="G299" s="1">
        <v>417.15</v>
      </c>
      <c r="H299" s="1" t="s">
        <v>54</v>
      </c>
    </row>
    <row r="300" spans="1:8" x14ac:dyDescent="0.35">
      <c r="A300" s="2">
        <v>44944.260416666664</v>
      </c>
      <c r="B300" s="3">
        <v>4.4074074074074071E-2</v>
      </c>
      <c r="C300" s="1" t="s">
        <v>11</v>
      </c>
      <c r="D300" s="1" t="s">
        <v>27</v>
      </c>
      <c r="E300" s="1">
        <v>368.4</v>
      </c>
      <c r="F300" s="1">
        <v>4</v>
      </c>
      <c r="G300" s="1">
        <v>1473.6</v>
      </c>
      <c r="H300" s="1" t="s">
        <v>88</v>
      </c>
    </row>
    <row r="301" spans="1:8" x14ac:dyDescent="0.35">
      <c r="A301" s="2">
        <v>45607.867361111108</v>
      </c>
      <c r="B301" s="3">
        <v>0.12878472222222223</v>
      </c>
      <c r="C301" s="1" t="s">
        <v>11</v>
      </c>
      <c r="D301" s="1" t="s">
        <v>27</v>
      </c>
      <c r="E301" s="1">
        <v>313.29000000000002</v>
      </c>
      <c r="F301" s="1">
        <v>1</v>
      </c>
      <c r="G301" s="1">
        <v>313.29000000000002</v>
      </c>
      <c r="H301" s="1" t="s">
        <v>225</v>
      </c>
    </row>
    <row r="302" spans="1:8" x14ac:dyDescent="0.35">
      <c r="A302" s="2">
        <v>44950.070833333331</v>
      </c>
      <c r="B302" s="3">
        <v>0.33001157407407405</v>
      </c>
      <c r="C302" s="1" t="s">
        <v>14</v>
      </c>
      <c r="D302" s="1" t="s">
        <v>20</v>
      </c>
      <c r="E302" s="1">
        <v>358.23</v>
      </c>
      <c r="F302" s="1">
        <v>3</v>
      </c>
      <c r="G302" s="1">
        <v>1074.69</v>
      </c>
      <c r="H302" s="1" t="s">
        <v>170</v>
      </c>
    </row>
    <row r="303" spans="1:8" x14ac:dyDescent="0.35">
      <c r="A303" s="2">
        <v>45004.375</v>
      </c>
      <c r="B303" s="3">
        <v>0.24497685185185183</v>
      </c>
      <c r="C303" s="1" t="s">
        <v>8</v>
      </c>
      <c r="D303" s="1" t="s">
        <v>20</v>
      </c>
      <c r="E303" s="1">
        <v>195.25</v>
      </c>
      <c r="F303" s="1">
        <v>3</v>
      </c>
      <c r="G303" s="1">
        <v>585.75</v>
      </c>
      <c r="H303" s="1" t="s">
        <v>116</v>
      </c>
    </row>
    <row r="304" spans="1:8" x14ac:dyDescent="0.35">
      <c r="A304" s="2">
        <v>45018.861805555556</v>
      </c>
      <c r="B304" s="3">
        <v>0.81907407407407407</v>
      </c>
      <c r="C304" s="1" t="s">
        <v>8</v>
      </c>
      <c r="D304" s="1" t="s">
        <v>27</v>
      </c>
      <c r="E304" s="1">
        <v>397.48</v>
      </c>
      <c r="F304" s="1">
        <v>3</v>
      </c>
      <c r="G304" s="1">
        <v>1192.44</v>
      </c>
      <c r="H304" s="1" t="s">
        <v>226</v>
      </c>
    </row>
    <row r="305" spans="1:8" x14ac:dyDescent="0.35">
      <c r="A305" s="2">
        <v>44989.407638888886</v>
      </c>
      <c r="B305" s="3">
        <v>0.46357638888888886</v>
      </c>
      <c r="C305" s="1" t="s">
        <v>14</v>
      </c>
      <c r="D305" s="1" t="s">
        <v>12</v>
      </c>
      <c r="E305" s="1">
        <v>434.14</v>
      </c>
      <c r="F305" s="1">
        <v>2</v>
      </c>
      <c r="G305" s="1">
        <v>868.28</v>
      </c>
      <c r="H305" s="1" t="s">
        <v>227</v>
      </c>
    </row>
    <row r="306" spans="1:8" x14ac:dyDescent="0.35">
      <c r="A306" s="2">
        <v>45238.568055555559</v>
      </c>
      <c r="B306" s="3">
        <v>0.19630787037037037</v>
      </c>
      <c r="C306" s="1" t="s">
        <v>11</v>
      </c>
      <c r="D306" s="1" t="s">
        <v>9</v>
      </c>
      <c r="E306" s="1">
        <v>141.11000000000001</v>
      </c>
      <c r="F306" s="1">
        <v>5</v>
      </c>
      <c r="G306" s="1">
        <v>705.55</v>
      </c>
      <c r="H306" s="1" t="s">
        <v>228</v>
      </c>
    </row>
    <row r="307" spans="1:8" x14ac:dyDescent="0.35">
      <c r="A307" s="2">
        <v>45352.376388888886</v>
      </c>
      <c r="B307" s="3">
        <v>0.97108796296296296</v>
      </c>
      <c r="C307" s="1" t="s">
        <v>14</v>
      </c>
      <c r="D307" s="1" t="s">
        <v>12</v>
      </c>
      <c r="E307" s="1">
        <v>178.28</v>
      </c>
      <c r="F307" s="1">
        <v>4</v>
      </c>
      <c r="G307" s="1">
        <v>713.12</v>
      </c>
      <c r="H307" s="1" t="s">
        <v>32</v>
      </c>
    </row>
    <row r="308" spans="1:8" x14ac:dyDescent="0.35">
      <c r="A308" s="2">
        <v>45040.114583333336</v>
      </c>
      <c r="B308" s="3">
        <v>0.84805555555555545</v>
      </c>
      <c r="C308" s="1" t="s">
        <v>11</v>
      </c>
      <c r="D308" s="1" t="s">
        <v>16</v>
      </c>
      <c r="E308" s="1">
        <v>425.42</v>
      </c>
      <c r="F308" s="1">
        <v>2</v>
      </c>
      <c r="G308" s="1">
        <v>850.84</v>
      </c>
      <c r="H308" s="1" t="s">
        <v>35</v>
      </c>
    </row>
    <row r="309" spans="1:8" x14ac:dyDescent="0.35">
      <c r="A309" s="2">
        <v>45415.067361111112</v>
      </c>
      <c r="B309" s="3">
        <v>0.67896990740740737</v>
      </c>
      <c r="C309" s="1" t="s">
        <v>14</v>
      </c>
      <c r="D309" s="1" t="s">
        <v>9</v>
      </c>
      <c r="E309" s="1">
        <v>190.58</v>
      </c>
      <c r="F309" s="1">
        <v>3</v>
      </c>
      <c r="G309" s="1">
        <v>571.74</v>
      </c>
      <c r="H309" s="1" t="s">
        <v>138</v>
      </c>
    </row>
    <row r="310" spans="1:8" x14ac:dyDescent="0.35">
      <c r="A310" s="2">
        <v>45462.832638888889</v>
      </c>
      <c r="B310" s="3">
        <v>0.24260416666666665</v>
      </c>
      <c r="C310" s="1" t="s">
        <v>11</v>
      </c>
      <c r="D310" s="1" t="s">
        <v>12</v>
      </c>
      <c r="E310" s="1">
        <v>85.72</v>
      </c>
      <c r="F310" s="1">
        <v>3</v>
      </c>
      <c r="G310" s="1">
        <v>257.16000000000003</v>
      </c>
      <c r="H310" s="1" t="s">
        <v>229</v>
      </c>
    </row>
    <row r="311" spans="1:8" x14ac:dyDescent="0.35">
      <c r="A311" s="2">
        <v>45323.618750000001</v>
      </c>
      <c r="B311" s="3">
        <v>2.5416666666666667E-2</v>
      </c>
      <c r="C311" s="1" t="s">
        <v>14</v>
      </c>
      <c r="D311" s="1" t="s">
        <v>20</v>
      </c>
      <c r="E311" s="1">
        <v>228.45</v>
      </c>
      <c r="F311" s="1">
        <v>1</v>
      </c>
      <c r="G311" s="1">
        <v>228.45</v>
      </c>
      <c r="H311" s="1" t="s">
        <v>39</v>
      </c>
    </row>
    <row r="312" spans="1:8" x14ac:dyDescent="0.35">
      <c r="A312" s="2">
        <v>45377.342361111114</v>
      </c>
      <c r="B312" s="3">
        <v>0.73069444444444442</v>
      </c>
      <c r="C312" s="1" t="s">
        <v>14</v>
      </c>
      <c r="D312" s="1" t="s">
        <v>27</v>
      </c>
      <c r="E312" s="1">
        <v>164.56</v>
      </c>
      <c r="F312" s="1">
        <v>3</v>
      </c>
      <c r="G312" s="1">
        <v>493.68</v>
      </c>
      <c r="H312" s="1" t="s">
        <v>132</v>
      </c>
    </row>
    <row r="313" spans="1:8" x14ac:dyDescent="0.35">
      <c r="A313" s="2">
        <v>45052.593055555553</v>
      </c>
      <c r="B313" s="3">
        <v>0.61295138888888889</v>
      </c>
      <c r="C313" s="1" t="s">
        <v>14</v>
      </c>
      <c r="D313" s="1" t="s">
        <v>9</v>
      </c>
      <c r="E313" s="1">
        <v>16.23</v>
      </c>
      <c r="F313" s="1">
        <v>3</v>
      </c>
      <c r="G313" s="1">
        <v>48.69</v>
      </c>
      <c r="H313" s="1" t="s">
        <v>25</v>
      </c>
    </row>
    <row r="314" spans="1:8" x14ac:dyDescent="0.35">
      <c r="A314" s="2">
        <v>45033.481944444444</v>
      </c>
      <c r="B314" s="3">
        <v>0.92447916666666663</v>
      </c>
      <c r="C314" s="1" t="s">
        <v>8</v>
      </c>
      <c r="D314" s="1" t="s">
        <v>9</v>
      </c>
      <c r="E314" s="1">
        <v>270.75</v>
      </c>
      <c r="F314" s="1">
        <v>1</v>
      </c>
      <c r="G314" s="1">
        <v>270.75</v>
      </c>
      <c r="H314" s="1" t="s">
        <v>216</v>
      </c>
    </row>
    <row r="315" spans="1:8" x14ac:dyDescent="0.35">
      <c r="A315" s="2">
        <v>44953.215277777781</v>
      </c>
      <c r="B315" s="3">
        <v>0.93423611111111116</v>
      </c>
      <c r="C315" s="1" t="s">
        <v>14</v>
      </c>
      <c r="D315" s="1" t="s">
        <v>12</v>
      </c>
      <c r="E315" s="1">
        <v>64.69</v>
      </c>
      <c r="F315" s="1">
        <v>5</v>
      </c>
      <c r="G315" s="1">
        <v>323.45</v>
      </c>
      <c r="H315" s="1" t="s">
        <v>230</v>
      </c>
    </row>
    <row r="316" spans="1:8" x14ac:dyDescent="0.35">
      <c r="A316" s="2">
        <v>45133.706944444442</v>
      </c>
      <c r="B316" s="3">
        <v>0.75491898148148151</v>
      </c>
      <c r="C316" s="1" t="s">
        <v>8</v>
      </c>
      <c r="D316" s="1" t="s">
        <v>27</v>
      </c>
      <c r="E316" s="1">
        <v>275.52</v>
      </c>
      <c r="F316" s="1">
        <v>1</v>
      </c>
      <c r="G316" s="1">
        <v>275.52</v>
      </c>
      <c r="H316" s="1" t="s">
        <v>56</v>
      </c>
    </row>
    <row r="317" spans="1:8" x14ac:dyDescent="0.35">
      <c r="A317" s="2">
        <v>45183.690972222219</v>
      </c>
      <c r="B317" s="3">
        <v>5.1770833333333328E-2</v>
      </c>
      <c r="C317" s="1" t="s">
        <v>11</v>
      </c>
      <c r="D317" s="1" t="s">
        <v>12</v>
      </c>
      <c r="E317" s="1">
        <v>455.97</v>
      </c>
      <c r="F317" s="1">
        <v>4</v>
      </c>
      <c r="G317" s="1">
        <v>1823.88</v>
      </c>
      <c r="H317" s="1" t="s">
        <v>231</v>
      </c>
    </row>
    <row r="318" spans="1:8" x14ac:dyDescent="0.35">
      <c r="A318" s="2">
        <v>45597.370138888888</v>
      </c>
      <c r="B318" s="3">
        <v>2.2592592592592591E-2</v>
      </c>
      <c r="C318" s="1" t="s">
        <v>11</v>
      </c>
      <c r="D318" s="1" t="s">
        <v>12</v>
      </c>
      <c r="E318" s="1">
        <v>242.83</v>
      </c>
      <c r="F318" s="1">
        <v>1</v>
      </c>
      <c r="G318" s="1">
        <v>242.83</v>
      </c>
      <c r="H318" s="1" t="s">
        <v>161</v>
      </c>
    </row>
    <row r="319" spans="1:8" x14ac:dyDescent="0.35">
      <c r="A319" s="2">
        <v>45478.867361111108</v>
      </c>
      <c r="B319" s="3">
        <v>0.72244212962962961</v>
      </c>
      <c r="C319" s="1" t="s">
        <v>8</v>
      </c>
      <c r="D319" s="1" t="s">
        <v>9</v>
      </c>
      <c r="E319" s="1">
        <v>232.95</v>
      </c>
      <c r="F319" s="1">
        <v>5</v>
      </c>
      <c r="G319" s="1">
        <v>1164.75</v>
      </c>
      <c r="H319" s="1" t="s">
        <v>232</v>
      </c>
    </row>
    <row r="320" spans="1:8" x14ac:dyDescent="0.35">
      <c r="A320" s="2">
        <v>45231.629166666666</v>
      </c>
      <c r="B320" s="3">
        <v>0.14041666666666666</v>
      </c>
      <c r="C320" s="1" t="s">
        <v>8</v>
      </c>
      <c r="D320" s="1" t="s">
        <v>20</v>
      </c>
      <c r="E320" s="1">
        <v>233.51</v>
      </c>
      <c r="F320" s="1">
        <v>4</v>
      </c>
      <c r="G320" s="1">
        <v>934.04</v>
      </c>
      <c r="H320" s="1" t="s">
        <v>38</v>
      </c>
    </row>
    <row r="321" spans="1:8" x14ac:dyDescent="0.35">
      <c r="A321" s="2">
        <v>45356.395833333336</v>
      </c>
      <c r="B321" s="3">
        <v>0.14597222222222223</v>
      </c>
      <c r="C321" s="1" t="s">
        <v>14</v>
      </c>
      <c r="D321" s="1" t="s">
        <v>16</v>
      </c>
      <c r="E321" s="1">
        <v>282.7</v>
      </c>
      <c r="F321" s="1">
        <v>1</v>
      </c>
      <c r="G321" s="1">
        <v>282.7</v>
      </c>
      <c r="H321" s="1" t="s">
        <v>191</v>
      </c>
    </row>
    <row r="322" spans="1:8" x14ac:dyDescent="0.35">
      <c r="A322" s="2">
        <v>45408.447222222225</v>
      </c>
      <c r="B322" s="3">
        <v>0.82565972222222228</v>
      </c>
      <c r="C322" s="1" t="s">
        <v>8</v>
      </c>
      <c r="D322" s="1" t="s">
        <v>20</v>
      </c>
      <c r="E322" s="1">
        <v>482.34</v>
      </c>
      <c r="F322" s="1">
        <v>4</v>
      </c>
      <c r="G322" s="1">
        <v>1929.36</v>
      </c>
      <c r="H322" s="1" t="s">
        <v>87</v>
      </c>
    </row>
    <row r="323" spans="1:8" x14ac:dyDescent="0.35">
      <c r="A323" s="2">
        <v>44989.35</v>
      </c>
      <c r="B323" s="3">
        <v>0.19591435185185188</v>
      </c>
      <c r="C323" s="1" t="s">
        <v>14</v>
      </c>
      <c r="D323" s="1" t="s">
        <v>20</v>
      </c>
      <c r="E323" s="1">
        <v>108.05</v>
      </c>
      <c r="F323" s="1">
        <v>5</v>
      </c>
      <c r="G323" s="1">
        <v>540.25</v>
      </c>
      <c r="H323" s="1" t="s">
        <v>233</v>
      </c>
    </row>
    <row r="324" spans="1:8" x14ac:dyDescent="0.35">
      <c r="A324" s="2">
        <v>44934.013888888891</v>
      </c>
      <c r="B324" s="3">
        <v>0.62780092592592596</v>
      </c>
      <c r="C324" s="1" t="s">
        <v>8</v>
      </c>
      <c r="D324" s="1" t="s">
        <v>16</v>
      </c>
      <c r="E324" s="1">
        <v>86.7</v>
      </c>
      <c r="F324" s="1">
        <v>1</v>
      </c>
      <c r="G324" s="1">
        <v>86.7</v>
      </c>
      <c r="H324" s="1" t="s">
        <v>234</v>
      </c>
    </row>
    <row r="325" spans="1:8" x14ac:dyDescent="0.35">
      <c r="A325" s="2">
        <v>45658.914583333331</v>
      </c>
      <c r="B325" s="3">
        <v>0.63802083333333337</v>
      </c>
      <c r="C325" s="1" t="s">
        <v>14</v>
      </c>
      <c r="D325" s="1" t="s">
        <v>12</v>
      </c>
      <c r="E325" s="1">
        <v>171.23</v>
      </c>
      <c r="F325" s="1">
        <v>4</v>
      </c>
      <c r="G325" s="1">
        <v>684.92</v>
      </c>
      <c r="H325" s="1" t="s">
        <v>10</v>
      </c>
    </row>
    <row r="326" spans="1:8" x14ac:dyDescent="0.35">
      <c r="A326" s="2">
        <v>45004.682638888888</v>
      </c>
      <c r="B326" s="3">
        <v>0.8467824074074074</v>
      </c>
      <c r="C326" s="1" t="s">
        <v>11</v>
      </c>
      <c r="D326" s="1" t="s">
        <v>27</v>
      </c>
      <c r="E326" s="1">
        <v>80.459999999999994</v>
      </c>
      <c r="F326" s="1">
        <v>3</v>
      </c>
      <c r="G326" s="1">
        <v>241.38</v>
      </c>
      <c r="H326" s="1" t="s">
        <v>235</v>
      </c>
    </row>
    <row r="327" spans="1:8" x14ac:dyDescent="0.35">
      <c r="A327" s="2">
        <v>45012.1875</v>
      </c>
      <c r="B327" s="3">
        <v>0.4893865740740741</v>
      </c>
      <c r="C327" s="1" t="s">
        <v>8</v>
      </c>
      <c r="D327" s="1" t="s">
        <v>12</v>
      </c>
      <c r="E327" s="1">
        <v>442.94</v>
      </c>
      <c r="F327" s="1">
        <v>2</v>
      </c>
      <c r="G327" s="1">
        <v>885.88</v>
      </c>
      <c r="H327" s="1" t="s">
        <v>86</v>
      </c>
    </row>
    <row r="328" spans="1:8" x14ac:dyDescent="0.35">
      <c r="A328" s="2">
        <v>45121.053472222222</v>
      </c>
      <c r="B328" s="3">
        <v>0.27119212962962963</v>
      </c>
      <c r="C328" s="1" t="s">
        <v>8</v>
      </c>
      <c r="D328" s="1" t="s">
        <v>16</v>
      </c>
      <c r="E328" s="1">
        <v>360.32</v>
      </c>
      <c r="F328" s="1">
        <v>3</v>
      </c>
      <c r="G328" s="1">
        <v>1080.96</v>
      </c>
      <c r="H328" s="1" t="s">
        <v>78</v>
      </c>
    </row>
    <row r="329" spans="1:8" x14ac:dyDescent="0.35">
      <c r="A329" s="2">
        <v>45071.334722222222</v>
      </c>
      <c r="B329" s="3">
        <v>0.13572916666666665</v>
      </c>
      <c r="C329" s="1" t="s">
        <v>14</v>
      </c>
      <c r="D329" s="1" t="s">
        <v>16</v>
      </c>
      <c r="E329" s="1">
        <v>345.6</v>
      </c>
      <c r="F329" s="1">
        <v>3</v>
      </c>
      <c r="G329" s="1">
        <v>1036.8</v>
      </c>
      <c r="H329" s="1" t="s">
        <v>236</v>
      </c>
    </row>
    <row r="330" spans="1:8" x14ac:dyDescent="0.35">
      <c r="A330" s="2">
        <v>45323.085416666669</v>
      </c>
      <c r="B330" s="3">
        <v>0.58106481481481487</v>
      </c>
      <c r="C330" s="1" t="s">
        <v>8</v>
      </c>
      <c r="D330" s="1" t="s">
        <v>20</v>
      </c>
      <c r="E330" s="1">
        <v>311.56</v>
      </c>
      <c r="F330" s="1">
        <v>3</v>
      </c>
      <c r="G330" s="1">
        <v>934.68</v>
      </c>
      <c r="H330" s="1" t="s">
        <v>237</v>
      </c>
    </row>
    <row r="331" spans="1:8" x14ac:dyDescent="0.35">
      <c r="A331" s="2">
        <v>45543.408333333333</v>
      </c>
      <c r="B331" s="3">
        <v>0.98570601851851858</v>
      </c>
      <c r="C331" s="1" t="s">
        <v>11</v>
      </c>
      <c r="D331" s="1" t="s">
        <v>27</v>
      </c>
      <c r="E331" s="1">
        <v>75.680000000000007</v>
      </c>
      <c r="F331" s="1">
        <v>3</v>
      </c>
      <c r="G331" s="1">
        <v>227.04</v>
      </c>
      <c r="H331" s="1" t="s">
        <v>163</v>
      </c>
    </row>
    <row r="332" spans="1:8" x14ac:dyDescent="0.35">
      <c r="A332" s="2">
        <v>45421.771527777775</v>
      </c>
      <c r="B332" s="3">
        <v>0.83351851851851855</v>
      </c>
      <c r="C332" s="1" t="s">
        <v>14</v>
      </c>
      <c r="D332" s="1" t="s">
        <v>9</v>
      </c>
      <c r="E332" s="1">
        <v>224.6</v>
      </c>
      <c r="F332" s="1">
        <v>2</v>
      </c>
      <c r="G332" s="1">
        <v>449.2</v>
      </c>
      <c r="H332" s="1" t="s">
        <v>238</v>
      </c>
    </row>
    <row r="333" spans="1:8" x14ac:dyDescent="0.35">
      <c r="A333" s="2">
        <v>45661.050694444442</v>
      </c>
      <c r="B333" s="3">
        <v>0.75858796296296294</v>
      </c>
      <c r="C333" s="1" t="s">
        <v>11</v>
      </c>
      <c r="D333" s="1" t="s">
        <v>9</v>
      </c>
      <c r="E333" s="1">
        <v>145.11000000000001</v>
      </c>
      <c r="F333" s="1">
        <v>4</v>
      </c>
      <c r="G333" s="1">
        <v>580.44000000000005</v>
      </c>
      <c r="H333" s="1" t="s">
        <v>239</v>
      </c>
    </row>
    <row r="334" spans="1:8" x14ac:dyDescent="0.35">
      <c r="A334" s="2">
        <v>45147.75</v>
      </c>
      <c r="B334" s="3">
        <v>0.23505787037037038</v>
      </c>
      <c r="C334" s="1" t="s">
        <v>14</v>
      </c>
      <c r="D334" s="1" t="s">
        <v>16</v>
      </c>
      <c r="E334" s="1">
        <v>24.87</v>
      </c>
      <c r="F334" s="1">
        <v>3</v>
      </c>
      <c r="G334" s="1">
        <v>74.61</v>
      </c>
      <c r="H334" s="1" t="s">
        <v>240</v>
      </c>
    </row>
    <row r="335" spans="1:8" x14ac:dyDescent="0.35">
      <c r="A335" s="2">
        <v>45194.287499999999</v>
      </c>
      <c r="B335" s="3">
        <v>8.9178240740740752E-2</v>
      </c>
      <c r="C335" s="1" t="s">
        <v>8</v>
      </c>
      <c r="D335" s="1" t="s">
        <v>20</v>
      </c>
      <c r="E335" s="1">
        <v>462.77</v>
      </c>
      <c r="F335" s="1">
        <v>5</v>
      </c>
      <c r="G335" s="1">
        <v>2313.85</v>
      </c>
      <c r="H335" s="1" t="s">
        <v>224</v>
      </c>
    </row>
    <row r="336" spans="1:8" x14ac:dyDescent="0.35">
      <c r="A336" s="2">
        <v>44928.974999999999</v>
      </c>
      <c r="B336" s="3">
        <v>0.11486111111111112</v>
      </c>
      <c r="C336" s="1" t="s">
        <v>11</v>
      </c>
      <c r="D336" s="1" t="s">
        <v>16</v>
      </c>
      <c r="E336" s="1">
        <v>131.69999999999999</v>
      </c>
      <c r="F336" s="1">
        <v>4</v>
      </c>
      <c r="G336" s="1">
        <v>526.79999999999995</v>
      </c>
      <c r="H336" s="1" t="s">
        <v>241</v>
      </c>
    </row>
    <row r="337" spans="1:8" x14ac:dyDescent="0.35">
      <c r="A337" s="2">
        <v>45103.174305555556</v>
      </c>
      <c r="B337" s="3">
        <v>0.2522685185185185</v>
      </c>
      <c r="C337" s="1" t="s">
        <v>14</v>
      </c>
      <c r="D337" s="1" t="s">
        <v>16</v>
      </c>
      <c r="E337" s="1">
        <v>79.239999999999995</v>
      </c>
      <c r="F337" s="1">
        <v>3</v>
      </c>
      <c r="G337" s="1">
        <v>237.72</v>
      </c>
      <c r="H337" s="1" t="s">
        <v>91</v>
      </c>
    </row>
    <row r="338" spans="1:8" x14ac:dyDescent="0.35">
      <c r="A338" s="2">
        <v>44960.261111111111</v>
      </c>
      <c r="B338" s="3">
        <v>0.88153935185185184</v>
      </c>
      <c r="C338" s="1" t="s">
        <v>8</v>
      </c>
      <c r="D338" s="1" t="s">
        <v>12</v>
      </c>
      <c r="E338" s="1">
        <v>446.29</v>
      </c>
      <c r="F338" s="1">
        <v>5</v>
      </c>
      <c r="G338" s="1">
        <v>2231.4499999999998</v>
      </c>
      <c r="H338" s="1" t="s">
        <v>242</v>
      </c>
    </row>
    <row r="339" spans="1:8" x14ac:dyDescent="0.35">
      <c r="A339" s="2">
        <v>45067.395833333336</v>
      </c>
      <c r="B339" s="3">
        <v>0.32497685185185182</v>
      </c>
      <c r="C339" s="1" t="s">
        <v>11</v>
      </c>
      <c r="D339" s="1" t="s">
        <v>9</v>
      </c>
      <c r="E339" s="1">
        <v>228.74</v>
      </c>
      <c r="F339" s="1">
        <v>1</v>
      </c>
      <c r="G339" s="1">
        <v>228.74</v>
      </c>
      <c r="H339" s="1" t="s">
        <v>243</v>
      </c>
    </row>
    <row r="340" spans="1:8" x14ac:dyDescent="0.35">
      <c r="A340" s="2">
        <v>45563.025000000001</v>
      </c>
      <c r="B340" s="3">
        <v>0.35692129629629626</v>
      </c>
      <c r="C340" s="1" t="s">
        <v>8</v>
      </c>
      <c r="D340" s="1" t="s">
        <v>20</v>
      </c>
      <c r="E340" s="1">
        <v>226.51</v>
      </c>
      <c r="F340" s="1">
        <v>4</v>
      </c>
      <c r="G340" s="1">
        <v>906.04</v>
      </c>
      <c r="H340" s="1" t="s">
        <v>141</v>
      </c>
    </row>
    <row r="341" spans="1:8" x14ac:dyDescent="0.35">
      <c r="A341" s="2">
        <v>45134.925000000003</v>
      </c>
      <c r="B341" s="3">
        <v>0.13045138888888888</v>
      </c>
      <c r="C341" s="1" t="s">
        <v>14</v>
      </c>
      <c r="D341" s="1" t="s">
        <v>20</v>
      </c>
      <c r="E341" s="1">
        <v>142.31</v>
      </c>
      <c r="F341" s="1">
        <v>2</v>
      </c>
      <c r="G341" s="1">
        <v>284.62</v>
      </c>
      <c r="H341" s="1" t="s">
        <v>40</v>
      </c>
    </row>
    <row r="342" spans="1:8" x14ac:dyDescent="0.35">
      <c r="A342" s="2">
        <v>44970.06527777778</v>
      </c>
      <c r="B342" s="3">
        <v>0.45277777777777778</v>
      </c>
      <c r="C342" s="1" t="s">
        <v>8</v>
      </c>
      <c r="D342" s="1" t="s">
        <v>20</v>
      </c>
      <c r="E342" s="1">
        <v>92.47</v>
      </c>
      <c r="F342" s="1">
        <v>1</v>
      </c>
      <c r="G342" s="1">
        <v>92.47</v>
      </c>
      <c r="H342" s="1" t="s">
        <v>26</v>
      </c>
    </row>
    <row r="343" spans="1:8" x14ac:dyDescent="0.35">
      <c r="A343" s="2">
        <v>45176.940972222219</v>
      </c>
      <c r="B343" s="3">
        <v>0.16266203703703705</v>
      </c>
      <c r="C343" s="1" t="s">
        <v>8</v>
      </c>
      <c r="D343" s="1" t="s">
        <v>9</v>
      </c>
      <c r="E343" s="1">
        <v>201.13</v>
      </c>
      <c r="F343" s="1">
        <v>5</v>
      </c>
      <c r="G343" s="1">
        <v>1005.65</v>
      </c>
      <c r="H343" s="1" t="s">
        <v>130</v>
      </c>
    </row>
    <row r="344" spans="1:8" x14ac:dyDescent="0.35">
      <c r="A344" s="2">
        <v>44980.366666666669</v>
      </c>
      <c r="B344" s="3">
        <v>0.20603009259259261</v>
      </c>
      <c r="C344" s="1" t="s">
        <v>11</v>
      </c>
      <c r="D344" s="1" t="s">
        <v>27</v>
      </c>
      <c r="E344" s="1">
        <v>376.47</v>
      </c>
      <c r="F344" s="1">
        <v>4</v>
      </c>
      <c r="G344" s="1">
        <v>1505.88</v>
      </c>
      <c r="H344" s="1" t="s">
        <v>185</v>
      </c>
    </row>
    <row r="345" spans="1:8" x14ac:dyDescent="0.35">
      <c r="A345" s="2">
        <v>45026.529166666667</v>
      </c>
      <c r="B345" s="3">
        <v>0.91366898148148146</v>
      </c>
      <c r="C345" s="1" t="s">
        <v>8</v>
      </c>
      <c r="D345" s="1" t="s">
        <v>9</v>
      </c>
      <c r="E345" s="1">
        <v>429.71</v>
      </c>
      <c r="F345" s="1">
        <v>4</v>
      </c>
      <c r="G345" s="1">
        <v>1718.84</v>
      </c>
      <c r="H345" s="1" t="s">
        <v>136</v>
      </c>
    </row>
    <row r="346" spans="1:8" x14ac:dyDescent="0.35">
      <c r="A346" s="2">
        <v>45470.951388888891</v>
      </c>
      <c r="B346" s="3">
        <v>0.48789351851851853</v>
      </c>
      <c r="C346" s="1" t="s">
        <v>11</v>
      </c>
      <c r="D346" s="1" t="s">
        <v>12</v>
      </c>
      <c r="E346" s="1">
        <v>78.540000000000006</v>
      </c>
      <c r="F346" s="1">
        <v>5</v>
      </c>
      <c r="G346" s="1">
        <v>392.7</v>
      </c>
      <c r="H346" s="1" t="s">
        <v>112</v>
      </c>
    </row>
    <row r="347" spans="1:8" x14ac:dyDescent="0.35">
      <c r="A347" s="2">
        <v>44987.732638888891</v>
      </c>
      <c r="B347" s="3">
        <v>0.36129629629629628</v>
      </c>
      <c r="C347" s="1" t="s">
        <v>11</v>
      </c>
      <c r="D347" s="1" t="s">
        <v>12</v>
      </c>
      <c r="E347" s="1">
        <v>105.13</v>
      </c>
      <c r="F347" s="1">
        <v>5</v>
      </c>
      <c r="G347" s="1">
        <v>525.65</v>
      </c>
      <c r="H347" s="1" t="s">
        <v>42</v>
      </c>
    </row>
    <row r="348" spans="1:8" x14ac:dyDescent="0.35">
      <c r="A348" s="2">
        <v>45456.815972222219</v>
      </c>
      <c r="B348" s="3">
        <v>0.25168981481481484</v>
      </c>
      <c r="C348" s="1" t="s">
        <v>8</v>
      </c>
      <c r="D348" s="1" t="s">
        <v>27</v>
      </c>
      <c r="E348" s="1">
        <v>469.11</v>
      </c>
      <c r="F348" s="1">
        <v>3</v>
      </c>
      <c r="G348" s="1">
        <v>1407.33</v>
      </c>
      <c r="H348" s="1" t="s">
        <v>131</v>
      </c>
    </row>
    <row r="349" spans="1:8" x14ac:dyDescent="0.35">
      <c r="A349" s="2">
        <v>45413.218055555553</v>
      </c>
      <c r="B349" s="3">
        <v>0.62774305555555554</v>
      </c>
      <c r="C349" s="1" t="s">
        <v>14</v>
      </c>
      <c r="D349" s="1" t="s">
        <v>12</v>
      </c>
      <c r="E349" s="1">
        <v>85.31</v>
      </c>
      <c r="F349" s="1">
        <v>4</v>
      </c>
      <c r="G349" s="1">
        <v>341.24</v>
      </c>
      <c r="H349" s="1" t="s">
        <v>187</v>
      </c>
    </row>
    <row r="350" spans="1:8" x14ac:dyDescent="0.35">
      <c r="A350" s="2">
        <v>45465.305555555555</v>
      </c>
      <c r="B350" s="3">
        <v>0.74071759259259251</v>
      </c>
      <c r="C350" s="1" t="s">
        <v>11</v>
      </c>
      <c r="D350" s="1" t="s">
        <v>16</v>
      </c>
      <c r="E350" s="1">
        <v>316.22000000000003</v>
      </c>
      <c r="F350" s="1">
        <v>5</v>
      </c>
      <c r="G350" s="1">
        <v>1581.1</v>
      </c>
      <c r="H350" s="1" t="s">
        <v>244</v>
      </c>
    </row>
    <row r="351" spans="1:8" x14ac:dyDescent="0.35">
      <c r="A351" s="2">
        <v>44987.977777777778</v>
      </c>
      <c r="B351" s="3">
        <v>0.2127199074074074</v>
      </c>
      <c r="C351" s="1" t="s">
        <v>14</v>
      </c>
      <c r="D351" s="1" t="s">
        <v>9</v>
      </c>
      <c r="E351" s="1">
        <v>83.15</v>
      </c>
      <c r="F351" s="1">
        <v>1</v>
      </c>
      <c r="G351" s="1">
        <v>83.15</v>
      </c>
      <c r="H351" s="1" t="s">
        <v>245</v>
      </c>
    </row>
    <row r="352" spans="1:8" x14ac:dyDescent="0.35">
      <c r="A352" s="2">
        <v>44944.746527777781</v>
      </c>
      <c r="B352" s="3">
        <v>0.41002314814814816</v>
      </c>
      <c r="C352" s="1" t="s">
        <v>11</v>
      </c>
      <c r="D352" s="1" t="s">
        <v>9</v>
      </c>
      <c r="E352" s="1">
        <v>355.02</v>
      </c>
      <c r="F352" s="1">
        <v>3</v>
      </c>
      <c r="G352" s="1">
        <v>1065.06</v>
      </c>
      <c r="H352" s="1" t="s">
        <v>120</v>
      </c>
    </row>
    <row r="353" spans="1:8" x14ac:dyDescent="0.35">
      <c r="A353" s="2">
        <v>45637.952777777777</v>
      </c>
      <c r="B353" s="3">
        <v>0.19085648148148149</v>
      </c>
      <c r="C353" s="1" t="s">
        <v>14</v>
      </c>
      <c r="D353" s="1" t="s">
        <v>12</v>
      </c>
      <c r="E353" s="1">
        <v>73.84</v>
      </c>
      <c r="F353" s="1">
        <v>1</v>
      </c>
      <c r="G353" s="1">
        <v>73.84</v>
      </c>
      <c r="H353" s="1" t="s">
        <v>85</v>
      </c>
    </row>
    <row r="354" spans="1:8" x14ac:dyDescent="0.35">
      <c r="A354" s="2">
        <v>45129.328472222223</v>
      </c>
      <c r="B354" s="3">
        <v>0.8736342592592593</v>
      </c>
      <c r="C354" s="1" t="s">
        <v>14</v>
      </c>
      <c r="D354" s="1" t="s">
        <v>16</v>
      </c>
      <c r="E354" s="1">
        <v>155.85</v>
      </c>
      <c r="F354" s="1">
        <v>3</v>
      </c>
      <c r="G354" s="1">
        <v>467.55</v>
      </c>
      <c r="H354" s="1" t="s">
        <v>44</v>
      </c>
    </row>
    <row r="355" spans="1:8" x14ac:dyDescent="0.35">
      <c r="A355" s="2">
        <v>45483.378472222219</v>
      </c>
      <c r="B355" s="3">
        <v>0.57406250000000003</v>
      </c>
      <c r="C355" s="1" t="s">
        <v>8</v>
      </c>
      <c r="D355" s="1" t="s">
        <v>16</v>
      </c>
      <c r="E355" s="1">
        <v>222.49</v>
      </c>
      <c r="F355" s="1">
        <v>5</v>
      </c>
      <c r="G355" s="1">
        <v>1112.45</v>
      </c>
      <c r="H355" s="1" t="s">
        <v>246</v>
      </c>
    </row>
    <row r="356" spans="1:8" x14ac:dyDescent="0.35">
      <c r="A356" s="2">
        <v>45173.686111111114</v>
      </c>
      <c r="B356" s="3">
        <v>0.29872685185185183</v>
      </c>
      <c r="C356" s="1" t="s">
        <v>8</v>
      </c>
      <c r="D356" s="1" t="s">
        <v>12</v>
      </c>
      <c r="E356" s="1">
        <v>114.53</v>
      </c>
      <c r="F356" s="1">
        <v>2</v>
      </c>
      <c r="G356" s="1">
        <v>229.06</v>
      </c>
      <c r="H356" s="1" t="s">
        <v>247</v>
      </c>
    </row>
    <row r="357" spans="1:8" x14ac:dyDescent="0.35">
      <c r="A357" s="2">
        <v>45284.457638888889</v>
      </c>
      <c r="B357" s="3">
        <v>1.068287037037037E-2</v>
      </c>
      <c r="C357" s="1" t="s">
        <v>14</v>
      </c>
      <c r="D357" s="1" t="s">
        <v>16</v>
      </c>
      <c r="E357" s="1">
        <v>391.98</v>
      </c>
      <c r="F357" s="1">
        <v>4</v>
      </c>
      <c r="G357" s="1">
        <v>1567.92</v>
      </c>
      <c r="H357" s="1" t="s">
        <v>248</v>
      </c>
    </row>
    <row r="358" spans="1:8" x14ac:dyDescent="0.35">
      <c r="A358" s="2">
        <v>45343.602083333331</v>
      </c>
      <c r="B358" s="3">
        <v>0.44907407407407413</v>
      </c>
      <c r="C358" s="1" t="s">
        <v>14</v>
      </c>
      <c r="D358" s="1" t="s">
        <v>20</v>
      </c>
      <c r="E358" s="1">
        <v>12.76</v>
      </c>
      <c r="F358" s="1">
        <v>4</v>
      </c>
      <c r="G358" s="1">
        <v>51.04</v>
      </c>
      <c r="H358" s="1" t="s">
        <v>249</v>
      </c>
    </row>
    <row r="359" spans="1:8" x14ac:dyDescent="0.35">
      <c r="A359" s="2">
        <v>45169.219444444447</v>
      </c>
      <c r="B359" s="3">
        <v>0.51187499999999997</v>
      </c>
      <c r="C359" s="1" t="s">
        <v>8</v>
      </c>
      <c r="D359" s="1" t="s">
        <v>9</v>
      </c>
      <c r="E359" s="1">
        <v>465.06</v>
      </c>
      <c r="F359" s="1">
        <v>3</v>
      </c>
      <c r="G359" s="1">
        <v>1395.18</v>
      </c>
      <c r="H359" s="1" t="s">
        <v>237</v>
      </c>
    </row>
    <row r="360" spans="1:8" x14ac:dyDescent="0.35">
      <c r="A360" s="2">
        <v>45467.470833333333</v>
      </c>
      <c r="B360" s="3">
        <v>0.98434027777777777</v>
      </c>
      <c r="C360" s="1" t="s">
        <v>14</v>
      </c>
      <c r="D360" s="1" t="s">
        <v>16</v>
      </c>
      <c r="E360" s="1">
        <v>98.65</v>
      </c>
      <c r="F360" s="1">
        <v>4</v>
      </c>
      <c r="G360" s="1">
        <v>394.6</v>
      </c>
      <c r="H360" s="1" t="s">
        <v>250</v>
      </c>
    </row>
    <row r="361" spans="1:8" x14ac:dyDescent="0.35">
      <c r="A361" s="2">
        <v>45640.453472222223</v>
      </c>
      <c r="B361" s="3">
        <v>1.1331018518518518E-2</v>
      </c>
      <c r="C361" s="1" t="s">
        <v>14</v>
      </c>
      <c r="D361" s="1" t="s">
        <v>27</v>
      </c>
      <c r="E361" s="1">
        <v>247.13</v>
      </c>
      <c r="F361" s="1">
        <v>2</v>
      </c>
      <c r="G361" s="1">
        <v>494.26</v>
      </c>
      <c r="H361" s="1" t="s">
        <v>29</v>
      </c>
    </row>
    <row r="362" spans="1:8" x14ac:dyDescent="0.35">
      <c r="A362" s="2">
        <v>45509.957638888889</v>
      </c>
      <c r="B362" s="3">
        <v>0.88392361111111117</v>
      </c>
      <c r="C362" s="1" t="s">
        <v>8</v>
      </c>
      <c r="D362" s="1" t="s">
        <v>27</v>
      </c>
      <c r="E362" s="1">
        <v>247.27</v>
      </c>
      <c r="F362" s="1">
        <v>2</v>
      </c>
      <c r="G362" s="1">
        <v>494.54</v>
      </c>
      <c r="H362" s="1" t="s">
        <v>251</v>
      </c>
    </row>
    <row r="363" spans="1:8" x14ac:dyDescent="0.35">
      <c r="A363" s="2">
        <v>45619.428472222222</v>
      </c>
      <c r="B363" s="3">
        <v>0.4011805555555556</v>
      </c>
      <c r="C363" s="1" t="s">
        <v>14</v>
      </c>
      <c r="D363" s="1" t="s">
        <v>16</v>
      </c>
      <c r="E363" s="1">
        <v>115.31</v>
      </c>
      <c r="F363" s="1">
        <v>4</v>
      </c>
      <c r="G363" s="1">
        <v>461.24</v>
      </c>
      <c r="H363" s="1" t="s">
        <v>116</v>
      </c>
    </row>
    <row r="364" spans="1:8" x14ac:dyDescent="0.35">
      <c r="A364" s="2">
        <v>45493.540972222225</v>
      </c>
      <c r="B364" s="3">
        <v>0.44469907407407411</v>
      </c>
      <c r="C364" s="1" t="s">
        <v>8</v>
      </c>
      <c r="D364" s="1" t="s">
        <v>27</v>
      </c>
      <c r="E364" s="1">
        <v>89.43</v>
      </c>
      <c r="F364" s="1">
        <v>2</v>
      </c>
      <c r="G364" s="1">
        <v>178.86</v>
      </c>
      <c r="H364" s="1" t="s">
        <v>252</v>
      </c>
    </row>
    <row r="365" spans="1:8" x14ac:dyDescent="0.35">
      <c r="A365" s="2">
        <v>45562.55972222222</v>
      </c>
      <c r="B365" s="3">
        <v>0.27959490740740739</v>
      </c>
      <c r="C365" s="1" t="s">
        <v>14</v>
      </c>
      <c r="D365" s="1" t="s">
        <v>12</v>
      </c>
      <c r="E365" s="1">
        <v>434.85</v>
      </c>
      <c r="F365" s="1">
        <v>1</v>
      </c>
      <c r="G365" s="1">
        <v>434.85</v>
      </c>
      <c r="H365" s="1" t="s">
        <v>253</v>
      </c>
    </row>
    <row r="366" spans="1:8" x14ac:dyDescent="0.35">
      <c r="A366" s="2">
        <v>45302.145833333336</v>
      </c>
      <c r="B366" s="3">
        <v>0.36815972222222221</v>
      </c>
      <c r="C366" s="1" t="s">
        <v>14</v>
      </c>
      <c r="D366" s="1" t="s">
        <v>20</v>
      </c>
      <c r="E366" s="1">
        <v>364.58</v>
      </c>
      <c r="F366" s="1">
        <v>5</v>
      </c>
      <c r="G366" s="1">
        <v>1822.9</v>
      </c>
      <c r="H366" s="1" t="s">
        <v>222</v>
      </c>
    </row>
    <row r="367" spans="1:8" x14ac:dyDescent="0.35">
      <c r="A367" s="2">
        <v>45071.548611111109</v>
      </c>
      <c r="B367" s="3">
        <v>0.59062500000000007</v>
      </c>
      <c r="C367" s="1" t="s">
        <v>14</v>
      </c>
      <c r="D367" s="1" t="s">
        <v>20</v>
      </c>
      <c r="E367" s="1">
        <v>462.09</v>
      </c>
      <c r="F367" s="1">
        <v>4</v>
      </c>
      <c r="G367" s="1">
        <v>1848.36</v>
      </c>
      <c r="H367" s="1" t="s">
        <v>254</v>
      </c>
    </row>
    <row r="368" spans="1:8" x14ac:dyDescent="0.35">
      <c r="A368" s="2">
        <v>45633.888194444444</v>
      </c>
      <c r="B368" s="3">
        <v>0.78657407407407398</v>
      </c>
      <c r="C368" s="1" t="s">
        <v>14</v>
      </c>
      <c r="D368" s="1" t="s">
        <v>9</v>
      </c>
      <c r="E368" s="1">
        <v>396.52</v>
      </c>
      <c r="F368" s="1">
        <v>5</v>
      </c>
      <c r="G368" s="1">
        <v>1982.6</v>
      </c>
      <c r="H368" s="1" t="s">
        <v>255</v>
      </c>
    </row>
    <row r="369" spans="1:8" x14ac:dyDescent="0.35">
      <c r="A369" s="2">
        <v>45196.5625</v>
      </c>
      <c r="B369" s="3">
        <v>0.18831018518518519</v>
      </c>
      <c r="C369" s="1" t="s">
        <v>11</v>
      </c>
      <c r="D369" s="1" t="s">
        <v>12</v>
      </c>
      <c r="E369" s="1">
        <v>169.57</v>
      </c>
      <c r="F369" s="1">
        <v>5</v>
      </c>
      <c r="G369" s="1">
        <v>847.85</v>
      </c>
      <c r="H369" s="1" t="s">
        <v>137</v>
      </c>
    </row>
    <row r="370" spans="1:8" x14ac:dyDescent="0.35">
      <c r="A370" s="2">
        <v>45523.004166666666</v>
      </c>
      <c r="B370" s="3">
        <v>0.74603009259259256</v>
      </c>
      <c r="C370" s="1" t="s">
        <v>14</v>
      </c>
      <c r="D370" s="1" t="s">
        <v>27</v>
      </c>
      <c r="E370" s="1">
        <v>451.64</v>
      </c>
      <c r="F370" s="1">
        <v>1</v>
      </c>
      <c r="G370" s="1">
        <v>451.64</v>
      </c>
      <c r="H370" s="1" t="s">
        <v>256</v>
      </c>
    </row>
    <row r="371" spans="1:8" x14ac:dyDescent="0.35">
      <c r="A371" s="2">
        <v>45647.862500000003</v>
      </c>
      <c r="B371" s="3">
        <v>0.51873842592592589</v>
      </c>
      <c r="C371" s="1" t="s">
        <v>8</v>
      </c>
      <c r="D371" s="1" t="s">
        <v>27</v>
      </c>
      <c r="E371" s="1">
        <v>133.53</v>
      </c>
      <c r="F371" s="1">
        <v>4</v>
      </c>
      <c r="G371" s="1">
        <v>534.12</v>
      </c>
      <c r="H371" s="1" t="s">
        <v>257</v>
      </c>
    </row>
    <row r="372" spans="1:8" x14ac:dyDescent="0.35">
      <c r="A372" s="2">
        <v>45465.643055555556</v>
      </c>
      <c r="B372" s="3">
        <v>0.67130787037037043</v>
      </c>
      <c r="C372" s="1" t="s">
        <v>8</v>
      </c>
      <c r="D372" s="1" t="s">
        <v>9</v>
      </c>
      <c r="E372" s="1">
        <v>401.6</v>
      </c>
      <c r="F372" s="1">
        <v>3</v>
      </c>
      <c r="G372" s="1">
        <v>1204.8</v>
      </c>
      <c r="H372" s="1" t="s">
        <v>85</v>
      </c>
    </row>
    <row r="373" spans="1:8" x14ac:dyDescent="0.35">
      <c r="A373" s="2">
        <v>45135.258333333331</v>
      </c>
      <c r="B373" s="3">
        <v>0.75665509259259256</v>
      </c>
      <c r="C373" s="1" t="s">
        <v>8</v>
      </c>
      <c r="D373" s="1" t="s">
        <v>12</v>
      </c>
      <c r="E373" s="1">
        <v>391.17</v>
      </c>
      <c r="F373" s="1">
        <v>1</v>
      </c>
      <c r="G373" s="1">
        <v>391.17</v>
      </c>
      <c r="H373" s="1" t="s">
        <v>258</v>
      </c>
    </row>
    <row r="374" spans="1:8" x14ac:dyDescent="0.35">
      <c r="A374" s="2">
        <v>45578.088194444441</v>
      </c>
      <c r="B374" s="3">
        <v>0.2945949074074074</v>
      </c>
      <c r="C374" s="1" t="s">
        <v>8</v>
      </c>
      <c r="D374" s="1" t="s">
        <v>12</v>
      </c>
      <c r="E374" s="1">
        <v>270.23</v>
      </c>
      <c r="F374" s="1">
        <v>3</v>
      </c>
      <c r="G374" s="1">
        <v>810.69</v>
      </c>
      <c r="H374" s="1" t="s">
        <v>259</v>
      </c>
    </row>
    <row r="375" spans="1:8" x14ac:dyDescent="0.35">
      <c r="A375" s="2">
        <v>45257.352777777778</v>
      </c>
      <c r="B375" s="3">
        <v>0.39230324074074074</v>
      </c>
      <c r="C375" s="1" t="s">
        <v>11</v>
      </c>
      <c r="D375" s="1" t="s">
        <v>20</v>
      </c>
      <c r="E375" s="1">
        <v>490.76</v>
      </c>
      <c r="F375" s="1">
        <v>4</v>
      </c>
      <c r="G375" s="1">
        <v>1963.04</v>
      </c>
      <c r="H375" s="1" t="s">
        <v>108</v>
      </c>
    </row>
    <row r="376" spans="1:8" x14ac:dyDescent="0.35">
      <c r="A376" s="2">
        <v>45194.956250000003</v>
      </c>
      <c r="B376" s="3">
        <v>0.62267361111111108</v>
      </c>
      <c r="C376" s="1" t="s">
        <v>11</v>
      </c>
      <c r="D376" s="1" t="s">
        <v>27</v>
      </c>
      <c r="E376" s="1">
        <v>401.48</v>
      </c>
      <c r="F376" s="1">
        <v>3</v>
      </c>
      <c r="G376" s="1">
        <v>1204.44</v>
      </c>
      <c r="H376" s="1" t="s">
        <v>260</v>
      </c>
    </row>
    <row r="377" spans="1:8" x14ac:dyDescent="0.35">
      <c r="A377" s="2">
        <v>45062.025000000001</v>
      </c>
      <c r="B377" s="3">
        <v>0.37248842592592596</v>
      </c>
      <c r="C377" s="1" t="s">
        <v>14</v>
      </c>
      <c r="D377" s="1" t="s">
        <v>12</v>
      </c>
      <c r="E377" s="1">
        <v>269.22000000000003</v>
      </c>
      <c r="F377" s="1">
        <v>4</v>
      </c>
      <c r="G377" s="1">
        <v>1076.8800000000001</v>
      </c>
      <c r="H377" s="1" t="s">
        <v>261</v>
      </c>
    </row>
    <row r="378" spans="1:8" x14ac:dyDescent="0.35">
      <c r="A378" s="2">
        <v>45419.912499999999</v>
      </c>
      <c r="B378" s="3">
        <v>0.85064814814814815</v>
      </c>
      <c r="C378" s="1" t="s">
        <v>14</v>
      </c>
      <c r="D378" s="1" t="s">
        <v>16</v>
      </c>
      <c r="E378" s="1">
        <v>239.96</v>
      </c>
      <c r="F378" s="1">
        <v>3</v>
      </c>
      <c r="G378" s="1">
        <v>719.88</v>
      </c>
      <c r="H378" s="1" t="s">
        <v>71</v>
      </c>
    </row>
    <row r="379" spans="1:8" x14ac:dyDescent="0.35">
      <c r="A379" s="2">
        <v>45596.38958333333</v>
      </c>
      <c r="B379" s="3">
        <v>0.85819444444444448</v>
      </c>
      <c r="C379" s="1" t="s">
        <v>8</v>
      </c>
      <c r="D379" s="1" t="s">
        <v>20</v>
      </c>
      <c r="E379" s="1">
        <v>52.93</v>
      </c>
      <c r="F379" s="1">
        <v>4</v>
      </c>
      <c r="G379" s="1">
        <v>211.72</v>
      </c>
      <c r="H379" s="1" t="s">
        <v>100</v>
      </c>
    </row>
    <row r="380" spans="1:8" x14ac:dyDescent="0.35">
      <c r="A380" s="2">
        <v>44971.897916666669</v>
      </c>
      <c r="B380" s="3">
        <v>3.4479166666666665E-2</v>
      </c>
      <c r="C380" s="1" t="s">
        <v>11</v>
      </c>
      <c r="D380" s="1" t="s">
        <v>16</v>
      </c>
      <c r="E380" s="1">
        <v>360.87</v>
      </c>
      <c r="F380" s="1">
        <v>1</v>
      </c>
      <c r="G380" s="1">
        <v>360.87</v>
      </c>
      <c r="H380" s="1" t="s">
        <v>262</v>
      </c>
    </row>
    <row r="381" spans="1:8" x14ac:dyDescent="0.35">
      <c r="A381" s="2">
        <v>45359.966666666667</v>
      </c>
      <c r="B381" s="3">
        <v>0.6179513888888889</v>
      </c>
      <c r="C381" s="1" t="s">
        <v>11</v>
      </c>
      <c r="D381" s="1" t="s">
        <v>20</v>
      </c>
      <c r="E381" s="1">
        <v>444.35</v>
      </c>
      <c r="F381" s="1">
        <v>5</v>
      </c>
      <c r="G381" s="1">
        <v>2221.75</v>
      </c>
      <c r="H381" s="1" t="s">
        <v>263</v>
      </c>
    </row>
    <row r="382" spans="1:8" x14ac:dyDescent="0.35">
      <c r="A382" s="2">
        <v>45574.833333333336</v>
      </c>
      <c r="B382" s="3">
        <v>0.18386574074074072</v>
      </c>
      <c r="C382" s="1" t="s">
        <v>14</v>
      </c>
      <c r="D382" s="1" t="s">
        <v>16</v>
      </c>
      <c r="E382" s="1">
        <v>371.27</v>
      </c>
      <c r="F382" s="1">
        <v>5</v>
      </c>
      <c r="G382" s="1">
        <v>1856.35</v>
      </c>
      <c r="H382" s="1" t="s">
        <v>148</v>
      </c>
    </row>
    <row r="383" spans="1:8" x14ac:dyDescent="0.35">
      <c r="A383" s="2">
        <v>45660.404166666667</v>
      </c>
      <c r="B383" s="3">
        <v>0.20598379629629629</v>
      </c>
      <c r="C383" s="1" t="s">
        <v>8</v>
      </c>
      <c r="D383" s="1" t="s">
        <v>12</v>
      </c>
      <c r="E383" s="1">
        <v>264.85000000000002</v>
      </c>
      <c r="F383" s="1">
        <v>3</v>
      </c>
      <c r="G383" s="1">
        <v>794.55</v>
      </c>
      <c r="H383" s="1" t="s">
        <v>76</v>
      </c>
    </row>
    <row r="384" spans="1:8" x14ac:dyDescent="0.35">
      <c r="A384" s="2">
        <v>45162.925694444442</v>
      </c>
      <c r="B384" s="3">
        <v>0.76064814814814818</v>
      </c>
      <c r="C384" s="1" t="s">
        <v>11</v>
      </c>
      <c r="D384" s="1" t="s">
        <v>16</v>
      </c>
      <c r="E384" s="1">
        <v>170.15</v>
      </c>
      <c r="F384" s="1">
        <v>5</v>
      </c>
      <c r="G384" s="1">
        <v>850.75</v>
      </c>
      <c r="H384" s="1" t="s">
        <v>199</v>
      </c>
    </row>
    <row r="385" spans="1:8" x14ac:dyDescent="0.35">
      <c r="A385" s="2">
        <v>45300.879861111112</v>
      </c>
      <c r="B385" s="3">
        <v>0.18474537037037039</v>
      </c>
      <c r="C385" s="1" t="s">
        <v>11</v>
      </c>
      <c r="D385" s="1" t="s">
        <v>20</v>
      </c>
      <c r="E385" s="1">
        <v>328.67</v>
      </c>
      <c r="F385" s="1">
        <v>4</v>
      </c>
      <c r="G385" s="1">
        <v>1314.68</v>
      </c>
      <c r="H385" s="1" t="s">
        <v>264</v>
      </c>
    </row>
    <row r="386" spans="1:8" x14ac:dyDescent="0.35">
      <c r="A386" s="2">
        <v>45623.533333333333</v>
      </c>
      <c r="B386" s="3">
        <v>0.55700231481481477</v>
      </c>
      <c r="C386" s="1" t="s">
        <v>14</v>
      </c>
      <c r="D386" s="1" t="s">
        <v>12</v>
      </c>
      <c r="E386" s="1">
        <v>232.41</v>
      </c>
      <c r="F386" s="1">
        <v>1</v>
      </c>
      <c r="G386" s="1">
        <v>232.41</v>
      </c>
      <c r="H386" s="1" t="s">
        <v>58</v>
      </c>
    </row>
    <row r="387" spans="1:8" x14ac:dyDescent="0.35">
      <c r="A387" s="2">
        <v>45352.249305555553</v>
      </c>
      <c r="B387" s="3">
        <v>0.83748842592592598</v>
      </c>
      <c r="C387" s="1" t="s">
        <v>8</v>
      </c>
      <c r="D387" s="1" t="s">
        <v>16</v>
      </c>
      <c r="E387" s="1">
        <v>335.94</v>
      </c>
      <c r="F387" s="1">
        <v>2</v>
      </c>
      <c r="G387" s="1">
        <v>671.88</v>
      </c>
      <c r="H387" s="1" t="s">
        <v>147</v>
      </c>
    </row>
    <row r="388" spans="1:8" x14ac:dyDescent="0.35">
      <c r="A388" s="2">
        <v>44967.504166666666</v>
      </c>
      <c r="B388" s="3">
        <v>0.38965277777777779</v>
      </c>
      <c r="C388" s="1" t="s">
        <v>8</v>
      </c>
      <c r="D388" s="1" t="s">
        <v>20</v>
      </c>
      <c r="E388" s="1">
        <v>110.6</v>
      </c>
      <c r="F388" s="1">
        <v>3</v>
      </c>
      <c r="G388" s="1">
        <v>331.8</v>
      </c>
      <c r="H388" s="1" t="s">
        <v>265</v>
      </c>
    </row>
    <row r="389" spans="1:8" x14ac:dyDescent="0.35">
      <c r="A389" s="2">
        <v>45199.885416666664</v>
      </c>
      <c r="B389" s="3">
        <v>0.21943287037037038</v>
      </c>
      <c r="C389" s="1" t="s">
        <v>14</v>
      </c>
      <c r="D389" s="1" t="s">
        <v>16</v>
      </c>
      <c r="E389" s="1">
        <v>91</v>
      </c>
      <c r="F389" s="1">
        <v>2</v>
      </c>
      <c r="G389" s="1">
        <v>182</v>
      </c>
      <c r="H389" s="1" t="s">
        <v>250</v>
      </c>
    </row>
    <row r="390" spans="1:8" x14ac:dyDescent="0.35">
      <c r="A390" s="2">
        <v>45219.426388888889</v>
      </c>
      <c r="B390" s="3">
        <v>0.24253472222222219</v>
      </c>
      <c r="C390" s="1" t="s">
        <v>14</v>
      </c>
      <c r="D390" s="1" t="s">
        <v>12</v>
      </c>
      <c r="E390" s="1">
        <v>361.95</v>
      </c>
      <c r="F390" s="1">
        <v>3</v>
      </c>
      <c r="G390" s="1">
        <v>1085.8499999999999</v>
      </c>
      <c r="H390" s="1" t="s">
        <v>266</v>
      </c>
    </row>
    <row r="391" spans="1:8" x14ac:dyDescent="0.35">
      <c r="A391" s="2">
        <v>45082.170138888891</v>
      </c>
      <c r="B391" s="3">
        <v>0.16050925925925927</v>
      </c>
      <c r="C391" s="1" t="s">
        <v>11</v>
      </c>
      <c r="D391" s="1" t="s">
        <v>20</v>
      </c>
      <c r="E391" s="1">
        <v>278.51</v>
      </c>
      <c r="F391" s="1">
        <v>4</v>
      </c>
      <c r="G391" s="1">
        <v>1114.04</v>
      </c>
      <c r="H391" s="1" t="s">
        <v>98</v>
      </c>
    </row>
    <row r="392" spans="1:8" x14ac:dyDescent="0.35">
      <c r="A392" s="2">
        <v>45071.90625</v>
      </c>
      <c r="B392" s="3">
        <v>0.52123842592592595</v>
      </c>
      <c r="C392" s="1" t="s">
        <v>14</v>
      </c>
      <c r="D392" s="1" t="s">
        <v>20</v>
      </c>
      <c r="E392" s="1">
        <v>448.81</v>
      </c>
      <c r="F392" s="1">
        <v>1</v>
      </c>
      <c r="G392" s="1">
        <v>448.81</v>
      </c>
      <c r="H392" s="1" t="s">
        <v>218</v>
      </c>
    </row>
    <row r="393" spans="1:8" x14ac:dyDescent="0.35">
      <c r="A393" s="2">
        <v>45043.448611111111</v>
      </c>
      <c r="B393" s="3">
        <v>0.14177083333333332</v>
      </c>
      <c r="C393" s="1" t="s">
        <v>8</v>
      </c>
      <c r="D393" s="1" t="s">
        <v>9</v>
      </c>
      <c r="E393" s="1">
        <v>212.52</v>
      </c>
      <c r="F393" s="1">
        <v>1</v>
      </c>
      <c r="G393" s="1">
        <v>212.52</v>
      </c>
      <c r="H393" s="1" t="s">
        <v>29</v>
      </c>
    </row>
    <row r="394" spans="1:8" x14ac:dyDescent="0.35">
      <c r="A394" s="2">
        <v>45574.447222222225</v>
      </c>
      <c r="B394" s="3">
        <v>0.78282407407407406</v>
      </c>
      <c r="C394" s="1" t="s">
        <v>14</v>
      </c>
      <c r="D394" s="1" t="s">
        <v>16</v>
      </c>
      <c r="E394" s="1">
        <v>317.08</v>
      </c>
      <c r="F394" s="1">
        <v>4</v>
      </c>
      <c r="G394" s="1">
        <v>1268.32</v>
      </c>
      <c r="H394" s="1" t="s">
        <v>253</v>
      </c>
    </row>
    <row r="395" spans="1:8" x14ac:dyDescent="0.35">
      <c r="A395" s="2">
        <v>45065.988194444442</v>
      </c>
      <c r="B395" s="3">
        <v>0.22731481481481483</v>
      </c>
      <c r="C395" s="1" t="s">
        <v>8</v>
      </c>
      <c r="D395" s="1" t="s">
        <v>12</v>
      </c>
      <c r="E395" s="1">
        <v>365.42</v>
      </c>
      <c r="F395" s="1">
        <v>2</v>
      </c>
      <c r="G395" s="1">
        <v>730.84</v>
      </c>
      <c r="H395" s="1" t="s">
        <v>267</v>
      </c>
    </row>
    <row r="396" spans="1:8" x14ac:dyDescent="0.35">
      <c r="A396" s="2">
        <v>45499.75</v>
      </c>
      <c r="B396" s="3">
        <v>0.50331018518518522</v>
      </c>
      <c r="C396" s="1" t="s">
        <v>14</v>
      </c>
      <c r="D396" s="1" t="s">
        <v>9</v>
      </c>
      <c r="E396" s="1">
        <v>95.85</v>
      </c>
      <c r="F396" s="1">
        <v>2</v>
      </c>
      <c r="G396" s="1">
        <v>191.7</v>
      </c>
      <c r="H396" s="1" t="s">
        <v>111</v>
      </c>
    </row>
    <row r="397" spans="1:8" x14ac:dyDescent="0.35">
      <c r="A397" s="2">
        <v>45128.120833333334</v>
      </c>
      <c r="B397" s="3">
        <v>0.25807870370370373</v>
      </c>
      <c r="C397" s="1" t="s">
        <v>11</v>
      </c>
      <c r="D397" s="1" t="s">
        <v>20</v>
      </c>
      <c r="E397" s="1">
        <v>398.23</v>
      </c>
      <c r="F397" s="1">
        <v>1</v>
      </c>
      <c r="G397" s="1">
        <v>398.23</v>
      </c>
      <c r="H397" s="1" t="s">
        <v>268</v>
      </c>
    </row>
    <row r="398" spans="1:8" x14ac:dyDescent="0.35">
      <c r="A398" s="2">
        <v>45032.857638888891</v>
      </c>
      <c r="B398" s="3">
        <v>0.81092592592592594</v>
      </c>
      <c r="C398" s="1" t="s">
        <v>8</v>
      </c>
      <c r="D398" s="1" t="s">
        <v>27</v>
      </c>
      <c r="E398" s="1">
        <v>358.09</v>
      </c>
      <c r="F398" s="1">
        <v>4</v>
      </c>
      <c r="G398" s="1">
        <v>1432.36</v>
      </c>
      <c r="H398" s="1" t="s">
        <v>269</v>
      </c>
    </row>
    <row r="399" spans="1:8" x14ac:dyDescent="0.35">
      <c r="A399" s="2">
        <v>45405.696527777778</v>
      </c>
      <c r="B399" s="3">
        <v>9.8333333333333328E-2</v>
      </c>
      <c r="C399" s="1" t="s">
        <v>11</v>
      </c>
      <c r="D399" s="1" t="s">
        <v>20</v>
      </c>
      <c r="E399" s="1">
        <v>498.72</v>
      </c>
      <c r="F399" s="1">
        <v>5</v>
      </c>
      <c r="G399" s="1">
        <v>2493.6</v>
      </c>
      <c r="H399" s="1" t="s">
        <v>10</v>
      </c>
    </row>
    <row r="400" spans="1:8" x14ac:dyDescent="0.35">
      <c r="A400" s="2">
        <v>45187.911805555559</v>
      </c>
      <c r="B400" s="3">
        <v>0.71862268518518524</v>
      </c>
      <c r="C400" s="1" t="s">
        <v>11</v>
      </c>
      <c r="D400" s="1" t="s">
        <v>16</v>
      </c>
      <c r="E400" s="1">
        <v>101.62</v>
      </c>
      <c r="F400" s="1">
        <v>1</v>
      </c>
      <c r="G400" s="1">
        <v>101.62</v>
      </c>
      <c r="H400" s="1" t="s">
        <v>270</v>
      </c>
    </row>
    <row r="401" spans="1:8" x14ac:dyDescent="0.35">
      <c r="A401" s="2">
        <v>45357.277083333334</v>
      </c>
      <c r="B401" s="3">
        <v>0.17459490740740743</v>
      </c>
      <c r="C401" s="1" t="s">
        <v>8</v>
      </c>
      <c r="D401" s="1" t="s">
        <v>16</v>
      </c>
      <c r="E401" s="1">
        <v>107.83</v>
      </c>
      <c r="F401" s="1">
        <v>4</v>
      </c>
      <c r="G401" s="1">
        <v>431.32</v>
      </c>
      <c r="H401" s="1" t="s">
        <v>23</v>
      </c>
    </row>
    <row r="402" spans="1:8" x14ac:dyDescent="0.35">
      <c r="A402" s="2">
        <v>45119.39166666667</v>
      </c>
      <c r="B402" s="3">
        <v>0.46311342592592591</v>
      </c>
      <c r="C402" s="1" t="s">
        <v>11</v>
      </c>
      <c r="D402" s="1" t="s">
        <v>16</v>
      </c>
      <c r="E402" s="1">
        <v>143.31</v>
      </c>
      <c r="F402" s="1">
        <v>3</v>
      </c>
      <c r="G402" s="1">
        <v>429.93</v>
      </c>
      <c r="H402" s="1" t="s">
        <v>184</v>
      </c>
    </row>
    <row r="403" spans="1:8" x14ac:dyDescent="0.35">
      <c r="A403" s="2">
        <v>45585.422222222223</v>
      </c>
      <c r="B403" s="3">
        <v>0.88656250000000003</v>
      </c>
      <c r="C403" s="1" t="s">
        <v>8</v>
      </c>
      <c r="D403" s="1" t="s">
        <v>12</v>
      </c>
      <c r="E403" s="1">
        <v>39.57</v>
      </c>
      <c r="F403" s="1">
        <v>3</v>
      </c>
      <c r="G403" s="1">
        <v>118.71</v>
      </c>
      <c r="H403" s="1" t="s">
        <v>187</v>
      </c>
    </row>
    <row r="404" spans="1:8" x14ac:dyDescent="0.35">
      <c r="A404" s="2">
        <v>45461.768055555556</v>
      </c>
      <c r="B404" s="3">
        <v>0.56248842592592596</v>
      </c>
      <c r="C404" s="1" t="s">
        <v>8</v>
      </c>
      <c r="D404" s="1" t="s">
        <v>20</v>
      </c>
      <c r="E404" s="1">
        <v>60.19</v>
      </c>
      <c r="F404" s="1">
        <v>2</v>
      </c>
      <c r="G404" s="1">
        <v>120.38</v>
      </c>
      <c r="H404" s="1" t="s">
        <v>78</v>
      </c>
    </row>
    <row r="405" spans="1:8" x14ac:dyDescent="0.35">
      <c r="A405" s="2">
        <v>45571.091666666667</v>
      </c>
      <c r="B405" s="3">
        <v>0.61336805555555551</v>
      </c>
      <c r="C405" s="1" t="s">
        <v>11</v>
      </c>
      <c r="D405" s="1" t="s">
        <v>27</v>
      </c>
      <c r="E405" s="1">
        <v>444</v>
      </c>
      <c r="F405" s="1">
        <v>2</v>
      </c>
      <c r="G405" s="1">
        <v>888</v>
      </c>
      <c r="H405" s="1" t="s">
        <v>198</v>
      </c>
    </row>
    <row r="406" spans="1:8" x14ac:dyDescent="0.35">
      <c r="A406" s="2">
        <v>45010.230555555558</v>
      </c>
      <c r="B406" s="3">
        <v>0.56171296296296302</v>
      </c>
      <c r="C406" s="1" t="s">
        <v>14</v>
      </c>
      <c r="D406" s="1" t="s">
        <v>12</v>
      </c>
      <c r="E406" s="1">
        <v>467.51</v>
      </c>
      <c r="F406" s="1">
        <v>5</v>
      </c>
      <c r="G406" s="1">
        <v>2337.5500000000002</v>
      </c>
      <c r="H406" s="1" t="s">
        <v>100</v>
      </c>
    </row>
    <row r="407" spans="1:8" x14ac:dyDescent="0.35">
      <c r="A407" s="2">
        <v>45153.158333333333</v>
      </c>
      <c r="B407" s="3">
        <v>0.32063657407407409</v>
      </c>
      <c r="C407" s="1" t="s">
        <v>11</v>
      </c>
      <c r="D407" s="1" t="s">
        <v>16</v>
      </c>
      <c r="E407" s="1">
        <v>97.33</v>
      </c>
      <c r="F407" s="1">
        <v>3</v>
      </c>
      <c r="G407" s="1">
        <v>291.99</v>
      </c>
      <c r="H407" s="1" t="s">
        <v>32</v>
      </c>
    </row>
    <row r="408" spans="1:8" x14ac:dyDescent="0.35">
      <c r="A408" s="2">
        <v>44947.74722222222</v>
      </c>
      <c r="B408" s="3">
        <v>0.34472222222222221</v>
      </c>
      <c r="C408" s="1" t="s">
        <v>8</v>
      </c>
      <c r="D408" s="1" t="s">
        <v>12</v>
      </c>
      <c r="E408" s="1">
        <v>433.62</v>
      </c>
      <c r="F408" s="1">
        <v>1</v>
      </c>
      <c r="G408" s="1">
        <v>433.62</v>
      </c>
      <c r="H408" s="1" t="s">
        <v>271</v>
      </c>
    </row>
    <row r="409" spans="1:8" x14ac:dyDescent="0.35">
      <c r="A409" s="2">
        <v>45581.972222222219</v>
      </c>
      <c r="B409" s="3">
        <v>0.37906250000000002</v>
      </c>
      <c r="C409" s="1" t="s">
        <v>11</v>
      </c>
      <c r="D409" s="1" t="s">
        <v>12</v>
      </c>
      <c r="E409" s="1">
        <v>147.26</v>
      </c>
      <c r="F409" s="1">
        <v>2</v>
      </c>
      <c r="G409" s="1">
        <v>294.52</v>
      </c>
      <c r="H409" s="1" t="s">
        <v>259</v>
      </c>
    </row>
    <row r="410" spans="1:8" x14ac:dyDescent="0.35">
      <c r="A410" s="2">
        <v>45138.466666666667</v>
      </c>
      <c r="B410" s="3">
        <v>8.5289351851851838E-2</v>
      </c>
      <c r="C410" s="1" t="s">
        <v>14</v>
      </c>
      <c r="D410" s="1" t="s">
        <v>27</v>
      </c>
      <c r="E410" s="1">
        <v>473.21</v>
      </c>
      <c r="F410" s="1">
        <v>3</v>
      </c>
      <c r="G410" s="1">
        <v>1419.63</v>
      </c>
      <c r="H410" s="1" t="s">
        <v>272</v>
      </c>
    </row>
    <row r="411" spans="1:8" x14ac:dyDescent="0.35">
      <c r="A411" s="2">
        <v>45459.021527777775</v>
      </c>
      <c r="B411" s="3">
        <v>0.11633101851851851</v>
      </c>
      <c r="C411" s="1" t="s">
        <v>11</v>
      </c>
      <c r="D411" s="1" t="s">
        <v>27</v>
      </c>
      <c r="E411" s="1">
        <v>240.48</v>
      </c>
      <c r="F411" s="1">
        <v>3</v>
      </c>
      <c r="G411" s="1">
        <v>721.44</v>
      </c>
      <c r="H411" s="1" t="s">
        <v>273</v>
      </c>
    </row>
    <row r="412" spans="1:8" x14ac:dyDescent="0.35">
      <c r="A412" s="2">
        <v>44939.524305555555</v>
      </c>
      <c r="B412" s="3">
        <v>0.34247685185185189</v>
      </c>
      <c r="C412" s="1" t="s">
        <v>8</v>
      </c>
      <c r="D412" s="1" t="s">
        <v>16</v>
      </c>
      <c r="E412" s="1">
        <v>196.8</v>
      </c>
      <c r="F412" s="1">
        <v>4</v>
      </c>
      <c r="G412" s="1">
        <v>787.2</v>
      </c>
      <c r="H412" s="1" t="s">
        <v>264</v>
      </c>
    </row>
    <row r="413" spans="1:8" x14ac:dyDescent="0.35">
      <c r="A413" s="2">
        <v>45618.412499999999</v>
      </c>
      <c r="B413" s="3">
        <v>0.63274305555555554</v>
      </c>
      <c r="C413" s="1" t="s">
        <v>8</v>
      </c>
      <c r="D413" s="1" t="s">
        <v>27</v>
      </c>
      <c r="E413" s="1">
        <v>15.92</v>
      </c>
      <c r="F413" s="1">
        <v>2</v>
      </c>
      <c r="G413" s="1">
        <v>31.84</v>
      </c>
      <c r="H413" s="1" t="s">
        <v>274</v>
      </c>
    </row>
    <row r="414" spans="1:8" x14ac:dyDescent="0.35">
      <c r="A414" s="2">
        <v>45595.797222222223</v>
      </c>
      <c r="B414" s="3">
        <v>0.3450462962962963</v>
      </c>
      <c r="C414" s="1" t="s">
        <v>14</v>
      </c>
      <c r="D414" s="1" t="s">
        <v>16</v>
      </c>
      <c r="E414" s="1">
        <v>96.59</v>
      </c>
      <c r="F414" s="1">
        <v>2</v>
      </c>
      <c r="G414" s="1">
        <v>193.18</v>
      </c>
      <c r="H414" s="1" t="s">
        <v>171</v>
      </c>
    </row>
    <row r="415" spans="1:8" x14ac:dyDescent="0.35">
      <c r="A415" s="2">
        <v>45608.768750000003</v>
      </c>
      <c r="B415" s="3">
        <v>0.90270833333333333</v>
      </c>
      <c r="C415" s="1" t="s">
        <v>14</v>
      </c>
      <c r="D415" s="1" t="s">
        <v>27</v>
      </c>
      <c r="E415" s="1">
        <v>19.239999999999998</v>
      </c>
      <c r="F415" s="1">
        <v>5</v>
      </c>
      <c r="G415" s="1">
        <v>96.2</v>
      </c>
      <c r="H415" s="1" t="s">
        <v>222</v>
      </c>
    </row>
    <row r="416" spans="1:8" x14ac:dyDescent="0.35">
      <c r="A416" s="2">
        <v>45515.623611111114</v>
      </c>
      <c r="B416" s="3">
        <v>0.32813657407407409</v>
      </c>
      <c r="C416" s="1" t="s">
        <v>8</v>
      </c>
      <c r="D416" s="1" t="s">
        <v>20</v>
      </c>
      <c r="E416" s="1">
        <v>349.89</v>
      </c>
      <c r="F416" s="1">
        <v>2</v>
      </c>
      <c r="G416" s="1">
        <v>699.78</v>
      </c>
      <c r="H416" s="1" t="s">
        <v>214</v>
      </c>
    </row>
    <row r="417" spans="1:8" x14ac:dyDescent="0.35">
      <c r="A417" s="2">
        <v>45014.099305555559</v>
      </c>
      <c r="B417" s="3">
        <v>0.17467592592592593</v>
      </c>
      <c r="C417" s="1" t="s">
        <v>14</v>
      </c>
      <c r="D417" s="1" t="s">
        <v>12</v>
      </c>
      <c r="E417" s="1">
        <v>101.97</v>
      </c>
      <c r="F417" s="1">
        <v>4</v>
      </c>
      <c r="G417" s="1">
        <v>407.88</v>
      </c>
      <c r="H417" s="1" t="s">
        <v>127</v>
      </c>
    </row>
    <row r="418" spans="1:8" x14ac:dyDescent="0.35">
      <c r="A418" s="2">
        <v>45280.856249999997</v>
      </c>
      <c r="B418" s="3">
        <v>0.78784722222222225</v>
      </c>
      <c r="C418" s="1" t="s">
        <v>8</v>
      </c>
      <c r="D418" s="1" t="s">
        <v>9</v>
      </c>
      <c r="E418" s="1">
        <v>142.59</v>
      </c>
      <c r="F418" s="1">
        <v>3</v>
      </c>
      <c r="G418" s="1">
        <v>427.77</v>
      </c>
      <c r="H418" s="1" t="s">
        <v>106</v>
      </c>
    </row>
    <row r="419" spans="1:8" x14ac:dyDescent="0.35">
      <c r="A419" s="2">
        <v>45370.147916666669</v>
      </c>
      <c r="B419" s="3">
        <v>0.22293981481481481</v>
      </c>
      <c r="C419" s="1" t="s">
        <v>8</v>
      </c>
      <c r="D419" s="1" t="s">
        <v>20</v>
      </c>
      <c r="E419" s="1">
        <v>63.19</v>
      </c>
      <c r="F419" s="1">
        <v>3</v>
      </c>
      <c r="G419" s="1">
        <v>189.57</v>
      </c>
      <c r="H419" s="1" t="s">
        <v>275</v>
      </c>
    </row>
    <row r="420" spans="1:8" x14ac:dyDescent="0.35">
      <c r="A420" s="2">
        <v>45139.763194444444</v>
      </c>
      <c r="B420" s="3">
        <v>4.9351851851851848E-2</v>
      </c>
      <c r="C420" s="1" t="s">
        <v>14</v>
      </c>
      <c r="D420" s="1" t="s">
        <v>12</v>
      </c>
      <c r="E420" s="1">
        <v>336.43</v>
      </c>
      <c r="F420" s="1">
        <v>4</v>
      </c>
      <c r="G420" s="1">
        <v>1345.72</v>
      </c>
      <c r="H420" s="1" t="s">
        <v>100</v>
      </c>
    </row>
    <row r="421" spans="1:8" x14ac:dyDescent="0.35">
      <c r="A421" s="2">
        <v>44993.353472222225</v>
      </c>
      <c r="B421" s="3">
        <v>0.21422453703703703</v>
      </c>
      <c r="C421" s="1" t="s">
        <v>14</v>
      </c>
      <c r="D421" s="1" t="s">
        <v>16</v>
      </c>
      <c r="E421" s="1">
        <v>114.31</v>
      </c>
      <c r="F421" s="1">
        <v>5</v>
      </c>
      <c r="G421" s="1">
        <v>571.54999999999995</v>
      </c>
      <c r="H421" s="1" t="s">
        <v>121</v>
      </c>
    </row>
    <row r="422" spans="1:8" x14ac:dyDescent="0.35">
      <c r="A422" s="2">
        <v>45128.384722222225</v>
      </c>
      <c r="B422" s="3">
        <v>0.83439814814814817</v>
      </c>
      <c r="C422" s="1" t="s">
        <v>8</v>
      </c>
      <c r="D422" s="1" t="s">
        <v>20</v>
      </c>
      <c r="E422" s="1">
        <v>204.76</v>
      </c>
      <c r="F422" s="1">
        <v>4</v>
      </c>
      <c r="G422" s="1">
        <v>819.04</v>
      </c>
      <c r="H422" s="1" t="s">
        <v>240</v>
      </c>
    </row>
    <row r="423" spans="1:8" x14ac:dyDescent="0.35">
      <c r="A423" s="2">
        <v>45183.448611111111</v>
      </c>
      <c r="B423" s="3">
        <v>0.19725694444444444</v>
      </c>
      <c r="C423" s="1" t="s">
        <v>11</v>
      </c>
      <c r="D423" s="1" t="s">
        <v>12</v>
      </c>
      <c r="E423" s="1">
        <v>72.3</v>
      </c>
      <c r="F423" s="1">
        <v>2</v>
      </c>
      <c r="G423" s="1">
        <v>144.6</v>
      </c>
      <c r="H423" s="1" t="s">
        <v>276</v>
      </c>
    </row>
    <row r="424" spans="1:8" x14ac:dyDescent="0.35">
      <c r="A424" s="2">
        <v>45641.591666666667</v>
      </c>
      <c r="B424" s="3">
        <v>0.84423611111111108</v>
      </c>
      <c r="C424" s="1" t="s">
        <v>11</v>
      </c>
      <c r="D424" s="1" t="s">
        <v>20</v>
      </c>
      <c r="E424" s="1">
        <v>289.52999999999997</v>
      </c>
      <c r="F424" s="1">
        <v>2</v>
      </c>
      <c r="G424" s="1">
        <v>579.05999999999995</v>
      </c>
      <c r="H424" s="1" t="s">
        <v>277</v>
      </c>
    </row>
    <row r="425" spans="1:8" x14ac:dyDescent="0.35">
      <c r="A425" s="2">
        <v>44995.104166666664</v>
      </c>
      <c r="B425" s="3">
        <v>0.6935069444444445</v>
      </c>
      <c r="C425" s="1" t="s">
        <v>14</v>
      </c>
      <c r="D425" s="1" t="s">
        <v>16</v>
      </c>
      <c r="E425" s="1">
        <v>15.67</v>
      </c>
      <c r="F425" s="1">
        <v>4</v>
      </c>
      <c r="G425" s="1">
        <v>62.68</v>
      </c>
      <c r="H425" s="1" t="s">
        <v>26</v>
      </c>
    </row>
    <row r="426" spans="1:8" x14ac:dyDescent="0.35">
      <c r="A426" s="2">
        <v>45229.750694444447</v>
      </c>
      <c r="B426" s="3">
        <v>0.58340277777777783</v>
      </c>
      <c r="C426" s="1" t="s">
        <v>8</v>
      </c>
      <c r="D426" s="1" t="s">
        <v>27</v>
      </c>
      <c r="E426" s="1">
        <v>382.31</v>
      </c>
      <c r="F426" s="1">
        <v>5</v>
      </c>
      <c r="G426" s="1">
        <v>1911.55</v>
      </c>
      <c r="H426" s="1" t="s">
        <v>188</v>
      </c>
    </row>
    <row r="427" spans="1:8" x14ac:dyDescent="0.35">
      <c r="A427" s="2">
        <v>45016.720138888886</v>
      </c>
      <c r="B427" s="3">
        <v>0.46171296296296299</v>
      </c>
      <c r="C427" s="1" t="s">
        <v>14</v>
      </c>
      <c r="D427" s="1" t="s">
        <v>20</v>
      </c>
      <c r="E427" s="1">
        <v>486.6</v>
      </c>
      <c r="F427" s="1">
        <v>2</v>
      </c>
      <c r="G427" s="1">
        <v>973.2</v>
      </c>
      <c r="H427" s="1" t="s">
        <v>278</v>
      </c>
    </row>
    <row r="428" spans="1:8" x14ac:dyDescent="0.35">
      <c r="A428" s="2">
        <v>45165.213194444441</v>
      </c>
      <c r="B428" s="3">
        <v>0.66216435185185185</v>
      </c>
      <c r="C428" s="1" t="s">
        <v>8</v>
      </c>
      <c r="D428" s="1" t="s">
        <v>20</v>
      </c>
      <c r="E428" s="1">
        <v>453.87</v>
      </c>
      <c r="F428" s="1">
        <v>5</v>
      </c>
      <c r="G428" s="1">
        <v>2269.35</v>
      </c>
      <c r="H428" s="1" t="s">
        <v>227</v>
      </c>
    </row>
    <row r="429" spans="1:8" x14ac:dyDescent="0.35">
      <c r="A429" s="2">
        <v>45481.103472222225</v>
      </c>
      <c r="B429" s="3">
        <v>2.1122685185185185E-2</v>
      </c>
      <c r="C429" s="1" t="s">
        <v>14</v>
      </c>
      <c r="D429" s="1" t="s">
        <v>27</v>
      </c>
      <c r="E429" s="1">
        <v>98.68</v>
      </c>
      <c r="F429" s="1">
        <v>2</v>
      </c>
      <c r="G429" s="1">
        <v>197.36</v>
      </c>
      <c r="H429" s="1" t="s">
        <v>93</v>
      </c>
    </row>
    <row r="430" spans="1:8" x14ac:dyDescent="0.35">
      <c r="A430" s="2">
        <v>45095.288194444445</v>
      </c>
      <c r="B430" s="3">
        <v>0.19613425925925929</v>
      </c>
      <c r="C430" s="1" t="s">
        <v>14</v>
      </c>
      <c r="D430" s="1" t="s">
        <v>16</v>
      </c>
      <c r="E430" s="1">
        <v>446.02</v>
      </c>
      <c r="F430" s="1">
        <v>3</v>
      </c>
      <c r="G430" s="1">
        <v>1338.06</v>
      </c>
      <c r="H430" s="1" t="s">
        <v>164</v>
      </c>
    </row>
    <row r="431" spans="1:8" x14ac:dyDescent="0.35">
      <c r="A431" s="2">
        <v>45434.705555555556</v>
      </c>
      <c r="B431" s="3">
        <v>0.92553240740740739</v>
      </c>
      <c r="C431" s="1" t="s">
        <v>11</v>
      </c>
      <c r="D431" s="1" t="s">
        <v>16</v>
      </c>
      <c r="E431" s="1">
        <v>432.96</v>
      </c>
      <c r="F431" s="1">
        <v>4</v>
      </c>
      <c r="G431" s="1">
        <v>1731.84</v>
      </c>
      <c r="H431" s="1" t="s">
        <v>101</v>
      </c>
    </row>
    <row r="432" spans="1:8" x14ac:dyDescent="0.35">
      <c r="A432" s="2">
        <v>45231.085416666669</v>
      </c>
      <c r="B432" s="3">
        <v>0.49891203703703701</v>
      </c>
      <c r="C432" s="1" t="s">
        <v>11</v>
      </c>
      <c r="D432" s="1" t="s">
        <v>27</v>
      </c>
      <c r="E432" s="1">
        <v>249.97</v>
      </c>
      <c r="F432" s="1">
        <v>2</v>
      </c>
      <c r="G432" s="1">
        <v>499.94</v>
      </c>
      <c r="H432" s="1" t="s">
        <v>112</v>
      </c>
    </row>
    <row r="433" spans="1:8" x14ac:dyDescent="0.35">
      <c r="A433" s="2">
        <v>45542.574999999997</v>
      </c>
      <c r="B433" s="3">
        <v>0.6934027777777777</v>
      </c>
      <c r="C433" s="1" t="s">
        <v>11</v>
      </c>
      <c r="D433" s="1" t="s">
        <v>12</v>
      </c>
      <c r="E433" s="1">
        <v>480.82</v>
      </c>
      <c r="F433" s="1">
        <v>3</v>
      </c>
      <c r="G433" s="1">
        <v>1442.46</v>
      </c>
      <c r="H433" s="1" t="s">
        <v>254</v>
      </c>
    </row>
    <row r="434" spans="1:8" x14ac:dyDescent="0.35">
      <c r="A434" s="2">
        <v>45283.414583333331</v>
      </c>
      <c r="B434" s="3">
        <v>0.16855324074074074</v>
      </c>
      <c r="C434" s="1" t="s">
        <v>11</v>
      </c>
      <c r="D434" s="1" t="s">
        <v>27</v>
      </c>
      <c r="E434" s="1">
        <v>103.22</v>
      </c>
      <c r="F434" s="1">
        <v>5</v>
      </c>
      <c r="G434" s="1">
        <v>516.1</v>
      </c>
      <c r="H434" s="1" t="s">
        <v>276</v>
      </c>
    </row>
    <row r="435" spans="1:8" x14ac:dyDescent="0.35">
      <c r="A435" s="2">
        <v>45315.372916666667</v>
      </c>
      <c r="B435" s="3">
        <v>0.74106481481481479</v>
      </c>
      <c r="C435" s="1" t="s">
        <v>14</v>
      </c>
      <c r="D435" s="1" t="s">
        <v>16</v>
      </c>
      <c r="E435" s="1">
        <v>89.11</v>
      </c>
      <c r="F435" s="1">
        <v>3</v>
      </c>
      <c r="G435" s="1">
        <v>267.33</v>
      </c>
      <c r="H435" s="1" t="s">
        <v>87</v>
      </c>
    </row>
    <row r="436" spans="1:8" x14ac:dyDescent="0.35">
      <c r="A436" s="2">
        <v>45155.581250000003</v>
      </c>
      <c r="B436" s="3">
        <v>0.56773148148148145</v>
      </c>
      <c r="C436" s="1" t="s">
        <v>11</v>
      </c>
      <c r="D436" s="1" t="s">
        <v>27</v>
      </c>
      <c r="E436" s="1">
        <v>92.04</v>
      </c>
      <c r="F436" s="1">
        <v>4</v>
      </c>
      <c r="G436" s="1">
        <v>368.16</v>
      </c>
      <c r="H436" s="1" t="s">
        <v>75</v>
      </c>
    </row>
    <row r="437" spans="1:8" x14ac:dyDescent="0.35">
      <c r="A437" s="2">
        <v>45018.494444444441</v>
      </c>
      <c r="B437" s="3">
        <v>0.84928240740740746</v>
      </c>
      <c r="C437" s="1" t="s">
        <v>11</v>
      </c>
      <c r="D437" s="1" t="s">
        <v>9</v>
      </c>
      <c r="E437" s="1">
        <v>286.63</v>
      </c>
      <c r="F437" s="1">
        <v>5</v>
      </c>
      <c r="G437" s="1">
        <v>1433.15</v>
      </c>
      <c r="H437" s="1" t="s">
        <v>202</v>
      </c>
    </row>
    <row r="438" spans="1:8" x14ac:dyDescent="0.35">
      <c r="A438" s="2">
        <v>45409.15625</v>
      </c>
      <c r="B438" s="3">
        <v>0.58767361111111105</v>
      </c>
      <c r="C438" s="1" t="s">
        <v>11</v>
      </c>
      <c r="D438" s="1" t="s">
        <v>27</v>
      </c>
      <c r="E438" s="1">
        <v>248.02</v>
      </c>
      <c r="F438" s="1">
        <v>3</v>
      </c>
      <c r="G438" s="1">
        <v>744.06</v>
      </c>
      <c r="H438" s="1" t="s">
        <v>149</v>
      </c>
    </row>
    <row r="439" spans="1:8" x14ac:dyDescent="0.35">
      <c r="A439" s="2">
        <v>45229.71875</v>
      </c>
      <c r="B439" s="3">
        <v>0.13488425925925926</v>
      </c>
      <c r="C439" s="1" t="s">
        <v>8</v>
      </c>
      <c r="D439" s="1" t="s">
        <v>27</v>
      </c>
      <c r="E439" s="1">
        <v>226.45</v>
      </c>
      <c r="F439" s="1">
        <v>5</v>
      </c>
      <c r="G439" s="1">
        <v>1132.25</v>
      </c>
      <c r="H439" s="1" t="s">
        <v>279</v>
      </c>
    </row>
    <row r="440" spans="1:8" x14ac:dyDescent="0.35">
      <c r="A440" s="2">
        <v>45115.615972222222</v>
      </c>
      <c r="B440" s="3">
        <v>0.56232638888888886</v>
      </c>
      <c r="C440" s="1" t="s">
        <v>11</v>
      </c>
      <c r="D440" s="1" t="s">
        <v>27</v>
      </c>
      <c r="E440" s="1">
        <v>405.71</v>
      </c>
      <c r="F440" s="1">
        <v>3</v>
      </c>
      <c r="G440" s="1">
        <v>1217.1300000000001</v>
      </c>
      <c r="H440" s="1" t="s">
        <v>47</v>
      </c>
    </row>
    <row r="441" spans="1:8" x14ac:dyDescent="0.35">
      <c r="A441" s="2">
        <v>45070.022222222222</v>
      </c>
      <c r="B441" s="3">
        <v>0.44302083333333336</v>
      </c>
      <c r="C441" s="1" t="s">
        <v>11</v>
      </c>
      <c r="D441" s="1" t="s">
        <v>12</v>
      </c>
      <c r="E441" s="1">
        <v>146.41999999999999</v>
      </c>
      <c r="F441" s="1">
        <v>5</v>
      </c>
      <c r="G441" s="1">
        <v>732.1</v>
      </c>
      <c r="H441" s="1" t="s">
        <v>280</v>
      </c>
    </row>
    <row r="442" spans="1:8" x14ac:dyDescent="0.35">
      <c r="A442" s="2">
        <v>44988.65902777778</v>
      </c>
      <c r="B442" s="3">
        <v>0.34861111111111115</v>
      </c>
      <c r="C442" s="1" t="s">
        <v>14</v>
      </c>
      <c r="D442" s="1" t="s">
        <v>16</v>
      </c>
      <c r="E442" s="1">
        <v>385.89</v>
      </c>
      <c r="F442" s="1">
        <v>3</v>
      </c>
      <c r="G442" s="1">
        <v>1157.67</v>
      </c>
      <c r="H442" s="1" t="s">
        <v>78</v>
      </c>
    </row>
    <row r="443" spans="1:8" x14ac:dyDescent="0.35">
      <c r="A443" s="2">
        <v>45383.348611111112</v>
      </c>
      <c r="B443" s="3">
        <v>0.40092592592592591</v>
      </c>
      <c r="C443" s="1" t="s">
        <v>14</v>
      </c>
      <c r="D443" s="1" t="s">
        <v>27</v>
      </c>
      <c r="E443" s="1">
        <v>252.98</v>
      </c>
      <c r="F443" s="1">
        <v>5</v>
      </c>
      <c r="G443" s="1">
        <v>1264.9000000000001</v>
      </c>
      <c r="H443" s="1" t="s">
        <v>224</v>
      </c>
    </row>
    <row r="444" spans="1:8" x14ac:dyDescent="0.35">
      <c r="A444" s="2">
        <v>44959.134722222225</v>
      </c>
      <c r="B444" s="3">
        <v>0.74599537037037045</v>
      </c>
      <c r="C444" s="1" t="s">
        <v>11</v>
      </c>
      <c r="D444" s="1" t="s">
        <v>12</v>
      </c>
      <c r="E444" s="1">
        <v>101.35</v>
      </c>
      <c r="F444" s="1">
        <v>4</v>
      </c>
      <c r="G444" s="1">
        <v>405.4</v>
      </c>
      <c r="H444" s="1" t="s">
        <v>195</v>
      </c>
    </row>
    <row r="445" spans="1:8" x14ac:dyDescent="0.35">
      <c r="A445" s="2">
        <v>45275.802777777775</v>
      </c>
      <c r="B445" s="3">
        <v>0.23979166666666665</v>
      </c>
      <c r="C445" s="1" t="s">
        <v>14</v>
      </c>
      <c r="D445" s="1" t="s">
        <v>20</v>
      </c>
      <c r="E445" s="1">
        <v>104.83</v>
      </c>
      <c r="F445" s="1">
        <v>3</v>
      </c>
      <c r="G445" s="1">
        <v>314.49</v>
      </c>
      <c r="H445" s="1" t="s">
        <v>281</v>
      </c>
    </row>
    <row r="446" spans="1:8" x14ac:dyDescent="0.35">
      <c r="A446" s="2">
        <v>45182.714583333334</v>
      </c>
      <c r="B446" s="3">
        <v>0.14145833333333332</v>
      </c>
      <c r="C446" s="1" t="s">
        <v>11</v>
      </c>
      <c r="D446" s="1" t="s">
        <v>27</v>
      </c>
      <c r="E446" s="1">
        <v>297.97000000000003</v>
      </c>
      <c r="F446" s="1">
        <v>3</v>
      </c>
      <c r="G446" s="1">
        <v>893.91</v>
      </c>
      <c r="H446" s="1" t="s">
        <v>282</v>
      </c>
    </row>
    <row r="447" spans="1:8" x14ac:dyDescent="0.35">
      <c r="A447" s="2">
        <v>45593.63958333333</v>
      </c>
      <c r="B447" s="3">
        <v>0.65864583333333326</v>
      </c>
      <c r="C447" s="1" t="s">
        <v>11</v>
      </c>
      <c r="D447" s="1" t="s">
        <v>16</v>
      </c>
      <c r="E447" s="1">
        <v>158.69</v>
      </c>
      <c r="F447" s="1">
        <v>5</v>
      </c>
      <c r="G447" s="1">
        <v>793.45</v>
      </c>
      <c r="H447" s="1" t="s">
        <v>283</v>
      </c>
    </row>
    <row r="448" spans="1:8" x14ac:dyDescent="0.35">
      <c r="A448" s="2">
        <v>45663.780555555553</v>
      </c>
      <c r="B448" s="3">
        <v>0.50435185185185183</v>
      </c>
      <c r="C448" s="1" t="s">
        <v>8</v>
      </c>
      <c r="D448" s="1" t="s">
        <v>27</v>
      </c>
      <c r="E448" s="1">
        <v>305.20999999999998</v>
      </c>
      <c r="F448" s="1">
        <v>4</v>
      </c>
      <c r="G448" s="1">
        <v>1220.8399999999999</v>
      </c>
      <c r="H448" s="1" t="s">
        <v>218</v>
      </c>
    </row>
    <row r="449" spans="1:8" x14ac:dyDescent="0.35">
      <c r="A449" s="2">
        <v>45550.633333333331</v>
      </c>
      <c r="B449" s="3">
        <v>0.33710648148148148</v>
      </c>
      <c r="C449" s="1" t="s">
        <v>8</v>
      </c>
      <c r="D449" s="1" t="s">
        <v>16</v>
      </c>
      <c r="E449" s="1">
        <v>392.7</v>
      </c>
      <c r="F449" s="1">
        <v>1</v>
      </c>
      <c r="G449" s="1">
        <v>392.7</v>
      </c>
      <c r="H449" s="1" t="s">
        <v>275</v>
      </c>
    </row>
    <row r="450" spans="1:8" x14ac:dyDescent="0.35">
      <c r="A450" s="2">
        <v>45659.125</v>
      </c>
      <c r="B450" s="3">
        <v>0.28969907407407408</v>
      </c>
      <c r="C450" s="1" t="s">
        <v>8</v>
      </c>
      <c r="D450" s="1" t="s">
        <v>20</v>
      </c>
      <c r="E450" s="1">
        <v>177.24</v>
      </c>
      <c r="F450" s="1">
        <v>4</v>
      </c>
      <c r="G450" s="1">
        <v>708.96</v>
      </c>
      <c r="H450" s="1" t="s">
        <v>284</v>
      </c>
    </row>
    <row r="451" spans="1:8" x14ac:dyDescent="0.35">
      <c r="A451" s="2">
        <v>45082.473611111112</v>
      </c>
      <c r="B451" s="3">
        <v>0.4522916666666667</v>
      </c>
      <c r="C451" s="1" t="s">
        <v>8</v>
      </c>
      <c r="D451" s="1" t="s">
        <v>9</v>
      </c>
      <c r="E451" s="1">
        <v>149.65</v>
      </c>
      <c r="F451" s="1">
        <v>3</v>
      </c>
      <c r="G451" s="1">
        <v>448.95</v>
      </c>
      <c r="H451" s="1" t="s">
        <v>193</v>
      </c>
    </row>
    <row r="452" spans="1:8" x14ac:dyDescent="0.35">
      <c r="A452" s="2">
        <v>45114.150694444441</v>
      </c>
      <c r="B452" s="3">
        <v>0.9262731481481481</v>
      </c>
      <c r="C452" s="1" t="s">
        <v>8</v>
      </c>
      <c r="D452" s="1" t="s">
        <v>16</v>
      </c>
      <c r="E452" s="1">
        <v>69.91</v>
      </c>
      <c r="F452" s="1">
        <v>4</v>
      </c>
      <c r="G452" s="1">
        <v>279.64</v>
      </c>
      <c r="H452" s="1" t="s">
        <v>249</v>
      </c>
    </row>
    <row r="453" spans="1:8" x14ac:dyDescent="0.35">
      <c r="A453" s="2">
        <v>44940.217361111114</v>
      </c>
      <c r="B453" s="3">
        <v>0.64490740740740737</v>
      </c>
      <c r="C453" s="1" t="s">
        <v>14</v>
      </c>
      <c r="D453" s="1" t="s">
        <v>9</v>
      </c>
      <c r="E453" s="1">
        <v>296.01</v>
      </c>
      <c r="F453" s="1">
        <v>5</v>
      </c>
      <c r="G453" s="1">
        <v>1480.05</v>
      </c>
      <c r="H453" s="1" t="s">
        <v>114</v>
      </c>
    </row>
    <row r="454" spans="1:8" x14ac:dyDescent="0.35">
      <c r="A454" s="2">
        <v>45174.063888888886</v>
      </c>
      <c r="B454" s="3">
        <v>0.74805555555555558</v>
      </c>
      <c r="C454" s="1" t="s">
        <v>14</v>
      </c>
      <c r="D454" s="1" t="s">
        <v>27</v>
      </c>
      <c r="E454" s="1">
        <v>250.54</v>
      </c>
      <c r="F454" s="1">
        <v>1</v>
      </c>
      <c r="G454" s="1">
        <v>250.54</v>
      </c>
      <c r="H454" s="1" t="s">
        <v>285</v>
      </c>
    </row>
    <row r="455" spans="1:8" x14ac:dyDescent="0.35">
      <c r="A455" s="2">
        <v>45622.490972222222</v>
      </c>
      <c r="B455" s="3">
        <v>0.30055555555555552</v>
      </c>
      <c r="C455" s="1" t="s">
        <v>11</v>
      </c>
      <c r="D455" s="1" t="s">
        <v>9</v>
      </c>
      <c r="E455" s="1">
        <v>370.28</v>
      </c>
      <c r="F455" s="1">
        <v>1</v>
      </c>
      <c r="G455" s="1">
        <v>370.28</v>
      </c>
      <c r="H455" s="1" t="s">
        <v>154</v>
      </c>
    </row>
    <row r="456" spans="1:8" x14ac:dyDescent="0.35">
      <c r="A456" s="2">
        <v>45099.681250000001</v>
      </c>
      <c r="B456" s="3">
        <v>0.60211805555555553</v>
      </c>
      <c r="C456" s="1" t="s">
        <v>8</v>
      </c>
      <c r="D456" s="1" t="s">
        <v>16</v>
      </c>
      <c r="E456" s="1">
        <v>341.93</v>
      </c>
      <c r="F456" s="1">
        <v>5</v>
      </c>
      <c r="G456" s="1">
        <v>1709.65</v>
      </c>
      <c r="H456" s="1" t="s">
        <v>177</v>
      </c>
    </row>
    <row r="457" spans="1:8" x14ac:dyDescent="0.35">
      <c r="A457" s="2">
        <v>45649.479166666664</v>
      </c>
      <c r="B457" s="3">
        <v>0.31763888888888886</v>
      </c>
      <c r="C457" s="1" t="s">
        <v>8</v>
      </c>
      <c r="D457" s="1" t="s">
        <v>27</v>
      </c>
      <c r="E457" s="1">
        <v>269.02999999999997</v>
      </c>
      <c r="F457" s="1">
        <v>5</v>
      </c>
      <c r="G457" s="1">
        <v>1345.15</v>
      </c>
      <c r="H457" s="1" t="s">
        <v>286</v>
      </c>
    </row>
    <row r="458" spans="1:8" x14ac:dyDescent="0.35">
      <c r="A458" s="2">
        <v>45135.807638888888</v>
      </c>
      <c r="B458" s="3">
        <v>0.23120370370370369</v>
      </c>
      <c r="C458" s="1" t="s">
        <v>14</v>
      </c>
      <c r="D458" s="1" t="s">
        <v>12</v>
      </c>
      <c r="E458" s="1">
        <v>16.59</v>
      </c>
      <c r="F458" s="1">
        <v>2</v>
      </c>
      <c r="G458" s="1">
        <v>33.18</v>
      </c>
      <c r="H458" s="1" t="s">
        <v>287</v>
      </c>
    </row>
    <row r="459" spans="1:8" x14ac:dyDescent="0.35">
      <c r="A459" s="2">
        <v>45305.869444444441</v>
      </c>
      <c r="B459" s="3">
        <v>0.80181712962962959</v>
      </c>
      <c r="C459" s="1" t="s">
        <v>8</v>
      </c>
      <c r="D459" s="1" t="s">
        <v>20</v>
      </c>
      <c r="E459" s="1">
        <v>197.92</v>
      </c>
      <c r="F459" s="1">
        <v>4</v>
      </c>
      <c r="G459" s="1">
        <v>791.68</v>
      </c>
      <c r="H459" s="1" t="s">
        <v>17</v>
      </c>
    </row>
    <row r="460" spans="1:8" x14ac:dyDescent="0.35">
      <c r="A460" s="2">
        <v>44960.040972222225</v>
      </c>
      <c r="B460" s="3">
        <v>0.57173611111111111</v>
      </c>
      <c r="C460" s="1" t="s">
        <v>14</v>
      </c>
      <c r="D460" s="1" t="s">
        <v>12</v>
      </c>
      <c r="E460" s="1">
        <v>400.53</v>
      </c>
      <c r="F460" s="1">
        <v>2</v>
      </c>
      <c r="G460" s="1">
        <v>801.06</v>
      </c>
      <c r="H460" s="1" t="s">
        <v>76</v>
      </c>
    </row>
    <row r="461" spans="1:8" x14ac:dyDescent="0.35">
      <c r="A461" s="2">
        <v>45448.279166666667</v>
      </c>
      <c r="B461" s="3">
        <v>0.49331018518518516</v>
      </c>
      <c r="C461" s="1" t="s">
        <v>11</v>
      </c>
      <c r="D461" s="1" t="s">
        <v>9</v>
      </c>
      <c r="E461" s="1">
        <v>272.38</v>
      </c>
      <c r="F461" s="1">
        <v>1</v>
      </c>
      <c r="G461" s="1">
        <v>272.38</v>
      </c>
      <c r="H461" s="1" t="s">
        <v>288</v>
      </c>
    </row>
    <row r="462" spans="1:8" x14ac:dyDescent="0.35">
      <c r="A462" s="2">
        <v>45596.572916666664</v>
      </c>
      <c r="B462" s="3">
        <v>0.10747685185185185</v>
      </c>
      <c r="C462" s="1" t="s">
        <v>11</v>
      </c>
      <c r="D462" s="1" t="s">
        <v>16</v>
      </c>
      <c r="E462" s="1">
        <v>421.9</v>
      </c>
      <c r="F462" s="1">
        <v>2</v>
      </c>
      <c r="G462" s="1">
        <v>843.8</v>
      </c>
      <c r="H462" s="1" t="s">
        <v>289</v>
      </c>
    </row>
    <row r="463" spans="1:8" x14ac:dyDescent="0.35">
      <c r="A463" s="2">
        <v>45284.48541666667</v>
      </c>
      <c r="B463" s="3">
        <v>0.1233449074074074</v>
      </c>
      <c r="C463" s="1" t="s">
        <v>8</v>
      </c>
      <c r="D463" s="1" t="s">
        <v>12</v>
      </c>
      <c r="E463" s="1">
        <v>413.29</v>
      </c>
      <c r="F463" s="1">
        <v>5</v>
      </c>
      <c r="G463" s="1">
        <v>2066.4499999999998</v>
      </c>
      <c r="H463" s="1" t="s">
        <v>290</v>
      </c>
    </row>
    <row r="464" spans="1:8" x14ac:dyDescent="0.35">
      <c r="A464" s="2">
        <v>44975.018055555556</v>
      </c>
      <c r="B464" s="3">
        <v>0.75199074074074079</v>
      </c>
      <c r="C464" s="1" t="s">
        <v>8</v>
      </c>
      <c r="D464" s="1" t="s">
        <v>12</v>
      </c>
      <c r="E464" s="1">
        <v>271.62</v>
      </c>
      <c r="F464" s="1">
        <v>1</v>
      </c>
      <c r="G464" s="1">
        <v>271.62</v>
      </c>
      <c r="H464" s="1" t="s">
        <v>159</v>
      </c>
    </row>
    <row r="465" spans="1:8" x14ac:dyDescent="0.35">
      <c r="A465" s="2">
        <v>44949.972222222219</v>
      </c>
      <c r="B465" s="3">
        <v>0.16452546296296297</v>
      </c>
      <c r="C465" s="1" t="s">
        <v>14</v>
      </c>
      <c r="D465" s="1" t="s">
        <v>12</v>
      </c>
      <c r="E465" s="1">
        <v>359.98</v>
      </c>
      <c r="F465" s="1">
        <v>2</v>
      </c>
      <c r="G465" s="1">
        <v>719.96</v>
      </c>
      <c r="H465" s="1" t="s">
        <v>291</v>
      </c>
    </row>
    <row r="466" spans="1:8" x14ac:dyDescent="0.35">
      <c r="A466" s="2">
        <v>45490.088888888888</v>
      </c>
      <c r="B466" s="3">
        <v>0.44319444444444445</v>
      </c>
      <c r="C466" s="1" t="s">
        <v>8</v>
      </c>
      <c r="D466" s="1" t="s">
        <v>12</v>
      </c>
      <c r="E466" s="1">
        <v>449.69</v>
      </c>
      <c r="F466" s="1">
        <v>3</v>
      </c>
      <c r="G466" s="1">
        <v>1349.07</v>
      </c>
      <c r="H466" s="1" t="s">
        <v>156</v>
      </c>
    </row>
    <row r="467" spans="1:8" x14ac:dyDescent="0.35">
      <c r="A467" s="2">
        <v>45165.752083333333</v>
      </c>
      <c r="B467" s="3">
        <v>0.27717592592592594</v>
      </c>
      <c r="C467" s="1" t="s">
        <v>8</v>
      </c>
      <c r="D467" s="1" t="s">
        <v>27</v>
      </c>
      <c r="E467" s="1">
        <v>352.36</v>
      </c>
      <c r="F467" s="1">
        <v>5</v>
      </c>
      <c r="G467" s="1">
        <v>1761.8</v>
      </c>
      <c r="H467" s="1" t="s">
        <v>292</v>
      </c>
    </row>
    <row r="468" spans="1:8" x14ac:dyDescent="0.35">
      <c r="A468" s="2">
        <v>45475.436805555553</v>
      </c>
      <c r="B468" s="3">
        <v>0.43124999999999997</v>
      </c>
      <c r="C468" s="1" t="s">
        <v>11</v>
      </c>
      <c r="D468" s="1" t="s">
        <v>20</v>
      </c>
      <c r="E468" s="1">
        <v>342.91</v>
      </c>
      <c r="F468" s="1">
        <v>1</v>
      </c>
      <c r="G468" s="1">
        <v>342.91</v>
      </c>
      <c r="H468" s="1" t="s">
        <v>293</v>
      </c>
    </row>
    <row r="469" spans="1:8" x14ac:dyDescent="0.35">
      <c r="A469" s="2">
        <v>45654.033333333333</v>
      </c>
      <c r="B469" s="3">
        <v>0.55930555555555561</v>
      </c>
      <c r="C469" s="1" t="s">
        <v>14</v>
      </c>
      <c r="D469" s="1" t="s">
        <v>20</v>
      </c>
      <c r="E469" s="1">
        <v>162.43</v>
      </c>
      <c r="F469" s="1">
        <v>2</v>
      </c>
      <c r="G469" s="1">
        <v>324.86</v>
      </c>
      <c r="H469" s="1" t="s">
        <v>294</v>
      </c>
    </row>
    <row r="470" spans="1:8" x14ac:dyDescent="0.35">
      <c r="A470" s="2">
        <v>45405.998611111114</v>
      </c>
      <c r="B470" s="3">
        <v>0.49576388888888889</v>
      </c>
      <c r="C470" s="1" t="s">
        <v>14</v>
      </c>
      <c r="D470" s="1" t="s">
        <v>27</v>
      </c>
      <c r="E470" s="1">
        <v>361.18</v>
      </c>
      <c r="F470" s="1">
        <v>4</v>
      </c>
      <c r="G470" s="1">
        <v>1444.72</v>
      </c>
      <c r="H470" s="1" t="s">
        <v>44</v>
      </c>
    </row>
    <row r="471" spans="1:8" x14ac:dyDescent="0.35">
      <c r="A471" s="2">
        <v>45146.754166666666</v>
      </c>
      <c r="B471" s="3">
        <v>0.21694444444444447</v>
      </c>
      <c r="C471" s="1" t="s">
        <v>8</v>
      </c>
      <c r="D471" s="1" t="s">
        <v>16</v>
      </c>
      <c r="E471" s="1">
        <v>74.540000000000006</v>
      </c>
      <c r="F471" s="1">
        <v>5</v>
      </c>
      <c r="G471" s="1">
        <v>372.7</v>
      </c>
      <c r="H471" s="1" t="s">
        <v>295</v>
      </c>
    </row>
    <row r="472" spans="1:8" x14ac:dyDescent="0.35">
      <c r="A472" s="2">
        <v>45628.785416666666</v>
      </c>
      <c r="B472" s="3">
        <v>0.97081018518518514</v>
      </c>
      <c r="C472" s="1" t="s">
        <v>11</v>
      </c>
      <c r="D472" s="1" t="s">
        <v>12</v>
      </c>
      <c r="E472" s="1">
        <v>222.41</v>
      </c>
      <c r="F472" s="1">
        <v>5</v>
      </c>
      <c r="G472" s="1">
        <v>1112.05</v>
      </c>
      <c r="H472" s="1" t="s">
        <v>238</v>
      </c>
    </row>
    <row r="473" spans="1:8" x14ac:dyDescent="0.35">
      <c r="A473" s="2">
        <v>45455.520833333336</v>
      </c>
      <c r="B473" s="3">
        <v>0.38777777777777778</v>
      </c>
      <c r="C473" s="1" t="s">
        <v>14</v>
      </c>
      <c r="D473" s="1" t="s">
        <v>27</v>
      </c>
      <c r="E473" s="1">
        <v>94.66</v>
      </c>
      <c r="F473" s="1">
        <v>4</v>
      </c>
      <c r="G473" s="1">
        <v>378.64</v>
      </c>
      <c r="H473" s="1" t="s">
        <v>73</v>
      </c>
    </row>
    <row r="474" spans="1:8" x14ac:dyDescent="0.35">
      <c r="A474" s="2">
        <v>45037.942361111112</v>
      </c>
      <c r="B474" s="3">
        <v>0.22037037037037036</v>
      </c>
      <c r="C474" s="1" t="s">
        <v>8</v>
      </c>
      <c r="D474" s="1" t="s">
        <v>16</v>
      </c>
      <c r="E474" s="1">
        <v>108.85</v>
      </c>
      <c r="F474" s="1">
        <v>4</v>
      </c>
      <c r="G474" s="1">
        <v>435.4</v>
      </c>
      <c r="H474" s="1" t="s">
        <v>200</v>
      </c>
    </row>
    <row r="475" spans="1:8" x14ac:dyDescent="0.35">
      <c r="A475" s="2">
        <v>45360.049305555556</v>
      </c>
      <c r="B475" s="3">
        <v>0.38581018518518517</v>
      </c>
      <c r="C475" s="1" t="s">
        <v>8</v>
      </c>
      <c r="D475" s="1" t="s">
        <v>12</v>
      </c>
      <c r="E475" s="1">
        <v>247.9</v>
      </c>
      <c r="F475" s="1">
        <v>1</v>
      </c>
      <c r="G475" s="1">
        <v>247.9</v>
      </c>
      <c r="H475" s="1" t="s">
        <v>296</v>
      </c>
    </row>
    <row r="476" spans="1:8" x14ac:dyDescent="0.35">
      <c r="A476" s="2">
        <v>45204.211805555555</v>
      </c>
      <c r="B476" s="3">
        <v>0.86252314814814823</v>
      </c>
      <c r="C476" s="1" t="s">
        <v>8</v>
      </c>
      <c r="D476" s="1" t="s">
        <v>16</v>
      </c>
      <c r="E476" s="1">
        <v>434.81</v>
      </c>
      <c r="F476" s="1">
        <v>5</v>
      </c>
      <c r="G476" s="1">
        <v>2174.0500000000002</v>
      </c>
      <c r="H476" s="1" t="s">
        <v>297</v>
      </c>
    </row>
    <row r="477" spans="1:8" x14ac:dyDescent="0.35">
      <c r="A477" s="2">
        <v>45429.081944444442</v>
      </c>
      <c r="B477" s="3">
        <v>0.11418981481481481</v>
      </c>
      <c r="C477" s="1" t="s">
        <v>8</v>
      </c>
      <c r="D477" s="1" t="s">
        <v>20</v>
      </c>
      <c r="E477" s="1">
        <v>321.14999999999998</v>
      </c>
      <c r="F477" s="1">
        <v>5</v>
      </c>
      <c r="G477" s="1">
        <v>1605.75</v>
      </c>
      <c r="H477" s="1" t="s">
        <v>227</v>
      </c>
    </row>
    <row r="478" spans="1:8" x14ac:dyDescent="0.35">
      <c r="A478" s="2">
        <v>45312.984027777777</v>
      </c>
      <c r="B478" s="3">
        <v>0.44298611111111108</v>
      </c>
      <c r="C478" s="1" t="s">
        <v>8</v>
      </c>
      <c r="D478" s="1" t="s">
        <v>27</v>
      </c>
      <c r="E478" s="1">
        <v>268.14</v>
      </c>
      <c r="F478" s="1">
        <v>5</v>
      </c>
      <c r="G478" s="1">
        <v>1340.7</v>
      </c>
      <c r="H478" s="1" t="s">
        <v>31</v>
      </c>
    </row>
    <row r="479" spans="1:8" x14ac:dyDescent="0.35">
      <c r="A479" s="2">
        <v>45042.895138888889</v>
      </c>
      <c r="B479" s="3">
        <v>0.4689814814814815</v>
      </c>
      <c r="C479" s="1" t="s">
        <v>14</v>
      </c>
      <c r="D479" s="1" t="s">
        <v>9</v>
      </c>
      <c r="E479" s="1">
        <v>448.39</v>
      </c>
      <c r="F479" s="1">
        <v>3</v>
      </c>
      <c r="G479" s="1">
        <v>1345.17</v>
      </c>
      <c r="H479" s="1" t="s">
        <v>237</v>
      </c>
    </row>
    <row r="480" spans="1:8" x14ac:dyDescent="0.35">
      <c r="A480" s="2">
        <v>45554.500694444447</v>
      </c>
      <c r="B480" s="3">
        <v>0.67414351851851861</v>
      </c>
      <c r="C480" s="1" t="s">
        <v>14</v>
      </c>
      <c r="D480" s="1" t="s">
        <v>16</v>
      </c>
      <c r="E480" s="1">
        <v>283.77</v>
      </c>
      <c r="F480" s="1">
        <v>5</v>
      </c>
      <c r="G480" s="1">
        <v>1418.85</v>
      </c>
      <c r="H480" s="1" t="s">
        <v>294</v>
      </c>
    </row>
    <row r="481" spans="1:8" x14ac:dyDescent="0.35">
      <c r="A481" s="2">
        <v>45072.583333333336</v>
      </c>
      <c r="B481" s="3">
        <v>0.34041666666666665</v>
      </c>
      <c r="C481" s="1" t="s">
        <v>11</v>
      </c>
      <c r="D481" s="1" t="s">
        <v>9</v>
      </c>
      <c r="E481" s="1">
        <v>250.29</v>
      </c>
      <c r="F481" s="1">
        <v>5</v>
      </c>
      <c r="G481" s="1">
        <v>1251.45</v>
      </c>
      <c r="H481" s="1" t="s">
        <v>293</v>
      </c>
    </row>
    <row r="482" spans="1:8" x14ac:dyDescent="0.35">
      <c r="A482" s="2">
        <v>45628.97152777778</v>
      </c>
      <c r="B482" s="3">
        <v>0.45696759259259262</v>
      </c>
      <c r="C482" s="1" t="s">
        <v>11</v>
      </c>
      <c r="D482" s="1" t="s">
        <v>16</v>
      </c>
      <c r="E482" s="1">
        <v>117.74</v>
      </c>
      <c r="F482" s="1">
        <v>2</v>
      </c>
      <c r="G482" s="1">
        <v>235.48</v>
      </c>
      <c r="H482" s="1" t="s">
        <v>298</v>
      </c>
    </row>
    <row r="483" spans="1:8" x14ac:dyDescent="0.35">
      <c r="A483" s="2">
        <v>45500.727777777778</v>
      </c>
      <c r="B483" s="3">
        <v>0.46011574074074074</v>
      </c>
      <c r="C483" s="1" t="s">
        <v>14</v>
      </c>
      <c r="D483" s="1" t="s">
        <v>9</v>
      </c>
      <c r="E483" s="1">
        <v>272.45</v>
      </c>
      <c r="F483" s="1">
        <v>5</v>
      </c>
      <c r="G483" s="1">
        <v>1362.25</v>
      </c>
      <c r="H483" s="1" t="s">
        <v>152</v>
      </c>
    </row>
    <row r="484" spans="1:8" x14ac:dyDescent="0.35">
      <c r="A484" s="2">
        <v>45125.90625</v>
      </c>
      <c r="B484" s="3">
        <v>0.49282407407407408</v>
      </c>
      <c r="C484" s="1" t="s">
        <v>8</v>
      </c>
      <c r="D484" s="1" t="s">
        <v>12</v>
      </c>
      <c r="E484" s="1">
        <v>379.17</v>
      </c>
      <c r="F484" s="1">
        <v>2</v>
      </c>
      <c r="G484" s="1">
        <v>758.34</v>
      </c>
      <c r="H484" s="1" t="s">
        <v>299</v>
      </c>
    </row>
    <row r="485" spans="1:8" x14ac:dyDescent="0.35">
      <c r="A485" s="2">
        <v>44979.761111111111</v>
      </c>
      <c r="B485" s="3">
        <v>0.22616898148148148</v>
      </c>
      <c r="C485" s="1" t="s">
        <v>8</v>
      </c>
      <c r="D485" s="1" t="s">
        <v>12</v>
      </c>
      <c r="E485" s="1">
        <v>404.46</v>
      </c>
      <c r="F485" s="1">
        <v>1</v>
      </c>
      <c r="G485" s="1">
        <v>404.46</v>
      </c>
      <c r="H485" s="1" t="s">
        <v>300</v>
      </c>
    </row>
    <row r="486" spans="1:8" x14ac:dyDescent="0.35">
      <c r="A486" s="2">
        <v>45017.335416666669</v>
      </c>
      <c r="B486" s="3">
        <v>0.51201388888888888</v>
      </c>
      <c r="C486" s="1" t="s">
        <v>14</v>
      </c>
      <c r="D486" s="1" t="s">
        <v>9</v>
      </c>
      <c r="E486" s="1">
        <v>215.78</v>
      </c>
      <c r="F486" s="1">
        <v>4</v>
      </c>
      <c r="G486" s="1">
        <v>863.12</v>
      </c>
      <c r="H486" s="1" t="s">
        <v>301</v>
      </c>
    </row>
    <row r="487" spans="1:8" x14ac:dyDescent="0.35">
      <c r="A487" s="2">
        <v>45206.35</v>
      </c>
      <c r="B487" s="3">
        <v>0.52659722222222227</v>
      </c>
      <c r="C487" s="1" t="s">
        <v>8</v>
      </c>
      <c r="D487" s="1" t="s">
        <v>16</v>
      </c>
      <c r="E487" s="1">
        <v>105.88</v>
      </c>
      <c r="F487" s="1">
        <v>3</v>
      </c>
      <c r="G487" s="1">
        <v>317.64</v>
      </c>
      <c r="H487" s="1" t="s">
        <v>25</v>
      </c>
    </row>
    <row r="488" spans="1:8" x14ac:dyDescent="0.35">
      <c r="A488" s="2">
        <v>45244.759027777778</v>
      </c>
      <c r="B488" s="3">
        <v>2.6770833333333331E-2</v>
      </c>
      <c r="C488" s="1" t="s">
        <v>14</v>
      </c>
      <c r="D488" s="1" t="s">
        <v>9</v>
      </c>
      <c r="E488" s="1">
        <v>416.86</v>
      </c>
      <c r="F488" s="1">
        <v>2</v>
      </c>
      <c r="G488" s="1">
        <v>833.72</v>
      </c>
      <c r="H488" s="1" t="s">
        <v>159</v>
      </c>
    </row>
    <row r="489" spans="1:8" x14ac:dyDescent="0.35">
      <c r="A489" s="2">
        <v>45094.175694444442</v>
      </c>
      <c r="B489" s="3">
        <v>3.4212962962962966E-2</v>
      </c>
      <c r="C489" s="1" t="s">
        <v>14</v>
      </c>
      <c r="D489" s="1" t="s">
        <v>16</v>
      </c>
      <c r="E489" s="1">
        <v>203.02</v>
      </c>
      <c r="F489" s="1">
        <v>1</v>
      </c>
      <c r="G489" s="1">
        <v>203.02</v>
      </c>
      <c r="H489" s="1" t="s">
        <v>191</v>
      </c>
    </row>
    <row r="490" spans="1:8" x14ac:dyDescent="0.35">
      <c r="A490" s="2">
        <v>45607.356249999997</v>
      </c>
      <c r="B490" s="3">
        <v>0.49454861111111109</v>
      </c>
      <c r="C490" s="1" t="s">
        <v>14</v>
      </c>
      <c r="D490" s="1" t="s">
        <v>9</v>
      </c>
      <c r="E490" s="1">
        <v>198.61</v>
      </c>
      <c r="F490" s="1">
        <v>2</v>
      </c>
      <c r="G490" s="1">
        <v>397.22</v>
      </c>
      <c r="H490" s="1" t="s">
        <v>17</v>
      </c>
    </row>
    <row r="491" spans="1:8" x14ac:dyDescent="0.35">
      <c r="A491" s="2">
        <v>45343.818749999999</v>
      </c>
      <c r="B491" s="3">
        <v>0.91380787037037037</v>
      </c>
      <c r="C491" s="1" t="s">
        <v>14</v>
      </c>
      <c r="D491" s="1" t="s">
        <v>9</v>
      </c>
      <c r="E491" s="1">
        <v>127.65</v>
      </c>
      <c r="F491" s="1">
        <v>4</v>
      </c>
      <c r="G491" s="1">
        <v>510.6</v>
      </c>
      <c r="H491" s="1" t="s">
        <v>145</v>
      </c>
    </row>
    <row r="492" spans="1:8" x14ac:dyDescent="0.35">
      <c r="A492" s="2">
        <v>45235.753472222219</v>
      </c>
      <c r="B492" s="3">
        <v>0.42526620370370366</v>
      </c>
      <c r="C492" s="1" t="s">
        <v>11</v>
      </c>
      <c r="D492" s="1" t="s">
        <v>20</v>
      </c>
      <c r="E492" s="1">
        <v>186.82</v>
      </c>
      <c r="F492" s="1">
        <v>2</v>
      </c>
      <c r="G492" s="1">
        <v>373.64</v>
      </c>
      <c r="H492" s="1" t="s">
        <v>282</v>
      </c>
    </row>
    <row r="493" spans="1:8" x14ac:dyDescent="0.35">
      <c r="A493" s="2">
        <v>45176.049305555556</v>
      </c>
      <c r="B493" s="3">
        <v>0.11822916666666666</v>
      </c>
      <c r="C493" s="1" t="s">
        <v>14</v>
      </c>
      <c r="D493" s="1" t="s">
        <v>12</v>
      </c>
      <c r="E493" s="1">
        <v>431.94</v>
      </c>
      <c r="F493" s="1">
        <v>3</v>
      </c>
      <c r="G493" s="1">
        <v>1295.82</v>
      </c>
      <c r="H493" s="1" t="s">
        <v>159</v>
      </c>
    </row>
    <row r="494" spans="1:8" x14ac:dyDescent="0.35">
      <c r="A494" s="2">
        <v>45492.932638888888</v>
      </c>
      <c r="B494" s="3">
        <v>0.92560185185185195</v>
      </c>
      <c r="C494" s="1" t="s">
        <v>14</v>
      </c>
      <c r="D494" s="1" t="s">
        <v>9</v>
      </c>
      <c r="E494" s="1">
        <v>186.68</v>
      </c>
      <c r="F494" s="1">
        <v>1</v>
      </c>
      <c r="G494" s="1">
        <v>186.68</v>
      </c>
      <c r="H494" s="1" t="s">
        <v>102</v>
      </c>
    </row>
    <row r="495" spans="1:8" x14ac:dyDescent="0.35">
      <c r="A495" s="2">
        <v>45473.334722222222</v>
      </c>
      <c r="B495" s="3">
        <v>0.40891203703703699</v>
      </c>
      <c r="C495" s="1" t="s">
        <v>14</v>
      </c>
      <c r="D495" s="1" t="s">
        <v>9</v>
      </c>
      <c r="E495" s="1">
        <v>358.59</v>
      </c>
      <c r="F495" s="1">
        <v>3</v>
      </c>
      <c r="G495" s="1">
        <v>1075.77</v>
      </c>
      <c r="H495" s="1" t="s">
        <v>249</v>
      </c>
    </row>
    <row r="496" spans="1:8" x14ac:dyDescent="0.35">
      <c r="A496" s="2">
        <v>45582.026388888888</v>
      </c>
      <c r="B496" s="3">
        <v>0.88156249999999992</v>
      </c>
      <c r="C496" s="1" t="s">
        <v>11</v>
      </c>
      <c r="D496" s="1" t="s">
        <v>9</v>
      </c>
      <c r="E496" s="1">
        <v>153.13</v>
      </c>
      <c r="F496" s="1">
        <v>1</v>
      </c>
      <c r="G496" s="1">
        <v>153.13</v>
      </c>
      <c r="H496" s="1" t="s">
        <v>154</v>
      </c>
    </row>
    <row r="497" spans="1:8" x14ac:dyDescent="0.35">
      <c r="A497" s="2">
        <v>45614.162499999999</v>
      </c>
      <c r="B497" s="3">
        <v>0.67878472222222219</v>
      </c>
      <c r="C497" s="1" t="s">
        <v>11</v>
      </c>
      <c r="D497" s="1" t="s">
        <v>16</v>
      </c>
      <c r="E497" s="1">
        <v>145.75</v>
      </c>
      <c r="F497" s="1">
        <v>5</v>
      </c>
      <c r="G497" s="1">
        <v>728.75</v>
      </c>
      <c r="H497" s="1" t="s">
        <v>25</v>
      </c>
    </row>
    <row r="498" spans="1:8" x14ac:dyDescent="0.35">
      <c r="A498" s="2">
        <v>45322.912499999999</v>
      </c>
      <c r="B498" s="3">
        <v>0.26124999999999998</v>
      </c>
      <c r="C498" s="1" t="s">
        <v>8</v>
      </c>
      <c r="D498" s="1" t="s">
        <v>16</v>
      </c>
      <c r="E498" s="1">
        <v>67.209999999999994</v>
      </c>
      <c r="F498" s="1">
        <v>4</v>
      </c>
      <c r="G498" s="1">
        <v>268.83999999999997</v>
      </c>
      <c r="H498" s="1" t="s">
        <v>258</v>
      </c>
    </row>
    <row r="499" spans="1:8" x14ac:dyDescent="0.35">
      <c r="A499" s="2">
        <v>44944.928472222222</v>
      </c>
      <c r="B499" s="3">
        <v>1.5648148148148151E-2</v>
      </c>
      <c r="C499" s="1" t="s">
        <v>14</v>
      </c>
      <c r="D499" s="1" t="s">
        <v>27</v>
      </c>
      <c r="E499" s="1">
        <v>177.95</v>
      </c>
      <c r="F499" s="1">
        <v>3</v>
      </c>
      <c r="G499" s="1">
        <v>533.85</v>
      </c>
      <c r="H499" s="1" t="s">
        <v>98</v>
      </c>
    </row>
    <row r="500" spans="1:8" x14ac:dyDescent="0.35">
      <c r="A500" s="2">
        <v>45089.050694444442</v>
      </c>
      <c r="B500" s="3">
        <v>0.53899305555555554</v>
      </c>
      <c r="C500" s="1" t="s">
        <v>11</v>
      </c>
      <c r="D500" s="1" t="s">
        <v>12</v>
      </c>
      <c r="E500" s="1">
        <v>34.4</v>
      </c>
      <c r="F500" s="1">
        <v>5</v>
      </c>
      <c r="G500" s="1">
        <v>172</v>
      </c>
      <c r="H500" s="1" t="s">
        <v>302</v>
      </c>
    </row>
    <row r="501" spans="1:8" x14ac:dyDescent="0.35">
      <c r="A501" s="2">
        <v>45004.551388888889</v>
      </c>
      <c r="B501" s="3">
        <v>0.99826388888888884</v>
      </c>
      <c r="C501" s="1" t="s">
        <v>8</v>
      </c>
      <c r="D501" s="1" t="s">
        <v>27</v>
      </c>
      <c r="E501" s="1">
        <v>476.9</v>
      </c>
      <c r="F501" s="1">
        <v>2</v>
      </c>
      <c r="G501" s="1">
        <v>953.8</v>
      </c>
      <c r="H501" s="1" t="s">
        <v>111</v>
      </c>
    </row>
    <row r="502" spans="1:8" x14ac:dyDescent="0.35">
      <c r="A502" s="2">
        <v>45010.059027777781</v>
      </c>
      <c r="B502" s="3">
        <v>0.94396990740740738</v>
      </c>
      <c r="C502" s="1" t="s">
        <v>8</v>
      </c>
      <c r="D502" s="1" t="s">
        <v>16</v>
      </c>
      <c r="E502" s="1">
        <v>49.5</v>
      </c>
      <c r="F502" s="1">
        <v>4</v>
      </c>
      <c r="G502" s="1">
        <v>198</v>
      </c>
      <c r="H502" s="1" t="s">
        <v>105</v>
      </c>
    </row>
    <row r="503" spans="1:8" x14ac:dyDescent="0.35">
      <c r="A503" s="2">
        <v>44945.515972222223</v>
      </c>
      <c r="B503" s="3">
        <v>0.66664351851851855</v>
      </c>
      <c r="C503" s="1" t="s">
        <v>14</v>
      </c>
      <c r="D503" s="1" t="s">
        <v>20</v>
      </c>
      <c r="E503" s="1">
        <v>112.56</v>
      </c>
      <c r="F503" s="1">
        <v>2</v>
      </c>
      <c r="G503" s="1">
        <v>225.12</v>
      </c>
      <c r="H503" s="1" t="s">
        <v>303</v>
      </c>
    </row>
    <row r="504" spans="1:8" x14ac:dyDescent="0.35">
      <c r="A504" s="2">
        <v>45089.947222222225</v>
      </c>
      <c r="B504" s="3">
        <v>0.77364583333333325</v>
      </c>
      <c r="C504" s="1" t="s">
        <v>11</v>
      </c>
      <c r="D504" s="1" t="s">
        <v>20</v>
      </c>
      <c r="E504" s="1">
        <v>343.82</v>
      </c>
      <c r="F504" s="1">
        <v>5</v>
      </c>
      <c r="G504" s="1">
        <v>1719.1</v>
      </c>
      <c r="H504" s="1" t="s">
        <v>169</v>
      </c>
    </row>
    <row r="505" spans="1:8" x14ac:dyDescent="0.35">
      <c r="A505" s="2">
        <v>45492.120833333334</v>
      </c>
      <c r="B505" s="3">
        <v>0.6363078703703704</v>
      </c>
      <c r="C505" s="1" t="s">
        <v>14</v>
      </c>
      <c r="D505" s="1" t="s">
        <v>16</v>
      </c>
      <c r="E505" s="1">
        <v>121.29</v>
      </c>
      <c r="F505" s="1">
        <v>4</v>
      </c>
      <c r="G505" s="1">
        <v>485.16</v>
      </c>
      <c r="H505" s="1" t="s">
        <v>304</v>
      </c>
    </row>
    <row r="506" spans="1:8" x14ac:dyDescent="0.35">
      <c r="A506" s="2">
        <v>45083.991666666669</v>
      </c>
      <c r="B506" s="3">
        <v>0.58550925925925923</v>
      </c>
      <c r="C506" s="1" t="s">
        <v>8</v>
      </c>
      <c r="D506" s="1" t="s">
        <v>20</v>
      </c>
      <c r="E506" s="1">
        <v>282.5</v>
      </c>
      <c r="F506" s="1">
        <v>1</v>
      </c>
      <c r="G506" s="1">
        <v>282.5</v>
      </c>
      <c r="H506" s="1" t="s">
        <v>62</v>
      </c>
    </row>
    <row r="507" spans="1:8" x14ac:dyDescent="0.35">
      <c r="A507" s="2">
        <v>45484.749305555553</v>
      </c>
      <c r="B507" s="3">
        <v>0.36940972222222218</v>
      </c>
      <c r="C507" s="1" t="s">
        <v>14</v>
      </c>
      <c r="D507" s="1" t="s">
        <v>20</v>
      </c>
      <c r="E507" s="1">
        <v>463.77</v>
      </c>
      <c r="F507" s="1">
        <v>3</v>
      </c>
      <c r="G507" s="1">
        <v>1391.31</v>
      </c>
      <c r="H507" s="1" t="s">
        <v>305</v>
      </c>
    </row>
    <row r="508" spans="1:8" x14ac:dyDescent="0.35">
      <c r="A508" s="2">
        <v>45428.69027777778</v>
      </c>
      <c r="B508" s="3">
        <v>0.76732638888888882</v>
      </c>
      <c r="C508" s="1" t="s">
        <v>14</v>
      </c>
      <c r="D508" s="1" t="s">
        <v>16</v>
      </c>
      <c r="E508" s="1">
        <v>136.47</v>
      </c>
      <c r="F508" s="1">
        <v>4</v>
      </c>
      <c r="G508" s="1">
        <v>545.88</v>
      </c>
      <c r="H508" s="1" t="s">
        <v>33</v>
      </c>
    </row>
    <row r="509" spans="1:8" x14ac:dyDescent="0.35">
      <c r="A509" s="2">
        <v>45395.23541666667</v>
      </c>
      <c r="B509" s="3">
        <v>7.3819444444444438E-2</v>
      </c>
      <c r="C509" s="1" t="s">
        <v>8</v>
      </c>
      <c r="D509" s="1" t="s">
        <v>16</v>
      </c>
      <c r="E509" s="1">
        <v>180.74</v>
      </c>
      <c r="F509" s="1">
        <v>3</v>
      </c>
      <c r="G509" s="1">
        <v>542.22</v>
      </c>
      <c r="H509" s="1" t="s">
        <v>129</v>
      </c>
    </row>
    <row r="510" spans="1:8" x14ac:dyDescent="0.35">
      <c r="A510" s="2">
        <v>45034.691666666666</v>
      </c>
      <c r="B510" s="3">
        <v>0.16163194444444443</v>
      </c>
      <c r="C510" s="1" t="s">
        <v>11</v>
      </c>
      <c r="D510" s="1" t="s">
        <v>27</v>
      </c>
      <c r="E510" s="1">
        <v>190.71</v>
      </c>
      <c r="F510" s="1">
        <v>3</v>
      </c>
      <c r="G510" s="1">
        <v>572.13</v>
      </c>
      <c r="H510" s="1" t="s">
        <v>85</v>
      </c>
    </row>
    <row r="511" spans="1:8" x14ac:dyDescent="0.35">
      <c r="A511" s="2">
        <v>45086.719444444447</v>
      </c>
      <c r="B511" s="3">
        <v>0.52439814814814811</v>
      </c>
      <c r="C511" s="1" t="s">
        <v>11</v>
      </c>
      <c r="D511" s="1" t="s">
        <v>20</v>
      </c>
      <c r="E511" s="1">
        <v>237.68</v>
      </c>
      <c r="F511" s="1">
        <v>1</v>
      </c>
      <c r="G511" s="1">
        <v>237.68</v>
      </c>
      <c r="H511" s="1" t="s">
        <v>244</v>
      </c>
    </row>
    <row r="512" spans="1:8" x14ac:dyDescent="0.35">
      <c r="A512" s="2">
        <v>45082.509027777778</v>
      </c>
      <c r="B512" s="3">
        <v>9.8206018518518512E-2</v>
      </c>
      <c r="C512" s="1" t="s">
        <v>8</v>
      </c>
      <c r="D512" s="1" t="s">
        <v>20</v>
      </c>
      <c r="E512" s="1">
        <v>354.5</v>
      </c>
      <c r="F512" s="1">
        <v>3</v>
      </c>
      <c r="G512" s="1">
        <v>1063.5</v>
      </c>
      <c r="H512" s="1" t="s">
        <v>181</v>
      </c>
    </row>
    <row r="513" spans="1:8" x14ac:dyDescent="0.35">
      <c r="A513" s="2">
        <v>45534.959027777775</v>
      </c>
      <c r="B513" s="3">
        <v>1.2951388888888887E-2</v>
      </c>
      <c r="C513" s="1" t="s">
        <v>8</v>
      </c>
      <c r="D513" s="1" t="s">
        <v>27</v>
      </c>
      <c r="E513" s="1">
        <v>86.19</v>
      </c>
      <c r="F513" s="1">
        <v>5</v>
      </c>
      <c r="G513" s="1">
        <v>430.95</v>
      </c>
      <c r="H513" s="1" t="s">
        <v>69</v>
      </c>
    </row>
    <row r="514" spans="1:8" x14ac:dyDescent="0.35">
      <c r="A514" s="2">
        <v>45552.62777777778</v>
      </c>
      <c r="B514" s="3">
        <v>0.70650462962962957</v>
      </c>
      <c r="C514" s="1" t="s">
        <v>14</v>
      </c>
      <c r="D514" s="1" t="s">
        <v>9</v>
      </c>
      <c r="E514" s="1">
        <v>136.33000000000001</v>
      </c>
      <c r="F514" s="1">
        <v>2</v>
      </c>
      <c r="G514" s="1">
        <v>272.66000000000003</v>
      </c>
      <c r="H514" s="1" t="s">
        <v>101</v>
      </c>
    </row>
    <row r="515" spans="1:8" x14ac:dyDescent="0.35">
      <c r="A515" s="2">
        <v>45264.918749999997</v>
      </c>
      <c r="B515" s="3">
        <v>0.39890046296296294</v>
      </c>
      <c r="C515" s="1" t="s">
        <v>8</v>
      </c>
      <c r="D515" s="1" t="s">
        <v>12</v>
      </c>
      <c r="E515" s="1">
        <v>118.37</v>
      </c>
      <c r="F515" s="1">
        <v>1</v>
      </c>
      <c r="G515" s="1">
        <v>118.37</v>
      </c>
      <c r="H515" s="1" t="s">
        <v>306</v>
      </c>
    </row>
    <row r="516" spans="1:8" x14ac:dyDescent="0.35">
      <c r="A516" s="2">
        <v>44940.107638888891</v>
      </c>
      <c r="B516" s="3">
        <v>0.53991898148148143</v>
      </c>
      <c r="C516" s="1" t="s">
        <v>8</v>
      </c>
      <c r="D516" s="1" t="s">
        <v>9</v>
      </c>
      <c r="E516" s="1">
        <v>146.5</v>
      </c>
      <c r="F516" s="1">
        <v>2</v>
      </c>
      <c r="G516" s="1">
        <v>293</v>
      </c>
      <c r="H516" s="1" t="s">
        <v>307</v>
      </c>
    </row>
    <row r="517" spans="1:8" x14ac:dyDescent="0.35">
      <c r="A517" s="2">
        <v>45104.213888888888</v>
      </c>
      <c r="B517" s="3">
        <v>0.40353009259259259</v>
      </c>
      <c r="C517" s="1" t="s">
        <v>14</v>
      </c>
      <c r="D517" s="1" t="s">
        <v>12</v>
      </c>
      <c r="E517" s="1">
        <v>74.67</v>
      </c>
      <c r="F517" s="1">
        <v>2</v>
      </c>
      <c r="G517" s="1">
        <v>149.34</v>
      </c>
      <c r="H517" s="1" t="s">
        <v>140</v>
      </c>
    </row>
    <row r="518" spans="1:8" x14ac:dyDescent="0.35">
      <c r="A518" s="2">
        <v>45623.594444444447</v>
      </c>
      <c r="B518" s="3">
        <v>0.69504629629629633</v>
      </c>
      <c r="C518" s="1" t="s">
        <v>11</v>
      </c>
      <c r="D518" s="1" t="s">
        <v>27</v>
      </c>
      <c r="E518" s="1">
        <v>251.59</v>
      </c>
      <c r="F518" s="1">
        <v>3</v>
      </c>
      <c r="G518" s="1">
        <v>754.77</v>
      </c>
      <c r="H518" s="1" t="s">
        <v>36</v>
      </c>
    </row>
    <row r="519" spans="1:8" x14ac:dyDescent="0.35">
      <c r="A519" s="2">
        <v>45153.606249999997</v>
      </c>
      <c r="B519" s="3">
        <v>0.74743055555555549</v>
      </c>
      <c r="C519" s="1" t="s">
        <v>11</v>
      </c>
      <c r="D519" s="1" t="s">
        <v>16</v>
      </c>
      <c r="E519" s="1">
        <v>418.68</v>
      </c>
      <c r="F519" s="1">
        <v>4</v>
      </c>
      <c r="G519" s="1">
        <v>1674.72</v>
      </c>
      <c r="H519" s="1" t="s">
        <v>232</v>
      </c>
    </row>
    <row r="520" spans="1:8" x14ac:dyDescent="0.35">
      <c r="A520" s="2">
        <v>45469.537499999999</v>
      </c>
      <c r="B520" s="3">
        <v>0.72392361111111114</v>
      </c>
      <c r="C520" s="1" t="s">
        <v>11</v>
      </c>
      <c r="D520" s="1" t="s">
        <v>9</v>
      </c>
      <c r="E520" s="1">
        <v>480.43</v>
      </c>
      <c r="F520" s="1">
        <v>2</v>
      </c>
      <c r="G520" s="1">
        <v>960.86</v>
      </c>
      <c r="H520" s="1" t="s">
        <v>118</v>
      </c>
    </row>
    <row r="521" spans="1:8" x14ac:dyDescent="0.35">
      <c r="A521" s="2">
        <v>45406.847222222219</v>
      </c>
      <c r="B521" s="3">
        <v>0.74392361111111116</v>
      </c>
      <c r="C521" s="1" t="s">
        <v>14</v>
      </c>
      <c r="D521" s="1" t="s">
        <v>20</v>
      </c>
      <c r="E521" s="1">
        <v>274.62</v>
      </c>
      <c r="F521" s="1">
        <v>5</v>
      </c>
      <c r="G521" s="1">
        <v>1373.1</v>
      </c>
      <c r="H521" s="1" t="s">
        <v>308</v>
      </c>
    </row>
    <row r="522" spans="1:8" x14ac:dyDescent="0.35">
      <c r="A522" s="2">
        <v>45289.532638888886</v>
      </c>
      <c r="B522" s="3">
        <v>0.58682870370370377</v>
      </c>
      <c r="C522" s="1" t="s">
        <v>8</v>
      </c>
      <c r="D522" s="1" t="s">
        <v>27</v>
      </c>
      <c r="E522" s="1">
        <v>130.08000000000001</v>
      </c>
      <c r="F522" s="1">
        <v>5</v>
      </c>
      <c r="G522" s="1">
        <v>650.4</v>
      </c>
      <c r="H522" s="1" t="s">
        <v>275</v>
      </c>
    </row>
    <row r="523" spans="1:8" x14ac:dyDescent="0.35">
      <c r="A523" s="2">
        <v>45434.181250000001</v>
      </c>
      <c r="B523" s="3">
        <v>0.25415509259259256</v>
      </c>
      <c r="C523" s="1" t="s">
        <v>11</v>
      </c>
      <c r="D523" s="1" t="s">
        <v>27</v>
      </c>
      <c r="E523" s="1">
        <v>391.56</v>
      </c>
      <c r="F523" s="1">
        <v>2</v>
      </c>
      <c r="G523" s="1">
        <v>783.12</v>
      </c>
      <c r="H523" s="1" t="s">
        <v>150</v>
      </c>
    </row>
    <row r="524" spans="1:8" x14ac:dyDescent="0.35">
      <c r="A524" s="2">
        <v>45204.75277777778</v>
      </c>
      <c r="B524" s="3">
        <v>0.3755208333333333</v>
      </c>
      <c r="C524" s="1" t="s">
        <v>14</v>
      </c>
      <c r="D524" s="1" t="s">
        <v>16</v>
      </c>
      <c r="E524" s="1">
        <v>281.86</v>
      </c>
      <c r="F524" s="1">
        <v>1</v>
      </c>
      <c r="G524" s="1">
        <v>281.86</v>
      </c>
      <c r="H524" s="1" t="s">
        <v>181</v>
      </c>
    </row>
    <row r="525" spans="1:8" x14ac:dyDescent="0.35">
      <c r="A525" s="2">
        <v>45646.149305555555</v>
      </c>
      <c r="B525" s="3">
        <v>0.51356481481481475</v>
      </c>
      <c r="C525" s="1" t="s">
        <v>8</v>
      </c>
      <c r="D525" s="1" t="s">
        <v>27</v>
      </c>
      <c r="E525" s="1">
        <v>278.89</v>
      </c>
      <c r="F525" s="1">
        <v>1</v>
      </c>
      <c r="G525" s="1">
        <v>278.89</v>
      </c>
      <c r="H525" s="1" t="s">
        <v>228</v>
      </c>
    </row>
    <row r="526" spans="1:8" x14ac:dyDescent="0.35">
      <c r="A526" s="2">
        <v>45231.593055555553</v>
      </c>
      <c r="B526" s="3">
        <v>0.84265046296296298</v>
      </c>
      <c r="C526" s="1" t="s">
        <v>8</v>
      </c>
      <c r="D526" s="1" t="s">
        <v>20</v>
      </c>
      <c r="E526" s="1">
        <v>470.47</v>
      </c>
      <c r="F526" s="1">
        <v>4</v>
      </c>
      <c r="G526" s="1">
        <v>1881.88</v>
      </c>
      <c r="H526" s="1" t="s">
        <v>288</v>
      </c>
    </row>
    <row r="527" spans="1:8" x14ac:dyDescent="0.35">
      <c r="A527" s="2">
        <v>44957.086111111108</v>
      </c>
      <c r="B527" s="3">
        <v>0.51975694444444442</v>
      </c>
      <c r="C527" s="1" t="s">
        <v>8</v>
      </c>
      <c r="D527" s="1" t="s">
        <v>12</v>
      </c>
      <c r="E527" s="1">
        <v>293.20999999999998</v>
      </c>
      <c r="F527" s="1">
        <v>5</v>
      </c>
      <c r="G527" s="1">
        <v>1466.05</v>
      </c>
      <c r="H527" s="1" t="s">
        <v>177</v>
      </c>
    </row>
    <row r="528" spans="1:8" x14ac:dyDescent="0.35">
      <c r="A528" s="2">
        <v>45132.753472222219</v>
      </c>
      <c r="B528" s="3">
        <v>0.39917824074074071</v>
      </c>
      <c r="C528" s="1" t="s">
        <v>11</v>
      </c>
      <c r="D528" s="1" t="s">
        <v>9</v>
      </c>
      <c r="E528" s="1">
        <v>343.2</v>
      </c>
      <c r="F528" s="1">
        <v>2</v>
      </c>
      <c r="G528" s="1">
        <v>686.4</v>
      </c>
      <c r="H528" s="1" t="s">
        <v>239</v>
      </c>
    </row>
    <row r="529" spans="1:8" x14ac:dyDescent="0.35">
      <c r="A529" s="2">
        <v>45434.911111111112</v>
      </c>
      <c r="B529" s="3">
        <v>0.96800925925925929</v>
      </c>
      <c r="C529" s="1" t="s">
        <v>8</v>
      </c>
      <c r="D529" s="1" t="s">
        <v>12</v>
      </c>
      <c r="E529" s="1">
        <v>59.54</v>
      </c>
      <c r="F529" s="1">
        <v>4</v>
      </c>
      <c r="G529" s="1">
        <v>238.16</v>
      </c>
      <c r="H529" s="1" t="s">
        <v>220</v>
      </c>
    </row>
    <row r="530" spans="1:8" x14ac:dyDescent="0.35">
      <c r="A530" s="2">
        <v>44999.620833333334</v>
      </c>
      <c r="B530" s="3">
        <v>5.0138888888888893E-2</v>
      </c>
      <c r="C530" s="1" t="s">
        <v>8</v>
      </c>
      <c r="D530" s="1" t="s">
        <v>16</v>
      </c>
      <c r="E530" s="1">
        <v>462.69</v>
      </c>
      <c r="F530" s="1">
        <v>5</v>
      </c>
      <c r="G530" s="1">
        <v>2313.4499999999998</v>
      </c>
      <c r="H530" s="1" t="s">
        <v>140</v>
      </c>
    </row>
    <row r="531" spans="1:8" x14ac:dyDescent="0.35">
      <c r="A531" s="2">
        <v>45364.560416666667</v>
      </c>
      <c r="B531" s="3">
        <v>0.77378472222222217</v>
      </c>
      <c r="C531" s="1" t="s">
        <v>11</v>
      </c>
      <c r="D531" s="1" t="s">
        <v>20</v>
      </c>
      <c r="E531" s="1">
        <v>333.25</v>
      </c>
      <c r="F531" s="1">
        <v>4</v>
      </c>
      <c r="G531" s="1">
        <v>1333</v>
      </c>
      <c r="H531" s="1" t="s">
        <v>117</v>
      </c>
    </row>
    <row r="532" spans="1:8" x14ac:dyDescent="0.35">
      <c r="A532" s="2">
        <v>45663.24722222222</v>
      </c>
      <c r="B532" s="3">
        <v>0.37892361111111111</v>
      </c>
      <c r="C532" s="1" t="s">
        <v>8</v>
      </c>
      <c r="D532" s="1" t="s">
        <v>12</v>
      </c>
      <c r="E532" s="1">
        <v>325.05</v>
      </c>
      <c r="F532" s="1">
        <v>4</v>
      </c>
      <c r="G532" s="1">
        <v>1300.2</v>
      </c>
      <c r="H532" s="1" t="s">
        <v>304</v>
      </c>
    </row>
    <row r="533" spans="1:8" x14ac:dyDescent="0.35">
      <c r="A533" s="2">
        <v>45665.956944444442</v>
      </c>
      <c r="B533" s="3">
        <v>0.8601388888888889</v>
      </c>
      <c r="C533" s="1" t="s">
        <v>8</v>
      </c>
      <c r="D533" s="1" t="s">
        <v>27</v>
      </c>
      <c r="E533" s="1">
        <v>98.83</v>
      </c>
      <c r="F533" s="1">
        <v>2</v>
      </c>
      <c r="G533" s="1">
        <v>197.66</v>
      </c>
      <c r="H533" s="1" t="s">
        <v>309</v>
      </c>
    </row>
    <row r="534" spans="1:8" x14ac:dyDescent="0.35">
      <c r="A534" s="2">
        <v>45509.097222222219</v>
      </c>
      <c r="B534" s="3">
        <v>0.52024305555555561</v>
      </c>
      <c r="C534" s="1" t="s">
        <v>11</v>
      </c>
      <c r="D534" s="1" t="s">
        <v>27</v>
      </c>
      <c r="E534" s="1">
        <v>92.72</v>
      </c>
      <c r="F534" s="1">
        <v>5</v>
      </c>
      <c r="G534" s="1">
        <v>463.6</v>
      </c>
      <c r="H534" s="1" t="s">
        <v>254</v>
      </c>
    </row>
    <row r="535" spans="1:8" x14ac:dyDescent="0.35">
      <c r="A535" s="2">
        <v>45096.003472222219</v>
      </c>
      <c r="B535" s="3">
        <v>0.91913194444444446</v>
      </c>
      <c r="C535" s="1" t="s">
        <v>14</v>
      </c>
      <c r="D535" s="1" t="s">
        <v>27</v>
      </c>
      <c r="E535" s="1">
        <v>322.95999999999998</v>
      </c>
      <c r="F535" s="1">
        <v>2</v>
      </c>
      <c r="G535" s="1">
        <v>645.91999999999996</v>
      </c>
      <c r="H535" s="1" t="s">
        <v>201</v>
      </c>
    </row>
    <row r="536" spans="1:8" x14ac:dyDescent="0.35">
      <c r="A536" s="2">
        <v>45531.6</v>
      </c>
      <c r="B536" s="3">
        <v>0.30129629629629628</v>
      </c>
      <c r="C536" s="1" t="s">
        <v>14</v>
      </c>
      <c r="D536" s="1" t="s">
        <v>20</v>
      </c>
      <c r="E536" s="1">
        <v>349.74</v>
      </c>
      <c r="F536" s="1">
        <v>2</v>
      </c>
      <c r="G536" s="1">
        <v>699.48</v>
      </c>
      <c r="H536" s="1" t="s">
        <v>237</v>
      </c>
    </row>
    <row r="537" spans="1:8" x14ac:dyDescent="0.35">
      <c r="A537" s="2">
        <v>45270.977777777778</v>
      </c>
      <c r="B537" s="3">
        <v>0.92989583333333325</v>
      </c>
      <c r="C537" s="1" t="s">
        <v>8</v>
      </c>
      <c r="D537" s="1" t="s">
        <v>27</v>
      </c>
      <c r="E537" s="1">
        <v>226.41</v>
      </c>
      <c r="F537" s="1">
        <v>3</v>
      </c>
      <c r="G537" s="1">
        <v>679.23</v>
      </c>
      <c r="H537" s="1" t="s">
        <v>237</v>
      </c>
    </row>
    <row r="538" spans="1:8" x14ac:dyDescent="0.35">
      <c r="A538" s="2">
        <v>45478.087500000001</v>
      </c>
      <c r="B538" s="3">
        <v>0.49337962962962961</v>
      </c>
      <c r="C538" s="1" t="s">
        <v>8</v>
      </c>
      <c r="D538" s="1" t="s">
        <v>9</v>
      </c>
      <c r="E538" s="1">
        <v>31.77</v>
      </c>
      <c r="F538" s="1">
        <v>1</v>
      </c>
      <c r="G538" s="1">
        <v>31.77</v>
      </c>
      <c r="H538" s="1" t="s">
        <v>198</v>
      </c>
    </row>
    <row r="539" spans="1:8" x14ac:dyDescent="0.35">
      <c r="A539" s="2">
        <v>45550.295138888891</v>
      </c>
      <c r="B539" s="3">
        <v>0.74627314814814805</v>
      </c>
      <c r="C539" s="1" t="s">
        <v>14</v>
      </c>
      <c r="D539" s="1" t="s">
        <v>16</v>
      </c>
      <c r="E539" s="1">
        <v>411.36</v>
      </c>
      <c r="F539" s="1">
        <v>4</v>
      </c>
      <c r="G539" s="1">
        <v>1645.44</v>
      </c>
      <c r="H539" s="1" t="s">
        <v>97</v>
      </c>
    </row>
    <row r="540" spans="1:8" x14ac:dyDescent="0.35">
      <c r="A540" s="2">
        <v>45283.34375</v>
      </c>
      <c r="B540" s="3">
        <v>0.86062500000000008</v>
      </c>
      <c r="C540" s="1" t="s">
        <v>11</v>
      </c>
      <c r="D540" s="1" t="s">
        <v>16</v>
      </c>
      <c r="E540" s="1">
        <v>140.62</v>
      </c>
      <c r="F540" s="1">
        <v>5</v>
      </c>
      <c r="G540" s="1">
        <v>703.1</v>
      </c>
      <c r="H540" s="1" t="s">
        <v>207</v>
      </c>
    </row>
    <row r="541" spans="1:8" x14ac:dyDescent="0.35">
      <c r="A541" s="2">
        <v>45634.135416666664</v>
      </c>
      <c r="B541" s="3">
        <v>0.68046296296296294</v>
      </c>
      <c r="C541" s="1" t="s">
        <v>11</v>
      </c>
      <c r="D541" s="1" t="s">
        <v>16</v>
      </c>
      <c r="E541" s="1">
        <v>449.37</v>
      </c>
      <c r="F541" s="1">
        <v>2</v>
      </c>
      <c r="G541" s="1">
        <v>898.74</v>
      </c>
      <c r="H541" s="1" t="s">
        <v>78</v>
      </c>
    </row>
    <row r="542" spans="1:8" x14ac:dyDescent="0.35">
      <c r="A542" s="2">
        <v>45315.132638888892</v>
      </c>
      <c r="B542" s="3">
        <v>0.76892361111111107</v>
      </c>
      <c r="C542" s="1" t="s">
        <v>14</v>
      </c>
      <c r="D542" s="1" t="s">
        <v>27</v>
      </c>
      <c r="E542" s="1">
        <v>294.77</v>
      </c>
      <c r="F542" s="1">
        <v>3</v>
      </c>
      <c r="G542" s="1">
        <v>884.31</v>
      </c>
      <c r="H542" s="1" t="s">
        <v>108</v>
      </c>
    </row>
    <row r="543" spans="1:8" x14ac:dyDescent="0.35">
      <c r="A543" s="2">
        <v>45312.169444444444</v>
      </c>
      <c r="B543" s="3">
        <v>0.82309027777777777</v>
      </c>
      <c r="C543" s="1" t="s">
        <v>8</v>
      </c>
      <c r="D543" s="1" t="s">
        <v>27</v>
      </c>
      <c r="E543" s="1">
        <v>110.59</v>
      </c>
      <c r="F543" s="1">
        <v>2</v>
      </c>
      <c r="G543" s="1">
        <v>221.18</v>
      </c>
      <c r="H543" s="1" t="s">
        <v>310</v>
      </c>
    </row>
    <row r="544" spans="1:8" x14ac:dyDescent="0.35">
      <c r="A544" s="2">
        <v>45637.490972222222</v>
      </c>
      <c r="B544" s="3">
        <v>0.63662037037037034</v>
      </c>
      <c r="C544" s="1" t="s">
        <v>8</v>
      </c>
      <c r="D544" s="1" t="s">
        <v>16</v>
      </c>
      <c r="E544" s="1">
        <v>283.27</v>
      </c>
      <c r="F544" s="1">
        <v>2</v>
      </c>
      <c r="G544" s="1">
        <v>566.54</v>
      </c>
      <c r="H544" s="1" t="s">
        <v>226</v>
      </c>
    </row>
    <row r="545" spans="1:8" x14ac:dyDescent="0.35">
      <c r="A545" s="2">
        <v>45469.431944444441</v>
      </c>
      <c r="B545" s="3">
        <v>0.68518518518518512</v>
      </c>
      <c r="C545" s="1" t="s">
        <v>11</v>
      </c>
      <c r="D545" s="1" t="s">
        <v>16</v>
      </c>
      <c r="E545" s="1">
        <v>421.74</v>
      </c>
      <c r="F545" s="1">
        <v>5</v>
      </c>
      <c r="G545" s="1">
        <v>2108.6999999999998</v>
      </c>
      <c r="H545" s="1" t="s">
        <v>59</v>
      </c>
    </row>
    <row r="546" spans="1:8" x14ac:dyDescent="0.35">
      <c r="A546" s="2">
        <v>45463.154861111114</v>
      </c>
      <c r="B546" s="3">
        <v>0.77700231481481474</v>
      </c>
      <c r="C546" s="1" t="s">
        <v>11</v>
      </c>
      <c r="D546" s="1" t="s">
        <v>12</v>
      </c>
      <c r="E546" s="1">
        <v>276.89999999999998</v>
      </c>
      <c r="F546" s="1">
        <v>2</v>
      </c>
      <c r="G546" s="1">
        <v>553.79999999999995</v>
      </c>
      <c r="H546" s="1" t="s">
        <v>311</v>
      </c>
    </row>
    <row r="547" spans="1:8" x14ac:dyDescent="0.35">
      <c r="A547" s="2">
        <v>45491.09652777778</v>
      </c>
      <c r="B547" s="3">
        <v>0.91331018518518514</v>
      </c>
      <c r="C547" s="1" t="s">
        <v>14</v>
      </c>
      <c r="D547" s="1" t="s">
        <v>27</v>
      </c>
      <c r="E547" s="1">
        <v>38.619999999999997</v>
      </c>
      <c r="F547" s="1">
        <v>1</v>
      </c>
      <c r="G547" s="1">
        <v>38.619999999999997</v>
      </c>
      <c r="H547" s="1" t="s">
        <v>312</v>
      </c>
    </row>
    <row r="548" spans="1:8" x14ac:dyDescent="0.35">
      <c r="A548" s="2">
        <v>45394.552777777775</v>
      </c>
      <c r="B548" s="3">
        <v>0.73149305555555555</v>
      </c>
      <c r="C548" s="1" t="s">
        <v>14</v>
      </c>
      <c r="D548" s="1" t="s">
        <v>9</v>
      </c>
      <c r="E548" s="1">
        <v>348.3</v>
      </c>
      <c r="F548" s="1">
        <v>4</v>
      </c>
      <c r="G548" s="1">
        <v>1393.2</v>
      </c>
      <c r="H548" s="1" t="s">
        <v>31</v>
      </c>
    </row>
    <row r="549" spans="1:8" x14ac:dyDescent="0.35">
      <c r="A549" s="2">
        <v>45477.79791666667</v>
      </c>
      <c r="B549" s="3">
        <v>0.1292939814814815</v>
      </c>
      <c r="C549" s="1" t="s">
        <v>8</v>
      </c>
      <c r="D549" s="1" t="s">
        <v>20</v>
      </c>
      <c r="E549" s="1">
        <v>239.4</v>
      </c>
      <c r="F549" s="1">
        <v>4</v>
      </c>
      <c r="G549" s="1">
        <v>957.6</v>
      </c>
      <c r="H549" s="1" t="s">
        <v>313</v>
      </c>
    </row>
    <row r="550" spans="1:8" x14ac:dyDescent="0.35">
      <c r="A550" s="2">
        <v>45051.411805555559</v>
      </c>
      <c r="B550" s="3">
        <v>0.28002314814814816</v>
      </c>
      <c r="C550" s="1" t="s">
        <v>11</v>
      </c>
      <c r="D550" s="1" t="s">
        <v>12</v>
      </c>
      <c r="E550" s="1">
        <v>149.38</v>
      </c>
      <c r="F550" s="1">
        <v>5</v>
      </c>
      <c r="G550" s="1">
        <v>746.9</v>
      </c>
      <c r="H550" s="1" t="s">
        <v>314</v>
      </c>
    </row>
    <row r="551" spans="1:8" x14ac:dyDescent="0.35">
      <c r="A551" s="2">
        <v>45078.928472222222</v>
      </c>
      <c r="B551" s="3">
        <v>0.49025462962962968</v>
      </c>
      <c r="C551" s="1" t="s">
        <v>11</v>
      </c>
      <c r="D551" s="1" t="s">
        <v>9</v>
      </c>
      <c r="E551" s="1">
        <v>434.26</v>
      </c>
      <c r="F551" s="1">
        <v>3</v>
      </c>
      <c r="G551" s="1">
        <v>1302.78</v>
      </c>
      <c r="H551" s="1" t="s">
        <v>42</v>
      </c>
    </row>
    <row r="552" spans="1:8" x14ac:dyDescent="0.35">
      <c r="A552" s="2">
        <v>45510.577777777777</v>
      </c>
      <c r="B552" s="3">
        <v>0.8639930555555555</v>
      </c>
      <c r="C552" s="1" t="s">
        <v>14</v>
      </c>
      <c r="D552" s="1" t="s">
        <v>27</v>
      </c>
      <c r="E552" s="1">
        <v>445.17</v>
      </c>
      <c r="F552" s="1">
        <v>1</v>
      </c>
      <c r="G552" s="1">
        <v>445.17</v>
      </c>
      <c r="H552" s="1" t="s">
        <v>233</v>
      </c>
    </row>
    <row r="553" spans="1:8" x14ac:dyDescent="0.35">
      <c r="A553" s="2">
        <v>44980.164583333331</v>
      </c>
      <c r="B553" s="3">
        <v>1.34375E-2</v>
      </c>
      <c r="C553" s="1" t="s">
        <v>11</v>
      </c>
      <c r="D553" s="1" t="s">
        <v>27</v>
      </c>
      <c r="E553" s="1">
        <v>442.16</v>
      </c>
      <c r="F553" s="1">
        <v>1</v>
      </c>
      <c r="G553" s="1">
        <v>442.16</v>
      </c>
      <c r="H553" s="1" t="s">
        <v>315</v>
      </c>
    </row>
    <row r="554" spans="1:8" x14ac:dyDescent="0.35">
      <c r="A554" s="2">
        <v>45139.154166666667</v>
      </c>
      <c r="B554" s="3">
        <v>0.80244212962962969</v>
      </c>
      <c r="C554" s="1" t="s">
        <v>8</v>
      </c>
      <c r="D554" s="1" t="s">
        <v>27</v>
      </c>
      <c r="E554" s="1">
        <v>19.22</v>
      </c>
      <c r="F554" s="1">
        <v>2</v>
      </c>
      <c r="G554" s="1">
        <v>38.44</v>
      </c>
      <c r="H554" s="1" t="s">
        <v>260</v>
      </c>
    </row>
    <row r="555" spans="1:8" x14ac:dyDescent="0.35">
      <c r="A555" s="2">
        <v>44942.289583333331</v>
      </c>
      <c r="B555" s="3">
        <v>0.21462962962962961</v>
      </c>
      <c r="C555" s="1" t="s">
        <v>8</v>
      </c>
      <c r="D555" s="1" t="s">
        <v>9</v>
      </c>
      <c r="E555" s="1">
        <v>275.31</v>
      </c>
      <c r="F555" s="1">
        <v>1</v>
      </c>
      <c r="G555" s="1">
        <v>275.31</v>
      </c>
      <c r="H555" s="1" t="s">
        <v>178</v>
      </c>
    </row>
    <row r="556" spans="1:8" x14ac:dyDescent="0.35">
      <c r="A556" s="2">
        <v>45067.910416666666</v>
      </c>
      <c r="B556" s="3">
        <v>0.92554398148148154</v>
      </c>
      <c r="C556" s="1" t="s">
        <v>8</v>
      </c>
      <c r="D556" s="1" t="s">
        <v>16</v>
      </c>
      <c r="E556" s="1">
        <v>303.91000000000003</v>
      </c>
      <c r="F556" s="1">
        <v>4</v>
      </c>
      <c r="G556" s="1">
        <v>1215.6400000000001</v>
      </c>
      <c r="H556" s="1" t="s">
        <v>181</v>
      </c>
    </row>
    <row r="557" spans="1:8" x14ac:dyDescent="0.35">
      <c r="A557" s="2">
        <v>45162.96597222222</v>
      </c>
      <c r="B557" s="3">
        <v>2.9976851851851848E-3</v>
      </c>
      <c r="C557" s="1" t="s">
        <v>14</v>
      </c>
      <c r="D557" s="1" t="s">
        <v>12</v>
      </c>
      <c r="E557" s="1">
        <v>276.14</v>
      </c>
      <c r="F557" s="1">
        <v>3</v>
      </c>
      <c r="G557" s="1">
        <v>828.42</v>
      </c>
      <c r="H557" s="1" t="s">
        <v>89</v>
      </c>
    </row>
    <row r="558" spans="1:8" x14ac:dyDescent="0.35">
      <c r="A558" s="2">
        <v>45414.168749999997</v>
      </c>
      <c r="B558" s="3">
        <v>0.89627314814814818</v>
      </c>
      <c r="C558" s="1" t="s">
        <v>8</v>
      </c>
      <c r="D558" s="1" t="s">
        <v>9</v>
      </c>
      <c r="E558" s="1">
        <v>59.06</v>
      </c>
      <c r="F558" s="1">
        <v>2</v>
      </c>
      <c r="G558" s="1">
        <v>118.12</v>
      </c>
      <c r="H558" s="1" t="s">
        <v>61</v>
      </c>
    </row>
    <row r="559" spans="1:8" x14ac:dyDescent="0.35">
      <c r="A559" s="2">
        <v>45030.27847222222</v>
      </c>
      <c r="B559" s="3">
        <v>0.31425925925925924</v>
      </c>
      <c r="C559" s="1" t="s">
        <v>8</v>
      </c>
      <c r="D559" s="1" t="s">
        <v>20</v>
      </c>
      <c r="E559" s="1">
        <v>204.9</v>
      </c>
      <c r="F559" s="1">
        <v>1</v>
      </c>
      <c r="G559" s="1">
        <v>204.9</v>
      </c>
      <c r="H559" s="1" t="s">
        <v>316</v>
      </c>
    </row>
    <row r="560" spans="1:8" x14ac:dyDescent="0.35">
      <c r="A560" s="2">
        <v>45238.611805555556</v>
      </c>
      <c r="B560" s="3">
        <v>0.75150462962962961</v>
      </c>
      <c r="C560" s="1" t="s">
        <v>8</v>
      </c>
      <c r="D560" s="1" t="s">
        <v>27</v>
      </c>
      <c r="E560" s="1">
        <v>148.65</v>
      </c>
      <c r="F560" s="1">
        <v>5</v>
      </c>
      <c r="G560" s="1">
        <v>743.25</v>
      </c>
      <c r="H560" s="1" t="s">
        <v>224</v>
      </c>
    </row>
    <row r="561" spans="1:8" x14ac:dyDescent="0.35">
      <c r="A561" s="2">
        <v>45157.351388888892</v>
      </c>
      <c r="B561" s="3">
        <v>0.67084490740740732</v>
      </c>
      <c r="C561" s="1" t="s">
        <v>8</v>
      </c>
      <c r="D561" s="1" t="s">
        <v>16</v>
      </c>
      <c r="E561" s="1">
        <v>450.45</v>
      </c>
      <c r="F561" s="1">
        <v>1</v>
      </c>
      <c r="G561" s="1">
        <v>450.45</v>
      </c>
      <c r="H561" s="1" t="s">
        <v>317</v>
      </c>
    </row>
    <row r="562" spans="1:8" x14ac:dyDescent="0.35">
      <c r="A562" s="2">
        <v>45612.746527777781</v>
      </c>
      <c r="B562" s="3">
        <v>5.6064814814814817E-2</v>
      </c>
      <c r="C562" s="1" t="s">
        <v>14</v>
      </c>
      <c r="D562" s="1" t="s">
        <v>16</v>
      </c>
      <c r="E562" s="1">
        <v>202.53</v>
      </c>
      <c r="F562" s="1">
        <v>2</v>
      </c>
      <c r="G562" s="1">
        <v>405.06</v>
      </c>
      <c r="H562" s="1" t="s">
        <v>277</v>
      </c>
    </row>
    <row r="563" spans="1:8" x14ac:dyDescent="0.35">
      <c r="A563" s="2">
        <v>45021.415277777778</v>
      </c>
      <c r="B563" s="3">
        <v>0.36237268518518517</v>
      </c>
      <c r="C563" s="1" t="s">
        <v>14</v>
      </c>
      <c r="D563" s="1" t="s">
        <v>9</v>
      </c>
      <c r="E563" s="1">
        <v>275.2</v>
      </c>
      <c r="F563" s="1">
        <v>3</v>
      </c>
      <c r="G563" s="1">
        <v>825.6</v>
      </c>
      <c r="H563" s="1" t="s">
        <v>110</v>
      </c>
    </row>
    <row r="564" spans="1:8" x14ac:dyDescent="0.35">
      <c r="A564" s="2">
        <v>44988.792361111111</v>
      </c>
      <c r="B564" s="3">
        <v>5.4398148148148147E-2</v>
      </c>
      <c r="C564" s="1" t="s">
        <v>8</v>
      </c>
      <c r="D564" s="1" t="s">
        <v>9</v>
      </c>
      <c r="E564" s="1">
        <v>267.64</v>
      </c>
      <c r="F564" s="1">
        <v>3</v>
      </c>
      <c r="G564" s="1">
        <v>802.92</v>
      </c>
      <c r="H564" s="1" t="s">
        <v>233</v>
      </c>
    </row>
    <row r="565" spans="1:8" x14ac:dyDescent="0.35">
      <c r="A565" s="2">
        <v>45245.924305555556</v>
      </c>
      <c r="B565" s="3">
        <v>0.12170138888888889</v>
      </c>
      <c r="C565" s="1" t="s">
        <v>14</v>
      </c>
      <c r="D565" s="1" t="s">
        <v>16</v>
      </c>
      <c r="E565" s="1">
        <v>468.89</v>
      </c>
      <c r="F565" s="1">
        <v>4</v>
      </c>
      <c r="G565" s="1">
        <v>1875.56</v>
      </c>
      <c r="H565" s="1" t="s">
        <v>231</v>
      </c>
    </row>
    <row r="566" spans="1:8" x14ac:dyDescent="0.35">
      <c r="A566" s="2">
        <v>44948.584722222222</v>
      </c>
      <c r="B566" s="3">
        <v>0.65456018518518522</v>
      </c>
      <c r="C566" s="1" t="s">
        <v>14</v>
      </c>
      <c r="D566" s="1" t="s">
        <v>12</v>
      </c>
      <c r="E566" s="1">
        <v>110.84</v>
      </c>
      <c r="F566" s="1">
        <v>1</v>
      </c>
      <c r="G566" s="1">
        <v>110.84</v>
      </c>
      <c r="H566" s="1" t="s">
        <v>138</v>
      </c>
    </row>
    <row r="567" spans="1:8" x14ac:dyDescent="0.35">
      <c r="A567" s="2">
        <v>45491.404861111114</v>
      </c>
      <c r="B567" s="3">
        <v>0.35697916666666668</v>
      </c>
      <c r="C567" s="1" t="s">
        <v>11</v>
      </c>
      <c r="D567" s="1" t="s">
        <v>9</v>
      </c>
      <c r="E567" s="1">
        <v>326.66000000000003</v>
      </c>
      <c r="F567" s="1">
        <v>2</v>
      </c>
      <c r="G567" s="1">
        <v>653.32000000000005</v>
      </c>
      <c r="H567" s="1" t="s">
        <v>122</v>
      </c>
    </row>
    <row r="568" spans="1:8" x14ac:dyDescent="0.35">
      <c r="A568" s="2">
        <v>45491.940972222219</v>
      </c>
      <c r="B568" s="3">
        <v>0.62693287037037038</v>
      </c>
      <c r="C568" s="1" t="s">
        <v>11</v>
      </c>
      <c r="D568" s="1" t="s">
        <v>20</v>
      </c>
      <c r="E568" s="1">
        <v>203.83</v>
      </c>
      <c r="F568" s="1">
        <v>3</v>
      </c>
      <c r="G568" s="1">
        <v>611.49</v>
      </c>
      <c r="H568" s="1" t="s">
        <v>318</v>
      </c>
    </row>
    <row r="569" spans="1:8" x14ac:dyDescent="0.35">
      <c r="A569" s="2">
        <v>45623.634027777778</v>
      </c>
      <c r="B569" s="3">
        <v>0.33103009259259258</v>
      </c>
      <c r="C569" s="1" t="s">
        <v>11</v>
      </c>
      <c r="D569" s="1" t="s">
        <v>16</v>
      </c>
      <c r="E569" s="1">
        <v>274.32</v>
      </c>
      <c r="F569" s="1">
        <v>2</v>
      </c>
      <c r="G569" s="1">
        <v>548.64</v>
      </c>
      <c r="H569" s="1" t="s">
        <v>31</v>
      </c>
    </row>
    <row r="570" spans="1:8" x14ac:dyDescent="0.35">
      <c r="A570" s="2">
        <v>45117.453472222223</v>
      </c>
      <c r="B570" s="3">
        <v>0.41928240740740735</v>
      </c>
      <c r="C570" s="1" t="s">
        <v>14</v>
      </c>
      <c r="D570" s="1" t="s">
        <v>16</v>
      </c>
      <c r="E570" s="1">
        <v>455.21</v>
      </c>
      <c r="F570" s="1">
        <v>3</v>
      </c>
      <c r="G570" s="1">
        <v>1365.63</v>
      </c>
      <c r="H570" s="1" t="s">
        <v>221</v>
      </c>
    </row>
    <row r="571" spans="1:8" x14ac:dyDescent="0.35">
      <c r="A571" s="2">
        <v>45372.331944444442</v>
      </c>
      <c r="B571" s="3">
        <v>0.15800925925925927</v>
      </c>
      <c r="C571" s="1" t="s">
        <v>11</v>
      </c>
      <c r="D571" s="1" t="s">
        <v>12</v>
      </c>
      <c r="E571" s="1">
        <v>299.02</v>
      </c>
      <c r="F571" s="1">
        <v>2</v>
      </c>
      <c r="G571" s="1">
        <v>598.04</v>
      </c>
      <c r="H571" s="1" t="s">
        <v>298</v>
      </c>
    </row>
    <row r="572" spans="1:8" x14ac:dyDescent="0.35">
      <c r="A572" s="2">
        <v>45647.532638888886</v>
      </c>
      <c r="B572" s="3">
        <v>0.33743055555555551</v>
      </c>
      <c r="C572" s="1" t="s">
        <v>8</v>
      </c>
      <c r="D572" s="1" t="s">
        <v>20</v>
      </c>
      <c r="E572" s="1">
        <v>225.43</v>
      </c>
      <c r="F572" s="1">
        <v>1</v>
      </c>
      <c r="G572" s="1">
        <v>225.43</v>
      </c>
      <c r="H572" s="1" t="s">
        <v>55</v>
      </c>
    </row>
    <row r="573" spans="1:8" x14ac:dyDescent="0.35">
      <c r="A573" s="2">
        <v>44946.801388888889</v>
      </c>
      <c r="B573" s="3">
        <v>0.12005787037037037</v>
      </c>
      <c r="C573" s="1" t="s">
        <v>14</v>
      </c>
      <c r="D573" s="1" t="s">
        <v>12</v>
      </c>
      <c r="E573" s="1">
        <v>299.87</v>
      </c>
      <c r="F573" s="1">
        <v>3</v>
      </c>
      <c r="G573" s="1">
        <v>899.61</v>
      </c>
      <c r="H573" s="1" t="s">
        <v>281</v>
      </c>
    </row>
    <row r="574" spans="1:8" x14ac:dyDescent="0.35">
      <c r="A574" s="2">
        <v>45517.51458333333</v>
      </c>
      <c r="B574" s="3">
        <v>0.92591435185185178</v>
      </c>
      <c r="C574" s="1" t="s">
        <v>11</v>
      </c>
      <c r="D574" s="1" t="s">
        <v>12</v>
      </c>
      <c r="E574" s="1">
        <v>186.01</v>
      </c>
      <c r="F574" s="1">
        <v>4</v>
      </c>
      <c r="G574" s="1">
        <v>744.04</v>
      </c>
      <c r="H574" s="1" t="s">
        <v>106</v>
      </c>
    </row>
    <row r="575" spans="1:8" x14ac:dyDescent="0.35">
      <c r="A575" s="2">
        <v>45441.461805555555</v>
      </c>
      <c r="B575" s="3">
        <v>0.41187499999999999</v>
      </c>
      <c r="C575" s="1" t="s">
        <v>8</v>
      </c>
      <c r="D575" s="1" t="s">
        <v>12</v>
      </c>
      <c r="E575" s="1">
        <v>224.08</v>
      </c>
      <c r="F575" s="1">
        <v>1</v>
      </c>
      <c r="G575" s="1">
        <v>224.08</v>
      </c>
      <c r="H575" s="1" t="s">
        <v>115</v>
      </c>
    </row>
    <row r="576" spans="1:8" x14ac:dyDescent="0.35">
      <c r="A576" s="2">
        <v>44947.69027777778</v>
      </c>
      <c r="B576" s="3">
        <v>0.15278935185185186</v>
      </c>
      <c r="C576" s="1" t="s">
        <v>14</v>
      </c>
      <c r="D576" s="1" t="s">
        <v>12</v>
      </c>
      <c r="E576" s="1">
        <v>376.2</v>
      </c>
      <c r="F576" s="1">
        <v>3</v>
      </c>
      <c r="G576" s="1">
        <v>1128.5999999999999</v>
      </c>
      <c r="H576" s="1" t="s">
        <v>123</v>
      </c>
    </row>
    <row r="577" spans="1:8" x14ac:dyDescent="0.35">
      <c r="A577" s="2">
        <v>45493.859027777777</v>
      </c>
      <c r="B577" s="3">
        <v>0.94656250000000008</v>
      </c>
      <c r="C577" s="1" t="s">
        <v>8</v>
      </c>
      <c r="D577" s="1" t="s">
        <v>16</v>
      </c>
      <c r="E577" s="1">
        <v>214.28</v>
      </c>
      <c r="F577" s="1">
        <v>3</v>
      </c>
      <c r="G577" s="1">
        <v>642.84</v>
      </c>
      <c r="H577" s="1" t="s">
        <v>73</v>
      </c>
    </row>
    <row r="578" spans="1:8" x14ac:dyDescent="0.35">
      <c r="A578" s="2">
        <v>45281.988194444442</v>
      </c>
      <c r="B578" s="3">
        <v>0.84583333333333333</v>
      </c>
      <c r="C578" s="1" t="s">
        <v>11</v>
      </c>
      <c r="D578" s="1" t="s">
        <v>20</v>
      </c>
      <c r="E578" s="1">
        <v>172.45</v>
      </c>
      <c r="F578" s="1">
        <v>5</v>
      </c>
      <c r="G578" s="1">
        <v>862.25</v>
      </c>
      <c r="H578" s="1" t="s">
        <v>271</v>
      </c>
    </row>
    <row r="579" spans="1:8" x14ac:dyDescent="0.35">
      <c r="A579" s="2">
        <v>45418.972916666666</v>
      </c>
      <c r="B579" s="3">
        <v>0.86170138888888881</v>
      </c>
      <c r="C579" s="1" t="s">
        <v>8</v>
      </c>
      <c r="D579" s="1" t="s">
        <v>12</v>
      </c>
      <c r="E579" s="1">
        <v>491.82</v>
      </c>
      <c r="F579" s="1">
        <v>1</v>
      </c>
      <c r="G579" s="1">
        <v>491.82</v>
      </c>
      <c r="H579" s="1" t="s">
        <v>236</v>
      </c>
    </row>
    <row r="580" spans="1:8" x14ac:dyDescent="0.35">
      <c r="A580" s="2">
        <v>45100.70416666667</v>
      </c>
      <c r="B580" s="3">
        <v>0.75296296296296295</v>
      </c>
      <c r="C580" s="1" t="s">
        <v>11</v>
      </c>
      <c r="D580" s="1" t="s">
        <v>16</v>
      </c>
      <c r="E580" s="1">
        <v>449.49</v>
      </c>
      <c r="F580" s="1">
        <v>5</v>
      </c>
      <c r="G580" s="1">
        <v>2247.4499999999998</v>
      </c>
      <c r="H580" s="1" t="s">
        <v>92</v>
      </c>
    </row>
    <row r="581" spans="1:8" x14ac:dyDescent="0.35">
      <c r="A581" s="2">
        <v>45323.647222222222</v>
      </c>
      <c r="B581" s="3">
        <v>0.35576388888888894</v>
      </c>
      <c r="C581" s="1" t="s">
        <v>11</v>
      </c>
      <c r="D581" s="1" t="s">
        <v>16</v>
      </c>
      <c r="E581" s="1">
        <v>257.17</v>
      </c>
      <c r="F581" s="1">
        <v>2</v>
      </c>
      <c r="G581" s="1">
        <v>514.34</v>
      </c>
      <c r="H581" s="1" t="s">
        <v>287</v>
      </c>
    </row>
    <row r="582" spans="1:8" x14ac:dyDescent="0.35">
      <c r="A582" s="2">
        <v>45384.137499999997</v>
      </c>
      <c r="B582" s="3">
        <v>0.30497685185185186</v>
      </c>
      <c r="C582" s="1" t="s">
        <v>11</v>
      </c>
      <c r="D582" s="1" t="s">
        <v>12</v>
      </c>
      <c r="E582" s="1">
        <v>480.51</v>
      </c>
      <c r="F582" s="1">
        <v>5</v>
      </c>
      <c r="G582" s="1">
        <v>2402.5500000000002</v>
      </c>
      <c r="H582" s="1" t="s">
        <v>312</v>
      </c>
    </row>
    <row r="583" spans="1:8" x14ac:dyDescent="0.35">
      <c r="A583" s="2">
        <v>45130.866666666669</v>
      </c>
      <c r="B583" s="3">
        <v>0.89703703703703708</v>
      </c>
      <c r="C583" s="1" t="s">
        <v>8</v>
      </c>
      <c r="D583" s="1" t="s">
        <v>9</v>
      </c>
      <c r="E583" s="1">
        <v>151.53</v>
      </c>
      <c r="F583" s="1">
        <v>2</v>
      </c>
      <c r="G583" s="1">
        <v>303.06</v>
      </c>
      <c r="H583" s="1" t="s">
        <v>296</v>
      </c>
    </row>
    <row r="584" spans="1:8" x14ac:dyDescent="0.35">
      <c r="A584" s="2">
        <v>45261.443055555559</v>
      </c>
      <c r="B584" s="3">
        <v>0.54732638888888896</v>
      </c>
      <c r="C584" s="1" t="s">
        <v>14</v>
      </c>
      <c r="D584" s="1" t="s">
        <v>27</v>
      </c>
      <c r="E584" s="1">
        <v>66.989999999999995</v>
      </c>
      <c r="F584" s="1">
        <v>1</v>
      </c>
      <c r="G584" s="1">
        <v>66.989999999999995</v>
      </c>
      <c r="H584" s="1" t="s">
        <v>127</v>
      </c>
    </row>
    <row r="585" spans="1:8" x14ac:dyDescent="0.35">
      <c r="A585" s="2">
        <v>45138.421527777777</v>
      </c>
      <c r="B585" s="3">
        <v>0.80596064814814816</v>
      </c>
      <c r="C585" s="1" t="s">
        <v>11</v>
      </c>
      <c r="D585" s="1" t="s">
        <v>9</v>
      </c>
      <c r="E585" s="1">
        <v>423.45</v>
      </c>
      <c r="F585" s="1">
        <v>1</v>
      </c>
      <c r="G585" s="1">
        <v>423.45</v>
      </c>
      <c r="H585" s="1" t="s">
        <v>85</v>
      </c>
    </row>
    <row r="586" spans="1:8" x14ac:dyDescent="0.35">
      <c r="A586" s="2">
        <v>45056.790972222225</v>
      </c>
      <c r="B586" s="3">
        <v>0.25755787037037037</v>
      </c>
      <c r="C586" s="1" t="s">
        <v>14</v>
      </c>
      <c r="D586" s="1" t="s">
        <v>16</v>
      </c>
      <c r="E586" s="1">
        <v>212.89</v>
      </c>
      <c r="F586" s="1">
        <v>5</v>
      </c>
      <c r="G586" s="1">
        <v>1064.45</v>
      </c>
      <c r="H586" s="1" t="s">
        <v>56</v>
      </c>
    </row>
    <row r="587" spans="1:8" x14ac:dyDescent="0.35">
      <c r="A587" s="2">
        <v>45148.661111111112</v>
      </c>
      <c r="B587" s="3">
        <v>0.68030092592592595</v>
      </c>
      <c r="C587" s="1" t="s">
        <v>14</v>
      </c>
      <c r="D587" s="1" t="s">
        <v>12</v>
      </c>
      <c r="E587" s="1">
        <v>403.9</v>
      </c>
      <c r="F587" s="1">
        <v>1</v>
      </c>
      <c r="G587" s="1">
        <v>403.9</v>
      </c>
      <c r="H587" s="1" t="s">
        <v>238</v>
      </c>
    </row>
    <row r="588" spans="1:8" x14ac:dyDescent="0.35">
      <c r="A588" s="2">
        <v>45588.101388888892</v>
      </c>
      <c r="B588" s="3">
        <v>0.87782407407407403</v>
      </c>
      <c r="C588" s="1" t="s">
        <v>14</v>
      </c>
      <c r="D588" s="1" t="s">
        <v>27</v>
      </c>
      <c r="E588" s="1">
        <v>355.19</v>
      </c>
      <c r="F588" s="1">
        <v>1</v>
      </c>
      <c r="G588" s="1">
        <v>355.19</v>
      </c>
      <c r="H588" s="1" t="s">
        <v>117</v>
      </c>
    </row>
    <row r="589" spans="1:8" x14ac:dyDescent="0.35">
      <c r="A589" s="2">
        <v>45021.743055555555</v>
      </c>
      <c r="B589" s="3">
        <v>0.70307870370370373</v>
      </c>
      <c r="C589" s="1" t="s">
        <v>14</v>
      </c>
      <c r="D589" s="1" t="s">
        <v>12</v>
      </c>
      <c r="E589" s="1">
        <v>331.76</v>
      </c>
      <c r="F589" s="1">
        <v>3</v>
      </c>
      <c r="G589" s="1">
        <v>995.28</v>
      </c>
      <c r="H589" s="1" t="s">
        <v>155</v>
      </c>
    </row>
    <row r="590" spans="1:8" x14ac:dyDescent="0.35">
      <c r="A590" s="2">
        <v>45651.929166666669</v>
      </c>
      <c r="B590" s="3">
        <v>6.7037037037037034E-2</v>
      </c>
      <c r="C590" s="1" t="s">
        <v>8</v>
      </c>
      <c r="D590" s="1" t="s">
        <v>9</v>
      </c>
      <c r="E590" s="1">
        <v>434.03</v>
      </c>
      <c r="F590" s="1">
        <v>4</v>
      </c>
      <c r="G590" s="1">
        <v>1736.12</v>
      </c>
      <c r="H590" s="1" t="s">
        <v>319</v>
      </c>
    </row>
    <row r="591" spans="1:8" x14ac:dyDescent="0.35">
      <c r="A591" s="2">
        <v>45645.468055555553</v>
      </c>
      <c r="B591" s="3">
        <v>0.19021990740740743</v>
      </c>
      <c r="C591" s="1" t="s">
        <v>14</v>
      </c>
      <c r="D591" s="1" t="s">
        <v>9</v>
      </c>
      <c r="E591" s="1">
        <v>409.82</v>
      </c>
      <c r="F591" s="1">
        <v>5</v>
      </c>
      <c r="G591" s="1">
        <v>2049.1</v>
      </c>
      <c r="H591" s="1" t="s">
        <v>320</v>
      </c>
    </row>
    <row r="592" spans="1:8" x14ac:dyDescent="0.35">
      <c r="A592" s="2">
        <v>45373.489583333336</v>
      </c>
      <c r="B592" s="3">
        <v>0.84368055555555566</v>
      </c>
      <c r="C592" s="1" t="s">
        <v>14</v>
      </c>
      <c r="D592" s="1" t="s">
        <v>16</v>
      </c>
      <c r="E592" s="1">
        <v>31.5</v>
      </c>
      <c r="F592" s="1">
        <v>1</v>
      </c>
      <c r="G592" s="1">
        <v>31.5</v>
      </c>
      <c r="H592" s="1" t="s">
        <v>321</v>
      </c>
    </row>
    <row r="593" spans="1:8" x14ac:dyDescent="0.35">
      <c r="A593" s="2">
        <v>44962.269444444442</v>
      </c>
      <c r="B593" s="3">
        <v>0.80239583333333331</v>
      </c>
      <c r="C593" s="1" t="s">
        <v>14</v>
      </c>
      <c r="D593" s="1" t="s">
        <v>9</v>
      </c>
      <c r="E593" s="1">
        <v>230.73</v>
      </c>
      <c r="F593" s="1">
        <v>5</v>
      </c>
      <c r="G593" s="1">
        <v>1153.6500000000001</v>
      </c>
      <c r="H593" s="1" t="s">
        <v>40</v>
      </c>
    </row>
    <row r="594" spans="1:8" x14ac:dyDescent="0.35">
      <c r="A594" s="2">
        <v>45223.613888888889</v>
      </c>
      <c r="B594" s="3">
        <v>0.65994212962962961</v>
      </c>
      <c r="C594" s="1" t="s">
        <v>8</v>
      </c>
      <c r="D594" s="1" t="s">
        <v>9</v>
      </c>
      <c r="E594" s="1">
        <v>430.86</v>
      </c>
      <c r="F594" s="1">
        <v>1</v>
      </c>
      <c r="G594" s="1">
        <v>430.86</v>
      </c>
      <c r="H594" s="1" t="s">
        <v>317</v>
      </c>
    </row>
    <row r="595" spans="1:8" x14ac:dyDescent="0.35">
      <c r="A595" s="2">
        <v>45093.222916666666</v>
      </c>
      <c r="B595" s="3">
        <v>0.175625</v>
      </c>
      <c r="C595" s="1" t="s">
        <v>11</v>
      </c>
      <c r="D595" s="1" t="s">
        <v>27</v>
      </c>
      <c r="E595" s="1">
        <v>138.24</v>
      </c>
      <c r="F595" s="1">
        <v>1</v>
      </c>
      <c r="G595" s="1">
        <v>138.24</v>
      </c>
      <c r="H595" s="1" t="s">
        <v>310</v>
      </c>
    </row>
    <row r="596" spans="1:8" x14ac:dyDescent="0.35">
      <c r="A596" s="2">
        <v>45601.347916666666</v>
      </c>
      <c r="B596" s="3">
        <v>0.95113425925925921</v>
      </c>
      <c r="C596" s="1" t="s">
        <v>14</v>
      </c>
      <c r="D596" s="1" t="s">
        <v>12</v>
      </c>
      <c r="E596" s="1">
        <v>473.69</v>
      </c>
      <c r="F596" s="1">
        <v>2</v>
      </c>
      <c r="G596" s="1">
        <v>947.38</v>
      </c>
      <c r="H596" s="1" t="s">
        <v>165</v>
      </c>
    </row>
    <row r="597" spans="1:8" x14ac:dyDescent="0.35">
      <c r="A597" s="2">
        <v>45655.378472222219</v>
      </c>
      <c r="B597" s="3">
        <v>0.92259259259259263</v>
      </c>
      <c r="C597" s="1" t="s">
        <v>11</v>
      </c>
      <c r="D597" s="1" t="s">
        <v>27</v>
      </c>
      <c r="E597" s="1">
        <v>378.93</v>
      </c>
      <c r="F597" s="1">
        <v>4</v>
      </c>
      <c r="G597" s="1">
        <v>1515.72</v>
      </c>
      <c r="H597" s="1" t="s">
        <v>67</v>
      </c>
    </row>
    <row r="598" spans="1:8" x14ac:dyDescent="0.35">
      <c r="A598" s="2">
        <v>45161.2</v>
      </c>
      <c r="B598" s="3">
        <v>0.39123842592592589</v>
      </c>
      <c r="C598" s="1" t="s">
        <v>14</v>
      </c>
      <c r="D598" s="1" t="s">
        <v>9</v>
      </c>
      <c r="E598" s="1">
        <v>290.56</v>
      </c>
      <c r="F598" s="1">
        <v>2</v>
      </c>
      <c r="G598" s="1">
        <v>581.12</v>
      </c>
      <c r="H598" s="1" t="s">
        <v>322</v>
      </c>
    </row>
    <row r="599" spans="1:8" x14ac:dyDescent="0.35">
      <c r="A599" s="2">
        <v>45491.411111111112</v>
      </c>
      <c r="B599" s="3">
        <v>0.99254629629629632</v>
      </c>
      <c r="C599" s="1" t="s">
        <v>11</v>
      </c>
      <c r="D599" s="1" t="s">
        <v>16</v>
      </c>
      <c r="E599" s="1">
        <v>195.91</v>
      </c>
      <c r="F599" s="1">
        <v>1</v>
      </c>
      <c r="G599" s="1">
        <v>195.91</v>
      </c>
      <c r="H599" s="1" t="s">
        <v>224</v>
      </c>
    </row>
    <row r="600" spans="1:8" x14ac:dyDescent="0.35">
      <c r="A600" s="2">
        <v>45329.040972222225</v>
      </c>
      <c r="B600" s="3">
        <v>0.98976851851851855</v>
      </c>
      <c r="C600" s="1" t="s">
        <v>11</v>
      </c>
      <c r="D600" s="1" t="s">
        <v>16</v>
      </c>
      <c r="E600" s="1">
        <v>454.05</v>
      </c>
      <c r="F600" s="1">
        <v>4</v>
      </c>
      <c r="G600" s="1">
        <v>1816.2</v>
      </c>
      <c r="H600" s="1" t="s">
        <v>35</v>
      </c>
    </row>
    <row r="601" spans="1:8" x14ac:dyDescent="0.35">
      <c r="A601" s="2">
        <v>44996.829861111109</v>
      </c>
      <c r="B601" s="3">
        <v>0.17083333333333331</v>
      </c>
      <c r="C601" s="1" t="s">
        <v>8</v>
      </c>
      <c r="D601" s="1" t="s">
        <v>12</v>
      </c>
      <c r="E601" s="1">
        <v>334.2</v>
      </c>
      <c r="F601" s="1">
        <v>3</v>
      </c>
      <c r="G601" s="1">
        <v>1002.6</v>
      </c>
      <c r="H601" s="1" t="s">
        <v>323</v>
      </c>
    </row>
    <row r="602" spans="1:8" x14ac:dyDescent="0.35">
      <c r="A602" s="2">
        <v>45395.286111111112</v>
      </c>
      <c r="B602" s="3">
        <v>0.67754629629629637</v>
      </c>
      <c r="C602" s="1" t="s">
        <v>8</v>
      </c>
      <c r="D602" s="1" t="s">
        <v>9</v>
      </c>
      <c r="E602" s="1">
        <v>261.79000000000002</v>
      </c>
      <c r="F602" s="1">
        <v>1</v>
      </c>
      <c r="G602" s="1">
        <v>261.79000000000002</v>
      </c>
      <c r="H602" s="1" t="s">
        <v>56</v>
      </c>
    </row>
    <row r="603" spans="1:8" x14ac:dyDescent="0.35">
      <c r="A603" s="2">
        <v>45165.510416666664</v>
      </c>
      <c r="B603" s="3">
        <v>0.35152777777777783</v>
      </c>
      <c r="C603" s="1" t="s">
        <v>8</v>
      </c>
      <c r="D603" s="1" t="s">
        <v>16</v>
      </c>
      <c r="E603" s="1">
        <v>169.09</v>
      </c>
      <c r="F603" s="1">
        <v>1</v>
      </c>
      <c r="G603" s="1">
        <v>169.09</v>
      </c>
      <c r="H603" s="1" t="s">
        <v>111</v>
      </c>
    </row>
    <row r="604" spans="1:8" x14ac:dyDescent="0.35">
      <c r="A604" s="2">
        <v>45214.703472222223</v>
      </c>
      <c r="B604" s="3">
        <v>0.56096064814814817</v>
      </c>
      <c r="C604" s="1" t="s">
        <v>8</v>
      </c>
      <c r="D604" s="1" t="s">
        <v>16</v>
      </c>
      <c r="E604" s="1">
        <v>71.959999999999994</v>
      </c>
      <c r="F604" s="1">
        <v>1</v>
      </c>
      <c r="G604" s="1">
        <v>71.959999999999994</v>
      </c>
      <c r="H604" s="1" t="s">
        <v>172</v>
      </c>
    </row>
    <row r="605" spans="1:8" x14ac:dyDescent="0.35">
      <c r="A605" s="2">
        <v>45342.630555555559</v>
      </c>
      <c r="B605" s="3">
        <v>0.43543981481481481</v>
      </c>
      <c r="C605" s="1" t="s">
        <v>8</v>
      </c>
      <c r="D605" s="1" t="s">
        <v>12</v>
      </c>
      <c r="E605" s="1">
        <v>231.25</v>
      </c>
      <c r="F605" s="1">
        <v>4</v>
      </c>
      <c r="G605" s="1">
        <v>925</v>
      </c>
      <c r="H605" s="1" t="s">
        <v>306</v>
      </c>
    </row>
    <row r="606" spans="1:8" x14ac:dyDescent="0.35">
      <c r="A606" s="2">
        <v>45100.929861111108</v>
      </c>
      <c r="B606" s="3">
        <v>4.8622685185185179E-2</v>
      </c>
      <c r="C606" s="1" t="s">
        <v>8</v>
      </c>
      <c r="D606" s="1" t="s">
        <v>20</v>
      </c>
      <c r="E606" s="1">
        <v>138.4</v>
      </c>
      <c r="F606" s="1">
        <v>3</v>
      </c>
      <c r="G606" s="1">
        <v>415.2</v>
      </c>
      <c r="H606" s="1" t="s">
        <v>324</v>
      </c>
    </row>
    <row r="607" spans="1:8" x14ac:dyDescent="0.35">
      <c r="A607" s="2">
        <v>45116.992361111108</v>
      </c>
      <c r="B607" s="3">
        <v>0.88708333333333333</v>
      </c>
      <c r="C607" s="1" t="s">
        <v>11</v>
      </c>
      <c r="D607" s="1" t="s">
        <v>27</v>
      </c>
      <c r="E607" s="1">
        <v>227.95</v>
      </c>
      <c r="F607" s="1">
        <v>5</v>
      </c>
      <c r="G607" s="1">
        <v>1139.75</v>
      </c>
      <c r="H607" s="1" t="s">
        <v>148</v>
      </c>
    </row>
    <row r="608" spans="1:8" x14ac:dyDescent="0.35">
      <c r="A608" s="2">
        <v>45251.054166666669</v>
      </c>
      <c r="B608" s="3">
        <v>0.79612268518518514</v>
      </c>
      <c r="C608" s="1" t="s">
        <v>14</v>
      </c>
      <c r="D608" s="1" t="s">
        <v>12</v>
      </c>
      <c r="E608" s="1">
        <v>61.75</v>
      </c>
      <c r="F608" s="1">
        <v>4</v>
      </c>
      <c r="G608" s="1">
        <v>247</v>
      </c>
      <c r="H608" s="1" t="s">
        <v>185</v>
      </c>
    </row>
    <row r="609" spans="1:8" x14ac:dyDescent="0.35">
      <c r="A609" s="2">
        <v>45496.402777777781</v>
      </c>
      <c r="B609" s="3">
        <v>0.37324074074074076</v>
      </c>
      <c r="C609" s="1" t="s">
        <v>8</v>
      </c>
      <c r="D609" s="1" t="s">
        <v>9</v>
      </c>
      <c r="E609" s="1">
        <v>96.49</v>
      </c>
      <c r="F609" s="1">
        <v>4</v>
      </c>
      <c r="G609" s="1">
        <v>385.96</v>
      </c>
      <c r="H609" s="1" t="s">
        <v>133</v>
      </c>
    </row>
    <row r="610" spans="1:8" x14ac:dyDescent="0.35">
      <c r="A610" s="2">
        <v>45464.30972222222</v>
      </c>
      <c r="B610" s="3">
        <v>0.74018518518518517</v>
      </c>
      <c r="C610" s="1" t="s">
        <v>8</v>
      </c>
      <c r="D610" s="1" t="s">
        <v>9</v>
      </c>
      <c r="E610" s="1">
        <v>81.78</v>
      </c>
      <c r="F610" s="1">
        <v>3</v>
      </c>
      <c r="G610" s="1">
        <v>245.34</v>
      </c>
      <c r="H610" s="1" t="s">
        <v>123</v>
      </c>
    </row>
    <row r="611" spans="1:8" x14ac:dyDescent="0.35">
      <c r="A611" s="2">
        <v>45291.271527777775</v>
      </c>
      <c r="B611" s="3">
        <v>0.32069444444444445</v>
      </c>
      <c r="C611" s="1" t="s">
        <v>8</v>
      </c>
      <c r="D611" s="1" t="s">
        <v>16</v>
      </c>
      <c r="E611" s="1">
        <v>77.03</v>
      </c>
      <c r="F611" s="1">
        <v>3</v>
      </c>
      <c r="G611" s="1">
        <v>231.09</v>
      </c>
      <c r="H611" s="1" t="s">
        <v>150</v>
      </c>
    </row>
    <row r="612" spans="1:8" x14ac:dyDescent="0.35">
      <c r="A612" s="2">
        <v>45018.3125</v>
      </c>
      <c r="B612" s="3">
        <v>0.41395833333333337</v>
      </c>
      <c r="C612" s="1" t="s">
        <v>8</v>
      </c>
      <c r="D612" s="1" t="s">
        <v>16</v>
      </c>
      <c r="E612" s="1">
        <v>241.31</v>
      </c>
      <c r="F612" s="1">
        <v>5</v>
      </c>
      <c r="G612" s="1">
        <v>1206.55</v>
      </c>
      <c r="H612" s="1" t="s">
        <v>316</v>
      </c>
    </row>
    <row r="613" spans="1:8" x14ac:dyDescent="0.35">
      <c r="A613" s="2">
        <v>45438.892361111109</v>
      </c>
      <c r="B613" s="3">
        <v>0.82498842592592592</v>
      </c>
      <c r="C613" s="1" t="s">
        <v>14</v>
      </c>
      <c r="D613" s="1" t="s">
        <v>9</v>
      </c>
      <c r="E613" s="1">
        <v>146.08000000000001</v>
      </c>
      <c r="F613" s="1">
        <v>4</v>
      </c>
      <c r="G613" s="1">
        <v>584.32000000000005</v>
      </c>
      <c r="H613" s="1" t="s">
        <v>325</v>
      </c>
    </row>
    <row r="614" spans="1:8" x14ac:dyDescent="0.35">
      <c r="A614" s="2">
        <v>45308.396527777775</v>
      </c>
      <c r="B614" s="3">
        <v>0.31960648148148146</v>
      </c>
      <c r="C614" s="1" t="s">
        <v>8</v>
      </c>
      <c r="D614" s="1" t="s">
        <v>20</v>
      </c>
      <c r="E614" s="1">
        <v>460.66</v>
      </c>
      <c r="F614" s="1">
        <v>4</v>
      </c>
      <c r="G614" s="1">
        <v>1842.64</v>
      </c>
      <c r="H614" s="1" t="s">
        <v>13</v>
      </c>
    </row>
    <row r="615" spans="1:8" x14ac:dyDescent="0.35">
      <c r="A615" s="2">
        <v>44975.19027777778</v>
      </c>
      <c r="B615" s="3">
        <v>0.99509259259259253</v>
      </c>
      <c r="C615" s="1" t="s">
        <v>8</v>
      </c>
      <c r="D615" s="1" t="s">
        <v>27</v>
      </c>
      <c r="E615" s="1">
        <v>459.88</v>
      </c>
      <c r="F615" s="1">
        <v>2</v>
      </c>
      <c r="G615" s="1">
        <v>919.76</v>
      </c>
      <c r="H615" s="1" t="s">
        <v>264</v>
      </c>
    </row>
    <row r="616" spans="1:8" x14ac:dyDescent="0.35">
      <c r="A616" s="2">
        <v>45040.197916666664</v>
      </c>
      <c r="B616" s="3">
        <v>0.62108796296296298</v>
      </c>
      <c r="C616" s="1" t="s">
        <v>11</v>
      </c>
      <c r="D616" s="1" t="s">
        <v>9</v>
      </c>
      <c r="E616" s="1">
        <v>194.05</v>
      </c>
      <c r="F616" s="1">
        <v>1</v>
      </c>
      <c r="G616" s="1">
        <v>194.05</v>
      </c>
      <c r="H616" s="1" t="s">
        <v>151</v>
      </c>
    </row>
    <row r="617" spans="1:8" x14ac:dyDescent="0.35">
      <c r="A617" s="2">
        <v>45039.96875</v>
      </c>
      <c r="B617" s="3">
        <v>1.2106481481481482E-2</v>
      </c>
      <c r="C617" s="1" t="s">
        <v>14</v>
      </c>
      <c r="D617" s="1" t="s">
        <v>20</v>
      </c>
      <c r="E617" s="1">
        <v>251.27</v>
      </c>
      <c r="F617" s="1">
        <v>5</v>
      </c>
      <c r="G617" s="1">
        <v>1256.3499999999999</v>
      </c>
      <c r="H617" s="1" t="s">
        <v>245</v>
      </c>
    </row>
    <row r="618" spans="1:8" x14ac:dyDescent="0.35">
      <c r="A618" s="2">
        <v>45418.34097222222</v>
      </c>
      <c r="B618" s="3">
        <v>0.39228009259259261</v>
      </c>
      <c r="C618" s="1" t="s">
        <v>11</v>
      </c>
      <c r="D618" s="1" t="s">
        <v>9</v>
      </c>
      <c r="E618" s="1">
        <v>482.01</v>
      </c>
      <c r="F618" s="1">
        <v>4</v>
      </c>
      <c r="G618" s="1">
        <v>1928.04</v>
      </c>
      <c r="H618" s="1" t="s">
        <v>17</v>
      </c>
    </row>
    <row r="619" spans="1:8" x14ac:dyDescent="0.35">
      <c r="A619" s="2">
        <v>45618.629166666666</v>
      </c>
      <c r="B619" s="3">
        <v>0.85164351851851849</v>
      </c>
      <c r="C619" s="1" t="s">
        <v>8</v>
      </c>
      <c r="D619" s="1" t="s">
        <v>20</v>
      </c>
      <c r="E619" s="1">
        <v>216.27</v>
      </c>
      <c r="F619" s="1">
        <v>3</v>
      </c>
      <c r="G619" s="1">
        <v>648.80999999999995</v>
      </c>
      <c r="H619" s="1" t="s">
        <v>26</v>
      </c>
    </row>
    <row r="620" spans="1:8" x14ac:dyDescent="0.35">
      <c r="A620" s="2">
        <v>45166.387499999997</v>
      </c>
      <c r="B620" s="3">
        <v>0.60081018518518514</v>
      </c>
      <c r="C620" s="1" t="s">
        <v>11</v>
      </c>
      <c r="D620" s="1" t="s">
        <v>9</v>
      </c>
      <c r="E620" s="1">
        <v>487.75</v>
      </c>
      <c r="F620" s="1">
        <v>3</v>
      </c>
      <c r="G620" s="1">
        <v>1463.25</v>
      </c>
      <c r="H620" s="1" t="s">
        <v>237</v>
      </c>
    </row>
    <row r="621" spans="1:8" x14ac:dyDescent="0.35">
      <c r="A621" s="2">
        <v>45214.929861111108</v>
      </c>
      <c r="B621" s="3">
        <v>0.29287037037037039</v>
      </c>
      <c r="C621" s="1" t="s">
        <v>8</v>
      </c>
      <c r="D621" s="1" t="s">
        <v>20</v>
      </c>
      <c r="E621" s="1">
        <v>175.95</v>
      </c>
      <c r="F621" s="1">
        <v>1</v>
      </c>
      <c r="G621" s="1">
        <v>175.95</v>
      </c>
      <c r="H621" s="1" t="s">
        <v>64</v>
      </c>
    </row>
    <row r="622" spans="1:8" x14ac:dyDescent="0.35">
      <c r="A622" s="2">
        <v>45550.879861111112</v>
      </c>
      <c r="B622" s="3">
        <v>0.83768518518518509</v>
      </c>
      <c r="C622" s="1" t="s">
        <v>8</v>
      </c>
      <c r="D622" s="1" t="s">
        <v>27</v>
      </c>
      <c r="E622" s="1">
        <v>118.27</v>
      </c>
      <c r="F622" s="1">
        <v>1</v>
      </c>
      <c r="G622" s="1">
        <v>118.27</v>
      </c>
      <c r="H622" s="1" t="s">
        <v>127</v>
      </c>
    </row>
    <row r="623" spans="1:8" x14ac:dyDescent="0.35">
      <c r="A623" s="2">
        <v>45575.13958333333</v>
      </c>
      <c r="B623" s="3">
        <v>0.17545138888888889</v>
      </c>
      <c r="C623" s="1" t="s">
        <v>8</v>
      </c>
      <c r="D623" s="1" t="s">
        <v>9</v>
      </c>
      <c r="E623" s="1">
        <v>234.44</v>
      </c>
      <c r="F623" s="1">
        <v>4</v>
      </c>
      <c r="G623" s="1">
        <v>937.76</v>
      </c>
      <c r="H623" s="1" t="s">
        <v>162</v>
      </c>
    </row>
    <row r="624" spans="1:8" x14ac:dyDescent="0.35">
      <c r="A624" s="2">
        <v>45617.884027777778</v>
      </c>
      <c r="B624" s="3">
        <v>0.64439814814814811</v>
      </c>
      <c r="C624" s="1" t="s">
        <v>8</v>
      </c>
      <c r="D624" s="1" t="s">
        <v>20</v>
      </c>
      <c r="E624" s="1">
        <v>203.83</v>
      </c>
      <c r="F624" s="1">
        <v>2</v>
      </c>
      <c r="G624" s="1">
        <v>407.66</v>
      </c>
      <c r="H624" s="1" t="s">
        <v>326</v>
      </c>
    </row>
    <row r="625" spans="1:8" x14ac:dyDescent="0.35">
      <c r="A625" s="2">
        <v>45322.033333333333</v>
      </c>
      <c r="B625" s="3">
        <v>0.23346064814814815</v>
      </c>
      <c r="C625" s="1" t="s">
        <v>11</v>
      </c>
      <c r="D625" s="1" t="s">
        <v>16</v>
      </c>
      <c r="E625" s="1">
        <v>437.23</v>
      </c>
      <c r="F625" s="1">
        <v>5</v>
      </c>
      <c r="G625" s="1">
        <v>2186.15</v>
      </c>
      <c r="H625" s="1" t="s">
        <v>58</v>
      </c>
    </row>
    <row r="626" spans="1:8" x14ac:dyDescent="0.35">
      <c r="A626" s="2">
        <v>45558.910416666666</v>
      </c>
      <c r="B626" s="3">
        <v>0.16163194444444443</v>
      </c>
      <c r="C626" s="1" t="s">
        <v>14</v>
      </c>
      <c r="D626" s="1" t="s">
        <v>27</v>
      </c>
      <c r="E626" s="1">
        <v>437.53</v>
      </c>
      <c r="F626" s="1">
        <v>3</v>
      </c>
      <c r="G626" s="1">
        <v>1312.59</v>
      </c>
      <c r="H626" s="1" t="s">
        <v>327</v>
      </c>
    </row>
    <row r="627" spans="1:8" x14ac:dyDescent="0.35">
      <c r="A627" s="2">
        <v>45513.526388888888</v>
      </c>
      <c r="B627" s="3">
        <v>0.73940972222222223</v>
      </c>
      <c r="C627" s="1" t="s">
        <v>8</v>
      </c>
      <c r="D627" s="1" t="s">
        <v>20</v>
      </c>
      <c r="E627" s="1">
        <v>142.51</v>
      </c>
      <c r="F627" s="1">
        <v>5</v>
      </c>
      <c r="G627" s="1">
        <v>712.55</v>
      </c>
      <c r="H627" s="1" t="s">
        <v>153</v>
      </c>
    </row>
    <row r="628" spans="1:8" x14ac:dyDescent="0.35">
      <c r="A628" s="2">
        <v>45059.317361111112</v>
      </c>
      <c r="B628" s="3">
        <v>0.68405092592592587</v>
      </c>
      <c r="C628" s="1" t="s">
        <v>11</v>
      </c>
      <c r="D628" s="1" t="s">
        <v>12</v>
      </c>
      <c r="E628" s="1">
        <v>389.28</v>
      </c>
      <c r="F628" s="1">
        <v>4</v>
      </c>
      <c r="G628" s="1">
        <v>1557.12</v>
      </c>
      <c r="H628" s="1" t="s">
        <v>277</v>
      </c>
    </row>
    <row r="629" spans="1:8" x14ac:dyDescent="0.35">
      <c r="A629" s="2">
        <v>45577.414583333331</v>
      </c>
      <c r="B629" s="3">
        <v>0.89440972222222215</v>
      </c>
      <c r="C629" s="1" t="s">
        <v>11</v>
      </c>
      <c r="D629" s="1" t="s">
        <v>20</v>
      </c>
      <c r="E629" s="1">
        <v>169.24</v>
      </c>
      <c r="F629" s="1">
        <v>1</v>
      </c>
      <c r="G629" s="1">
        <v>169.24</v>
      </c>
      <c r="H629" s="1" t="s">
        <v>308</v>
      </c>
    </row>
    <row r="630" spans="1:8" x14ac:dyDescent="0.35">
      <c r="A630" s="2">
        <v>45279.86041666667</v>
      </c>
      <c r="B630" s="3">
        <v>0.80931712962962965</v>
      </c>
      <c r="C630" s="1" t="s">
        <v>11</v>
      </c>
      <c r="D630" s="1" t="s">
        <v>12</v>
      </c>
      <c r="E630" s="1">
        <v>363.2</v>
      </c>
      <c r="F630" s="1">
        <v>3</v>
      </c>
      <c r="G630" s="1">
        <v>1089.5999999999999</v>
      </c>
      <c r="H630" s="1" t="s">
        <v>328</v>
      </c>
    </row>
    <row r="631" spans="1:8" x14ac:dyDescent="0.35">
      <c r="A631" s="2">
        <v>45044.707638888889</v>
      </c>
      <c r="B631" s="3">
        <v>0.79567129629629629</v>
      </c>
      <c r="C631" s="1" t="s">
        <v>14</v>
      </c>
      <c r="D631" s="1" t="s">
        <v>20</v>
      </c>
      <c r="E631" s="1">
        <v>312.08</v>
      </c>
      <c r="F631" s="1">
        <v>1</v>
      </c>
      <c r="G631" s="1">
        <v>312.08</v>
      </c>
      <c r="H631" s="1" t="s">
        <v>71</v>
      </c>
    </row>
    <row r="632" spans="1:8" x14ac:dyDescent="0.35">
      <c r="A632" s="2">
        <v>45344.896527777775</v>
      </c>
      <c r="B632" s="3">
        <v>0.68083333333333329</v>
      </c>
      <c r="C632" s="1" t="s">
        <v>8</v>
      </c>
      <c r="D632" s="1" t="s">
        <v>12</v>
      </c>
      <c r="E632" s="1">
        <v>239.31</v>
      </c>
      <c r="F632" s="1">
        <v>3</v>
      </c>
      <c r="G632" s="1">
        <v>717.93</v>
      </c>
      <c r="H632" s="1" t="s">
        <v>261</v>
      </c>
    </row>
    <row r="633" spans="1:8" x14ac:dyDescent="0.35">
      <c r="A633" s="2">
        <v>45398.305555555555</v>
      </c>
      <c r="B633" s="3">
        <v>0.99104166666666671</v>
      </c>
      <c r="C633" s="1" t="s">
        <v>14</v>
      </c>
      <c r="D633" s="1" t="s">
        <v>9</v>
      </c>
      <c r="E633" s="1">
        <v>101.72</v>
      </c>
      <c r="F633" s="1">
        <v>5</v>
      </c>
      <c r="G633" s="1">
        <v>508.6</v>
      </c>
      <c r="H633" s="1" t="s">
        <v>329</v>
      </c>
    </row>
    <row r="634" spans="1:8" x14ac:dyDescent="0.35">
      <c r="A634" s="2">
        <v>45031.425694444442</v>
      </c>
      <c r="B634" s="3">
        <v>7.2314814814814818E-2</v>
      </c>
      <c r="C634" s="1" t="s">
        <v>14</v>
      </c>
      <c r="D634" s="1" t="s">
        <v>9</v>
      </c>
      <c r="E634" s="1">
        <v>451.86</v>
      </c>
      <c r="F634" s="1">
        <v>5</v>
      </c>
      <c r="G634" s="1">
        <v>2259.3000000000002</v>
      </c>
      <c r="H634" s="1" t="s">
        <v>330</v>
      </c>
    </row>
    <row r="635" spans="1:8" x14ac:dyDescent="0.35">
      <c r="A635" s="2">
        <v>45577.210416666669</v>
      </c>
      <c r="B635" s="3">
        <v>0.21078703703703705</v>
      </c>
      <c r="C635" s="1" t="s">
        <v>8</v>
      </c>
      <c r="D635" s="1" t="s">
        <v>27</v>
      </c>
      <c r="E635" s="1">
        <v>438.7</v>
      </c>
      <c r="F635" s="1">
        <v>5</v>
      </c>
      <c r="G635" s="1">
        <v>2193.5</v>
      </c>
      <c r="H635" s="1" t="s">
        <v>331</v>
      </c>
    </row>
    <row r="636" spans="1:8" x14ac:dyDescent="0.35">
      <c r="A636" s="2">
        <v>45227.209027777775</v>
      </c>
      <c r="B636" s="3">
        <v>0.93718749999999995</v>
      </c>
      <c r="C636" s="1" t="s">
        <v>14</v>
      </c>
      <c r="D636" s="1" t="s">
        <v>20</v>
      </c>
      <c r="E636" s="1">
        <v>191.25</v>
      </c>
      <c r="F636" s="1">
        <v>2</v>
      </c>
      <c r="G636" s="1">
        <v>382.5</v>
      </c>
      <c r="H636" s="1" t="s">
        <v>64</v>
      </c>
    </row>
    <row r="637" spans="1:8" x14ac:dyDescent="0.35">
      <c r="A637" s="2">
        <v>45433.29791666667</v>
      </c>
      <c r="B637" s="3">
        <v>0.75633101851851858</v>
      </c>
      <c r="C637" s="1" t="s">
        <v>11</v>
      </c>
      <c r="D637" s="1" t="s">
        <v>9</v>
      </c>
      <c r="E637" s="1">
        <v>282.68</v>
      </c>
      <c r="F637" s="1">
        <v>1</v>
      </c>
      <c r="G637" s="1">
        <v>282.68</v>
      </c>
      <c r="H637" s="1" t="s">
        <v>259</v>
      </c>
    </row>
    <row r="638" spans="1:8" x14ac:dyDescent="0.35">
      <c r="A638" s="2">
        <v>45180.741666666669</v>
      </c>
      <c r="B638" s="3">
        <v>0.82738425925925929</v>
      </c>
      <c r="C638" s="1" t="s">
        <v>11</v>
      </c>
      <c r="D638" s="1" t="s">
        <v>27</v>
      </c>
      <c r="E638" s="1">
        <v>402.22</v>
      </c>
      <c r="F638" s="1">
        <v>4</v>
      </c>
      <c r="G638" s="1">
        <v>1608.88</v>
      </c>
      <c r="H638" s="1" t="s">
        <v>148</v>
      </c>
    </row>
    <row r="639" spans="1:8" x14ac:dyDescent="0.35">
      <c r="A639" s="2">
        <v>45512.407638888886</v>
      </c>
      <c r="B639" s="3">
        <v>0.40743055555555557</v>
      </c>
      <c r="C639" s="1" t="s">
        <v>11</v>
      </c>
      <c r="D639" s="1" t="s">
        <v>27</v>
      </c>
      <c r="E639" s="1">
        <v>195.14</v>
      </c>
      <c r="F639" s="1">
        <v>1</v>
      </c>
      <c r="G639" s="1">
        <v>195.14</v>
      </c>
      <c r="H639" s="1" t="s">
        <v>314</v>
      </c>
    </row>
    <row r="640" spans="1:8" x14ac:dyDescent="0.35">
      <c r="A640" s="2">
        <v>45014.146527777775</v>
      </c>
      <c r="B640" s="3">
        <v>0.38214120370370369</v>
      </c>
      <c r="C640" s="1" t="s">
        <v>11</v>
      </c>
      <c r="D640" s="1" t="s">
        <v>20</v>
      </c>
      <c r="E640" s="1">
        <v>293.7</v>
      </c>
      <c r="F640" s="1">
        <v>4</v>
      </c>
      <c r="G640" s="1">
        <v>1174.8</v>
      </c>
      <c r="H640" s="1" t="s">
        <v>258</v>
      </c>
    </row>
    <row r="641" spans="1:8" x14ac:dyDescent="0.35">
      <c r="A641" s="2">
        <v>45120.649305555555</v>
      </c>
      <c r="B641" s="3">
        <v>0.27021990740740742</v>
      </c>
      <c r="C641" s="1" t="s">
        <v>11</v>
      </c>
      <c r="D641" s="1" t="s">
        <v>20</v>
      </c>
      <c r="E641" s="1">
        <v>264.27</v>
      </c>
      <c r="F641" s="1">
        <v>3</v>
      </c>
      <c r="G641" s="1">
        <v>792.81</v>
      </c>
      <c r="H641" s="1" t="s">
        <v>249</v>
      </c>
    </row>
    <row r="642" spans="1:8" x14ac:dyDescent="0.35">
      <c r="A642" s="2">
        <v>45624.624305555553</v>
      </c>
      <c r="B642" s="3">
        <v>0.90021990740740743</v>
      </c>
      <c r="C642" s="1" t="s">
        <v>14</v>
      </c>
      <c r="D642" s="1" t="s">
        <v>20</v>
      </c>
      <c r="E642" s="1">
        <v>211.8</v>
      </c>
      <c r="F642" s="1">
        <v>2</v>
      </c>
      <c r="G642" s="1">
        <v>423.6</v>
      </c>
      <c r="H642" s="1" t="s">
        <v>332</v>
      </c>
    </row>
    <row r="643" spans="1:8" x14ac:dyDescent="0.35">
      <c r="A643" s="2">
        <v>45623.383333333331</v>
      </c>
      <c r="B643" s="3">
        <v>0.99627314814814805</v>
      </c>
      <c r="C643" s="1" t="s">
        <v>8</v>
      </c>
      <c r="D643" s="1" t="s">
        <v>20</v>
      </c>
      <c r="E643" s="1">
        <v>47</v>
      </c>
      <c r="F643" s="1">
        <v>3</v>
      </c>
      <c r="G643" s="1">
        <v>141</v>
      </c>
      <c r="H643" s="1" t="s">
        <v>245</v>
      </c>
    </row>
    <row r="644" spans="1:8" x14ac:dyDescent="0.35">
      <c r="A644" s="2">
        <v>45395.154861111114</v>
      </c>
      <c r="B644" s="3">
        <v>0.90158564814814823</v>
      </c>
      <c r="C644" s="1" t="s">
        <v>11</v>
      </c>
      <c r="D644" s="1" t="s">
        <v>12</v>
      </c>
      <c r="E644" s="1">
        <v>254.83</v>
      </c>
      <c r="F644" s="1">
        <v>1</v>
      </c>
      <c r="G644" s="1">
        <v>254.83</v>
      </c>
      <c r="H644" s="1" t="s">
        <v>29</v>
      </c>
    </row>
    <row r="645" spans="1:8" x14ac:dyDescent="0.35">
      <c r="A645" s="2">
        <v>45071.870138888888</v>
      </c>
      <c r="B645" s="3">
        <v>0.84667824074074083</v>
      </c>
      <c r="C645" s="1" t="s">
        <v>8</v>
      </c>
      <c r="D645" s="1" t="s">
        <v>20</v>
      </c>
      <c r="E645" s="1">
        <v>242.41</v>
      </c>
      <c r="F645" s="1">
        <v>1</v>
      </c>
      <c r="G645" s="1">
        <v>242.41</v>
      </c>
      <c r="H645" s="1" t="s">
        <v>333</v>
      </c>
    </row>
    <row r="646" spans="1:8" x14ac:dyDescent="0.35">
      <c r="A646" s="2">
        <v>45449.37777777778</v>
      </c>
      <c r="B646" s="3">
        <v>0.20221064814814815</v>
      </c>
      <c r="C646" s="1" t="s">
        <v>14</v>
      </c>
      <c r="D646" s="1" t="s">
        <v>9</v>
      </c>
      <c r="E646" s="1">
        <v>52.15</v>
      </c>
      <c r="F646" s="1">
        <v>3</v>
      </c>
      <c r="G646" s="1">
        <v>156.44999999999999</v>
      </c>
      <c r="H646" s="1" t="s">
        <v>334</v>
      </c>
    </row>
    <row r="647" spans="1:8" x14ac:dyDescent="0.35">
      <c r="A647" s="2">
        <v>45498.234027777777</v>
      </c>
      <c r="B647" s="3">
        <v>0.90503472222222225</v>
      </c>
      <c r="C647" s="1" t="s">
        <v>8</v>
      </c>
      <c r="D647" s="1" t="s">
        <v>12</v>
      </c>
      <c r="E647" s="1">
        <v>324.51</v>
      </c>
      <c r="F647" s="1">
        <v>1</v>
      </c>
      <c r="G647" s="1">
        <v>324.51</v>
      </c>
      <c r="H647" s="1" t="s">
        <v>115</v>
      </c>
    </row>
    <row r="648" spans="1:8" x14ac:dyDescent="0.35">
      <c r="A648" s="2">
        <v>45407.724999999999</v>
      </c>
      <c r="B648" s="3">
        <v>0.79775462962962962</v>
      </c>
      <c r="C648" s="1" t="s">
        <v>14</v>
      </c>
      <c r="D648" s="1" t="s">
        <v>20</v>
      </c>
      <c r="E648" s="1">
        <v>389.13</v>
      </c>
      <c r="F648" s="1">
        <v>4</v>
      </c>
      <c r="G648" s="1">
        <v>1556.52</v>
      </c>
      <c r="H648" s="1" t="s">
        <v>168</v>
      </c>
    </row>
    <row r="649" spans="1:8" x14ac:dyDescent="0.35">
      <c r="A649" s="2">
        <v>45394.8125</v>
      </c>
      <c r="B649" s="3">
        <v>0.64089120370370367</v>
      </c>
      <c r="C649" s="1" t="s">
        <v>14</v>
      </c>
      <c r="D649" s="1" t="s">
        <v>20</v>
      </c>
      <c r="E649" s="1">
        <v>123.88</v>
      </c>
      <c r="F649" s="1">
        <v>2</v>
      </c>
      <c r="G649" s="1">
        <v>247.76</v>
      </c>
      <c r="H649" s="1" t="s">
        <v>335</v>
      </c>
    </row>
    <row r="650" spans="1:8" x14ac:dyDescent="0.35">
      <c r="A650" s="2">
        <v>45208.542361111111</v>
      </c>
      <c r="B650" s="3">
        <v>6.2025462962962963E-2</v>
      </c>
      <c r="C650" s="1" t="s">
        <v>8</v>
      </c>
      <c r="D650" s="1" t="s">
        <v>12</v>
      </c>
      <c r="E650" s="1">
        <v>465.69</v>
      </c>
      <c r="F650" s="1">
        <v>3</v>
      </c>
      <c r="G650" s="1">
        <v>1397.07</v>
      </c>
      <c r="H650" s="1" t="s">
        <v>189</v>
      </c>
    </row>
    <row r="651" spans="1:8" x14ac:dyDescent="0.35">
      <c r="A651" s="2">
        <v>45260.063888888886</v>
      </c>
      <c r="B651" s="3">
        <v>0.26403935185185184</v>
      </c>
      <c r="C651" s="1" t="s">
        <v>11</v>
      </c>
      <c r="D651" s="1" t="s">
        <v>20</v>
      </c>
      <c r="E651" s="1">
        <v>272.51</v>
      </c>
      <c r="F651" s="1">
        <v>3</v>
      </c>
      <c r="G651" s="1">
        <v>817.53</v>
      </c>
      <c r="H651" s="1" t="s">
        <v>172</v>
      </c>
    </row>
    <row r="652" spans="1:8" x14ac:dyDescent="0.35">
      <c r="A652" s="2">
        <v>45086.917361111111</v>
      </c>
      <c r="B652" s="3">
        <v>0.2754861111111111</v>
      </c>
      <c r="C652" s="1" t="s">
        <v>14</v>
      </c>
      <c r="D652" s="1" t="s">
        <v>16</v>
      </c>
      <c r="E652" s="1">
        <v>88.24</v>
      </c>
      <c r="F652" s="1">
        <v>4</v>
      </c>
      <c r="G652" s="1">
        <v>352.96</v>
      </c>
      <c r="H652" s="1" t="s">
        <v>149</v>
      </c>
    </row>
    <row r="653" spans="1:8" x14ac:dyDescent="0.35">
      <c r="A653" s="2">
        <v>45220.602777777778</v>
      </c>
      <c r="B653" s="3">
        <v>0.31370370370370371</v>
      </c>
      <c r="C653" s="1" t="s">
        <v>11</v>
      </c>
      <c r="D653" s="1" t="s">
        <v>12</v>
      </c>
      <c r="E653" s="1">
        <v>242.07</v>
      </c>
      <c r="F653" s="1">
        <v>1</v>
      </c>
      <c r="G653" s="1">
        <v>242.07</v>
      </c>
      <c r="H653" s="1" t="s">
        <v>127</v>
      </c>
    </row>
    <row r="654" spans="1:8" x14ac:dyDescent="0.35">
      <c r="A654" s="2">
        <v>45316.472916666666</v>
      </c>
      <c r="B654" s="3">
        <v>0.38800925925925928</v>
      </c>
      <c r="C654" s="1" t="s">
        <v>14</v>
      </c>
      <c r="D654" s="1" t="s">
        <v>20</v>
      </c>
      <c r="E654" s="1">
        <v>454.36</v>
      </c>
      <c r="F654" s="1">
        <v>1</v>
      </c>
      <c r="G654" s="1">
        <v>454.36</v>
      </c>
      <c r="H654" s="1" t="s">
        <v>336</v>
      </c>
    </row>
    <row r="655" spans="1:8" x14ac:dyDescent="0.35">
      <c r="A655" s="2">
        <v>45433.137499999997</v>
      </c>
      <c r="B655" s="3">
        <v>0.77099537037037036</v>
      </c>
      <c r="C655" s="1" t="s">
        <v>14</v>
      </c>
      <c r="D655" s="1" t="s">
        <v>16</v>
      </c>
      <c r="E655" s="1">
        <v>472.87</v>
      </c>
      <c r="F655" s="1">
        <v>1</v>
      </c>
      <c r="G655" s="1">
        <v>472.87</v>
      </c>
      <c r="H655" s="1" t="s">
        <v>202</v>
      </c>
    </row>
    <row r="656" spans="1:8" x14ac:dyDescent="0.35">
      <c r="A656" s="2">
        <v>45177.677083333336</v>
      </c>
      <c r="B656" s="3">
        <v>0.2386574074074074</v>
      </c>
      <c r="C656" s="1" t="s">
        <v>8</v>
      </c>
      <c r="D656" s="1" t="s">
        <v>9</v>
      </c>
      <c r="E656" s="1">
        <v>36.020000000000003</v>
      </c>
      <c r="F656" s="1">
        <v>3</v>
      </c>
      <c r="G656" s="1">
        <v>108.06</v>
      </c>
      <c r="H656" s="1" t="s">
        <v>133</v>
      </c>
    </row>
    <row r="657" spans="1:8" x14ac:dyDescent="0.35">
      <c r="A657" s="2">
        <v>45448.626388888886</v>
      </c>
      <c r="B657" s="3">
        <v>0.72365740740740747</v>
      </c>
      <c r="C657" s="1" t="s">
        <v>14</v>
      </c>
      <c r="D657" s="1" t="s">
        <v>9</v>
      </c>
      <c r="E657" s="1">
        <v>198.45</v>
      </c>
      <c r="F657" s="1">
        <v>2</v>
      </c>
      <c r="G657" s="1">
        <v>396.9</v>
      </c>
      <c r="H657" s="1" t="s">
        <v>328</v>
      </c>
    </row>
    <row r="658" spans="1:8" x14ac:dyDescent="0.35">
      <c r="A658" s="2">
        <v>45631.556250000001</v>
      </c>
      <c r="B658" s="3">
        <v>0.28847222222222224</v>
      </c>
      <c r="C658" s="1" t="s">
        <v>14</v>
      </c>
      <c r="D658" s="1" t="s">
        <v>20</v>
      </c>
      <c r="E658" s="1">
        <v>143.44</v>
      </c>
      <c r="F658" s="1">
        <v>3</v>
      </c>
      <c r="G658" s="1">
        <v>430.32</v>
      </c>
      <c r="H658" s="1" t="s">
        <v>337</v>
      </c>
    </row>
    <row r="659" spans="1:8" x14ac:dyDescent="0.35">
      <c r="A659" s="2">
        <v>45077.938194444447</v>
      </c>
      <c r="B659" s="3">
        <v>0.6572337962962963</v>
      </c>
      <c r="C659" s="1" t="s">
        <v>14</v>
      </c>
      <c r="D659" s="1" t="s">
        <v>9</v>
      </c>
      <c r="E659" s="1">
        <v>104.44</v>
      </c>
      <c r="F659" s="1">
        <v>2</v>
      </c>
      <c r="G659" s="1">
        <v>208.88</v>
      </c>
      <c r="H659" s="1" t="s">
        <v>338</v>
      </c>
    </row>
    <row r="660" spans="1:8" x14ac:dyDescent="0.35">
      <c r="A660" s="2">
        <v>44992.14166666667</v>
      </c>
      <c r="B660" s="3">
        <v>0.90901620370370362</v>
      </c>
      <c r="C660" s="1" t="s">
        <v>11</v>
      </c>
      <c r="D660" s="1" t="s">
        <v>20</v>
      </c>
      <c r="E660" s="1">
        <v>81.48</v>
      </c>
      <c r="F660" s="1">
        <v>1</v>
      </c>
      <c r="G660" s="1">
        <v>81.48</v>
      </c>
      <c r="H660" s="1" t="s">
        <v>339</v>
      </c>
    </row>
    <row r="661" spans="1:8" x14ac:dyDescent="0.35">
      <c r="A661" s="2">
        <v>45240.76666666667</v>
      </c>
      <c r="B661" s="3">
        <v>0.82076388888888896</v>
      </c>
      <c r="C661" s="1" t="s">
        <v>14</v>
      </c>
      <c r="D661" s="1" t="s">
        <v>9</v>
      </c>
      <c r="E661" s="1">
        <v>69.63</v>
      </c>
      <c r="F661" s="1">
        <v>2</v>
      </c>
      <c r="G661" s="1">
        <v>139.26</v>
      </c>
      <c r="H661" s="1" t="s">
        <v>175</v>
      </c>
    </row>
    <row r="662" spans="1:8" x14ac:dyDescent="0.35">
      <c r="A662" s="2">
        <v>45286.367361111108</v>
      </c>
      <c r="B662" s="3">
        <v>0.60281249999999997</v>
      </c>
      <c r="C662" s="1" t="s">
        <v>14</v>
      </c>
      <c r="D662" s="1" t="s">
        <v>16</v>
      </c>
      <c r="E662" s="1">
        <v>63.08</v>
      </c>
      <c r="F662" s="1">
        <v>1</v>
      </c>
      <c r="G662" s="1">
        <v>63.08</v>
      </c>
      <c r="H662" s="1" t="s">
        <v>99</v>
      </c>
    </row>
    <row r="663" spans="1:8" x14ac:dyDescent="0.35">
      <c r="A663" s="2">
        <v>45116.927777777775</v>
      </c>
      <c r="B663" s="3">
        <v>0.25836805555555559</v>
      </c>
      <c r="C663" s="1" t="s">
        <v>8</v>
      </c>
      <c r="D663" s="1" t="s">
        <v>12</v>
      </c>
      <c r="E663" s="1">
        <v>375.96</v>
      </c>
      <c r="F663" s="1">
        <v>5</v>
      </c>
      <c r="G663" s="1">
        <v>1879.8</v>
      </c>
      <c r="H663" s="1" t="s">
        <v>250</v>
      </c>
    </row>
    <row r="664" spans="1:8" x14ac:dyDescent="0.35">
      <c r="A664" s="2">
        <v>45364.194444444445</v>
      </c>
      <c r="B664" s="3">
        <v>0.9587268518518518</v>
      </c>
      <c r="C664" s="1" t="s">
        <v>8</v>
      </c>
      <c r="D664" s="1" t="s">
        <v>12</v>
      </c>
      <c r="E664" s="1">
        <v>284.87</v>
      </c>
      <c r="F664" s="1">
        <v>5</v>
      </c>
      <c r="G664" s="1">
        <v>1424.35</v>
      </c>
      <c r="H664" s="1" t="s">
        <v>13</v>
      </c>
    </row>
    <row r="665" spans="1:8" x14ac:dyDescent="0.35">
      <c r="A665" s="2">
        <v>45092.149305555555</v>
      </c>
      <c r="B665" s="3">
        <v>0.54600694444444442</v>
      </c>
      <c r="C665" s="1" t="s">
        <v>8</v>
      </c>
      <c r="D665" s="1" t="s">
        <v>12</v>
      </c>
      <c r="E665" s="1">
        <v>233.72</v>
      </c>
      <c r="F665" s="1">
        <v>3</v>
      </c>
      <c r="G665" s="1">
        <v>701.16</v>
      </c>
      <c r="H665" s="1" t="s">
        <v>340</v>
      </c>
    </row>
    <row r="666" spans="1:8" x14ac:dyDescent="0.35">
      <c r="A666" s="2">
        <v>45600.370138888888</v>
      </c>
      <c r="B666" s="3">
        <v>3.4016203703703708E-2</v>
      </c>
      <c r="C666" s="1" t="s">
        <v>14</v>
      </c>
      <c r="D666" s="1" t="s">
        <v>20</v>
      </c>
      <c r="E666" s="1">
        <v>292.74</v>
      </c>
      <c r="F666" s="1">
        <v>2</v>
      </c>
      <c r="G666" s="1">
        <v>585.48</v>
      </c>
      <c r="H666" s="1" t="s">
        <v>266</v>
      </c>
    </row>
    <row r="667" spans="1:8" x14ac:dyDescent="0.35">
      <c r="A667" s="2">
        <v>45640.863194444442</v>
      </c>
      <c r="B667" s="3">
        <v>0.61031250000000004</v>
      </c>
      <c r="C667" s="1" t="s">
        <v>11</v>
      </c>
      <c r="D667" s="1" t="s">
        <v>20</v>
      </c>
      <c r="E667" s="1">
        <v>252.23</v>
      </c>
      <c r="F667" s="1">
        <v>4</v>
      </c>
      <c r="G667" s="1">
        <v>1008.92</v>
      </c>
      <c r="H667" s="1" t="s">
        <v>232</v>
      </c>
    </row>
    <row r="668" spans="1:8" x14ac:dyDescent="0.35">
      <c r="A668" s="2">
        <v>45624.236111111109</v>
      </c>
      <c r="B668" s="3">
        <v>0.54937500000000006</v>
      </c>
      <c r="C668" s="1" t="s">
        <v>11</v>
      </c>
      <c r="D668" s="1" t="s">
        <v>20</v>
      </c>
      <c r="E668" s="1">
        <v>161.62</v>
      </c>
      <c r="F668" s="1">
        <v>2</v>
      </c>
      <c r="G668" s="1">
        <v>323.24</v>
      </c>
      <c r="H668" s="1" t="s">
        <v>341</v>
      </c>
    </row>
    <row r="669" spans="1:8" x14ac:dyDescent="0.35">
      <c r="A669" s="2">
        <v>45485.080555555556</v>
      </c>
      <c r="B669" s="3">
        <v>0.25417824074074075</v>
      </c>
      <c r="C669" s="1" t="s">
        <v>14</v>
      </c>
      <c r="D669" s="1" t="s">
        <v>12</v>
      </c>
      <c r="E669" s="1">
        <v>261.41000000000003</v>
      </c>
      <c r="F669" s="1">
        <v>1</v>
      </c>
      <c r="G669" s="1">
        <v>261.41000000000003</v>
      </c>
      <c r="H669" s="1" t="s">
        <v>77</v>
      </c>
    </row>
    <row r="670" spans="1:8" x14ac:dyDescent="0.35">
      <c r="A670" s="2">
        <v>45527.018055555556</v>
      </c>
      <c r="B670" s="3">
        <v>9.6712962962962959E-2</v>
      </c>
      <c r="C670" s="1" t="s">
        <v>11</v>
      </c>
      <c r="D670" s="1" t="s">
        <v>27</v>
      </c>
      <c r="E670" s="1">
        <v>379.59</v>
      </c>
      <c r="F670" s="1">
        <v>3</v>
      </c>
      <c r="G670" s="1">
        <v>1138.77</v>
      </c>
      <c r="H670" s="1" t="s">
        <v>21</v>
      </c>
    </row>
    <row r="671" spans="1:8" x14ac:dyDescent="0.35">
      <c r="A671" s="2">
        <v>45162.707638888889</v>
      </c>
      <c r="B671" s="3">
        <v>0.24708333333333332</v>
      </c>
      <c r="C671" s="1" t="s">
        <v>14</v>
      </c>
      <c r="D671" s="1" t="s">
        <v>9</v>
      </c>
      <c r="E671" s="1">
        <v>426.94</v>
      </c>
      <c r="F671" s="1">
        <v>2</v>
      </c>
      <c r="G671" s="1">
        <v>853.88</v>
      </c>
      <c r="H671" s="1" t="s">
        <v>187</v>
      </c>
    </row>
    <row r="672" spans="1:8" x14ac:dyDescent="0.35">
      <c r="A672" s="2">
        <v>45248.538194444445</v>
      </c>
      <c r="B672" s="3">
        <v>0.28733796296296293</v>
      </c>
      <c r="C672" s="1" t="s">
        <v>8</v>
      </c>
      <c r="D672" s="1" t="s">
        <v>20</v>
      </c>
      <c r="E672" s="1">
        <v>393.95</v>
      </c>
      <c r="F672" s="1">
        <v>3</v>
      </c>
      <c r="G672" s="1">
        <v>1181.8499999999999</v>
      </c>
      <c r="H672" s="1" t="s">
        <v>204</v>
      </c>
    </row>
    <row r="673" spans="1:8" x14ac:dyDescent="0.35">
      <c r="A673" s="2">
        <v>45188.180555555555</v>
      </c>
      <c r="B673" s="3">
        <v>0.61265046296296299</v>
      </c>
      <c r="C673" s="1" t="s">
        <v>11</v>
      </c>
      <c r="D673" s="1" t="s">
        <v>16</v>
      </c>
      <c r="E673" s="1">
        <v>111.91</v>
      </c>
      <c r="F673" s="1">
        <v>2</v>
      </c>
      <c r="G673" s="1">
        <v>223.82</v>
      </c>
      <c r="H673" s="1" t="s">
        <v>342</v>
      </c>
    </row>
    <row r="674" spans="1:8" x14ac:dyDescent="0.35">
      <c r="A674" s="2">
        <v>45502.663194444445</v>
      </c>
      <c r="B674" s="3">
        <v>0.16754629629629628</v>
      </c>
      <c r="C674" s="1" t="s">
        <v>14</v>
      </c>
      <c r="D674" s="1" t="s">
        <v>12</v>
      </c>
      <c r="E674" s="1">
        <v>429.23</v>
      </c>
      <c r="F674" s="1">
        <v>2</v>
      </c>
      <c r="G674" s="1">
        <v>858.46</v>
      </c>
      <c r="H674" s="1" t="s">
        <v>182</v>
      </c>
    </row>
    <row r="675" spans="1:8" x14ac:dyDescent="0.35">
      <c r="A675" s="2">
        <v>45218.652777777781</v>
      </c>
      <c r="B675" s="3">
        <v>2.3217592592592592E-2</v>
      </c>
      <c r="C675" s="1" t="s">
        <v>8</v>
      </c>
      <c r="D675" s="1" t="s">
        <v>20</v>
      </c>
      <c r="E675" s="1">
        <v>361.29</v>
      </c>
      <c r="F675" s="1">
        <v>1</v>
      </c>
      <c r="G675" s="1">
        <v>361.29</v>
      </c>
      <c r="H675" s="1" t="s">
        <v>159</v>
      </c>
    </row>
    <row r="676" spans="1:8" x14ac:dyDescent="0.35">
      <c r="A676" s="2">
        <v>45598.214583333334</v>
      </c>
      <c r="B676" s="3">
        <v>0.27295138888888887</v>
      </c>
      <c r="C676" s="1" t="s">
        <v>8</v>
      </c>
      <c r="D676" s="1" t="s">
        <v>27</v>
      </c>
      <c r="E676" s="1">
        <v>259.98</v>
      </c>
      <c r="F676" s="1">
        <v>1</v>
      </c>
      <c r="G676" s="1">
        <v>259.98</v>
      </c>
      <c r="H676" s="1" t="s">
        <v>343</v>
      </c>
    </row>
    <row r="677" spans="1:8" x14ac:dyDescent="0.35">
      <c r="A677" s="2">
        <v>45432.030555555553</v>
      </c>
      <c r="B677" s="3">
        <v>0.48864583333333328</v>
      </c>
      <c r="C677" s="1" t="s">
        <v>14</v>
      </c>
      <c r="D677" s="1" t="s">
        <v>12</v>
      </c>
      <c r="E677" s="1">
        <v>304.49</v>
      </c>
      <c r="F677" s="1">
        <v>2</v>
      </c>
      <c r="G677" s="1">
        <v>608.98</v>
      </c>
      <c r="H677" s="1" t="s">
        <v>344</v>
      </c>
    </row>
    <row r="678" spans="1:8" x14ac:dyDescent="0.35">
      <c r="A678" s="2">
        <v>45388.126388888886</v>
      </c>
      <c r="B678" s="3">
        <v>0.42456018518518518</v>
      </c>
      <c r="C678" s="1" t="s">
        <v>14</v>
      </c>
      <c r="D678" s="1" t="s">
        <v>12</v>
      </c>
      <c r="E678" s="1">
        <v>418.78</v>
      </c>
      <c r="F678" s="1">
        <v>3</v>
      </c>
      <c r="G678" s="1">
        <v>1256.3399999999999</v>
      </c>
      <c r="H678" s="1" t="s">
        <v>88</v>
      </c>
    </row>
    <row r="679" spans="1:8" x14ac:dyDescent="0.35">
      <c r="A679" s="2">
        <v>45629.375</v>
      </c>
      <c r="B679" s="3">
        <v>0.51111111111111118</v>
      </c>
      <c r="C679" s="1" t="s">
        <v>14</v>
      </c>
      <c r="D679" s="1" t="s">
        <v>12</v>
      </c>
      <c r="E679" s="1">
        <v>370.17</v>
      </c>
      <c r="F679" s="1">
        <v>2</v>
      </c>
      <c r="G679" s="1">
        <v>740.34</v>
      </c>
      <c r="H679" s="1" t="s">
        <v>120</v>
      </c>
    </row>
    <row r="680" spans="1:8" x14ac:dyDescent="0.35">
      <c r="A680" s="2">
        <v>45592.356944444444</v>
      </c>
      <c r="B680" s="3">
        <v>0.4371990740740741</v>
      </c>
      <c r="C680" s="1" t="s">
        <v>14</v>
      </c>
      <c r="D680" s="1" t="s">
        <v>12</v>
      </c>
      <c r="E680" s="1">
        <v>385.66</v>
      </c>
      <c r="F680" s="1">
        <v>3</v>
      </c>
      <c r="G680" s="1">
        <v>1156.98</v>
      </c>
      <c r="H680" s="1" t="s">
        <v>277</v>
      </c>
    </row>
    <row r="681" spans="1:8" x14ac:dyDescent="0.35">
      <c r="A681" s="2">
        <v>45064.673611111109</v>
      </c>
      <c r="B681" s="3">
        <v>0.26856481481481481</v>
      </c>
      <c r="C681" s="1" t="s">
        <v>11</v>
      </c>
      <c r="D681" s="1" t="s">
        <v>27</v>
      </c>
      <c r="E681" s="1">
        <v>265.07</v>
      </c>
      <c r="F681" s="1">
        <v>3</v>
      </c>
      <c r="G681" s="1">
        <v>795.21</v>
      </c>
      <c r="H681" s="1" t="s">
        <v>333</v>
      </c>
    </row>
    <row r="682" spans="1:8" x14ac:dyDescent="0.35">
      <c r="A682" s="2">
        <v>45281.691666666666</v>
      </c>
      <c r="B682" s="3">
        <v>0.77804398148148157</v>
      </c>
      <c r="C682" s="1" t="s">
        <v>14</v>
      </c>
      <c r="D682" s="1" t="s">
        <v>20</v>
      </c>
      <c r="E682" s="1">
        <v>68.23</v>
      </c>
      <c r="F682" s="1">
        <v>1</v>
      </c>
      <c r="G682" s="1">
        <v>68.23</v>
      </c>
      <c r="H682" s="1" t="s">
        <v>345</v>
      </c>
    </row>
    <row r="683" spans="1:8" x14ac:dyDescent="0.35">
      <c r="A683" s="2">
        <v>45640.996527777781</v>
      </c>
      <c r="B683" s="3">
        <v>0.6877199074074074</v>
      </c>
      <c r="C683" s="1" t="s">
        <v>8</v>
      </c>
      <c r="D683" s="1" t="s">
        <v>27</v>
      </c>
      <c r="E683" s="1">
        <v>466.87</v>
      </c>
      <c r="F683" s="1">
        <v>1</v>
      </c>
      <c r="G683" s="1">
        <v>466.87</v>
      </c>
      <c r="H683" s="1" t="s">
        <v>154</v>
      </c>
    </row>
    <row r="684" spans="1:8" x14ac:dyDescent="0.35">
      <c r="A684" s="2">
        <v>45425.425694444442</v>
      </c>
      <c r="B684" s="3">
        <v>0.52917824074074071</v>
      </c>
      <c r="C684" s="1" t="s">
        <v>14</v>
      </c>
      <c r="D684" s="1" t="s">
        <v>9</v>
      </c>
      <c r="E684" s="1">
        <v>69.849999999999994</v>
      </c>
      <c r="F684" s="1">
        <v>3</v>
      </c>
      <c r="G684" s="1">
        <v>209.55</v>
      </c>
      <c r="H684" s="1" t="s">
        <v>346</v>
      </c>
    </row>
    <row r="685" spans="1:8" x14ac:dyDescent="0.35">
      <c r="A685" s="2">
        <v>45422.004166666666</v>
      </c>
      <c r="B685" s="3">
        <v>0.80082175925925936</v>
      </c>
      <c r="C685" s="1" t="s">
        <v>14</v>
      </c>
      <c r="D685" s="1" t="s">
        <v>16</v>
      </c>
      <c r="E685" s="1">
        <v>18.98</v>
      </c>
      <c r="F685" s="1">
        <v>1</v>
      </c>
      <c r="G685" s="1">
        <v>18.98</v>
      </c>
      <c r="H685" s="1" t="s">
        <v>347</v>
      </c>
    </row>
    <row r="686" spans="1:8" x14ac:dyDescent="0.35">
      <c r="A686" s="2">
        <v>45302.363194444442</v>
      </c>
      <c r="B686" s="3">
        <v>0.34105324074074073</v>
      </c>
      <c r="C686" s="1" t="s">
        <v>8</v>
      </c>
      <c r="D686" s="1" t="s">
        <v>16</v>
      </c>
      <c r="E686" s="1">
        <v>468.21</v>
      </c>
      <c r="F686" s="1">
        <v>2</v>
      </c>
      <c r="G686" s="1">
        <v>936.42</v>
      </c>
      <c r="H686" s="1" t="s">
        <v>294</v>
      </c>
    </row>
    <row r="687" spans="1:8" x14ac:dyDescent="0.35">
      <c r="A687" s="2">
        <v>45122.146527777775</v>
      </c>
      <c r="B687" s="3">
        <v>1.247685185185185E-2</v>
      </c>
      <c r="C687" s="1" t="s">
        <v>8</v>
      </c>
      <c r="D687" s="1" t="s">
        <v>27</v>
      </c>
      <c r="E687" s="1">
        <v>249.95</v>
      </c>
      <c r="F687" s="1">
        <v>1</v>
      </c>
      <c r="G687" s="1">
        <v>249.95</v>
      </c>
      <c r="H687" s="1" t="s">
        <v>348</v>
      </c>
    </row>
    <row r="688" spans="1:8" x14ac:dyDescent="0.35">
      <c r="A688" s="2">
        <v>44941.21875</v>
      </c>
      <c r="B688" s="3">
        <v>4.7511574074074074E-2</v>
      </c>
      <c r="C688" s="1" t="s">
        <v>14</v>
      </c>
      <c r="D688" s="1" t="s">
        <v>16</v>
      </c>
      <c r="E688" s="1">
        <v>493.51</v>
      </c>
      <c r="F688" s="1">
        <v>2</v>
      </c>
      <c r="G688" s="1">
        <v>987.02</v>
      </c>
      <c r="H688" s="1" t="s">
        <v>106</v>
      </c>
    </row>
    <row r="689" spans="1:8" x14ac:dyDescent="0.35">
      <c r="A689" s="2">
        <v>45199.517361111109</v>
      </c>
      <c r="B689" s="3">
        <v>0.34013888888888894</v>
      </c>
      <c r="C689" s="1" t="s">
        <v>14</v>
      </c>
      <c r="D689" s="1" t="s">
        <v>27</v>
      </c>
      <c r="E689" s="1">
        <v>337.44</v>
      </c>
      <c r="F689" s="1">
        <v>4</v>
      </c>
      <c r="G689" s="1">
        <v>1349.76</v>
      </c>
      <c r="H689" s="1" t="s">
        <v>108</v>
      </c>
    </row>
    <row r="690" spans="1:8" x14ac:dyDescent="0.35">
      <c r="A690" s="2">
        <v>45661.630555555559</v>
      </c>
      <c r="B690" s="3">
        <v>0.51438657407407407</v>
      </c>
      <c r="C690" s="1" t="s">
        <v>11</v>
      </c>
      <c r="D690" s="1" t="s">
        <v>12</v>
      </c>
      <c r="E690" s="1">
        <v>23.89</v>
      </c>
      <c r="F690" s="1">
        <v>2</v>
      </c>
      <c r="G690" s="1">
        <v>47.78</v>
      </c>
      <c r="H690" s="1" t="s">
        <v>349</v>
      </c>
    </row>
    <row r="691" spans="1:8" x14ac:dyDescent="0.35">
      <c r="A691" s="2">
        <v>45333.065972222219</v>
      </c>
      <c r="B691" s="3">
        <v>0.45418981481481485</v>
      </c>
      <c r="C691" s="1" t="s">
        <v>8</v>
      </c>
      <c r="D691" s="1" t="s">
        <v>16</v>
      </c>
      <c r="E691" s="1">
        <v>355.03</v>
      </c>
      <c r="F691" s="1">
        <v>1</v>
      </c>
      <c r="G691" s="1">
        <v>355.03</v>
      </c>
      <c r="H691" s="1" t="s">
        <v>89</v>
      </c>
    </row>
    <row r="692" spans="1:8" x14ac:dyDescent="0.35">
      <c r="A692" s="2">
        <v>45424.970138888886</v>
      </c>
      <c r="B692" s="3">
        <v>0.83075231481481471</v>
      </c>
      <c r="C692" s="1" t="s">
        <v>14</v>
      </c>
      <c r="D692" s="1" t="s">
        <v>16</v>
      </c>
      <c r="E692" s="1">
        <v>485.24</v>
      </c>
      <c r="F692" s="1">
        <v>1</v>
      </c>
      <c r="G692" s="1">
        <v>485.24</v>
      </c>
      <c r="H692" s="1" t="s">
        <v>241</v>
      </c>
    </row>
    <row r="693" spans="1:8" x14ac:dyDescent="0.35">
      <c r="A693" s="2">
        <v>45082.407638888886</v>
      </c>
      <c r="B693" s="3">
        <v>0.88597222222222216</v>
      </c>
      <c r="C693" s="1" t="s">
        <v>14</v>
      </c>
      <c r="D693" s="1" t="s">
        <v>20</v>
      </c>
      <c r="E693" s="1">
        <v>428.23</v>
      </c>
      <c r="F693" s="1">
        <v>4</v>
      </c>
      <c r="G693" s="1">
        <v>1712.92</v>
      </c>
      <c r="H693" s="1" t="s">
        <v>94</v>
      </c>
    </row>
    <row r="694" spans="1:8" x14ac:dyDescent="0.35">
      <c r="A694" s="2">
        <v>45401.999305555553</v>
      </c>
      <c r="B694" s="3">
        <v>0.33621527777777777</v>
      </c>
      <c r="C694" s="1" t="s">
        <v>14</v>
      </c>
      <c r="D694" s="1" t="s">
        <v>27</v>
      </c>
      <c r="E694" s="1">
        <v>43.52</v>
      </c>
      <c r="F694" s="1">
        <v>3</v>
      </c>
      <c r="G694" s="1">
        <v>130.56</v>
      </c>
      <c r="H694" s="1" t="s">
        <v>149</v>
      </c>
    </row>
    <row r="695" spans="1:8" x14ac:dyDescent="0.35">
      <c r="A695" s="2">
        <v>45429.756944444445</v>
      </c>
      <c r="B695" s="3">
        <v>0.79268518518518516</v>
      </c>
      <c r="C695" s="1" t="s">
        <v>11</v>
      </c>
      <c r="D695" s="1" t="s">
        <v>20</v>
      </c>
      <c r="E695" s="1">
        <v>266.54000000000002</v>
      </c>
      <c r="F695" s="1">
        <v>2</v>
      </c>
      <c r="G695" s="1">
        <v>533.08000000000004</v>
      </c>
      <c r="H695" s="1" t="s">
        <v>157</v>
      </c>
    </row>
    <row r="696" spans="1:8" x14ac:dyDescent="0.35">
      <c r="A696" s="2">
        <v>44943.900694444441</v>
      </c>
      <c r="B696" s="3">
        <v>0.75090277777777781</v>
      </c>
      <c r="C696" s="1" t="s">
        <v>11</v>
      </c>
      <c r="D696" s="1" t="s">
        <v>12</v>
      </c>
      <c r="E696" s="1">
        <v>324.5</v>
      </c>
      <c r="F696" s="1">
        <v>4</v>
      </c>
      <c r="G696" s="1">
        <v>1298</v>
      </c>
      <c r="H696" s="1" t="s">
        <v>330</v>
      </c>
    </row>
    <row r="697" spans="1:8" x14ac:dyDescent="0.35">
      <c r="A697" s="2">
        <v>45061.196527777778</v>
      </c>
      <c r="B697" s="3">
        <v>0.59045138888888882</v>
      </c>
      <c r="C697" s="1" t="s">
        <v>14</v>
      </c>
      <c r="D697" s="1" t="s">
        <v>27</v>
      </c>
      <c r="E697" s="1">
        <v>22.08</v>
      </c>
      <c r="F697" s="1">
        <v>1</v>
      </c>
      <c r="G697" s="1">
        <v>22.08</v>
      </c>
      <c r="H697" s="1" t="s">
        <v>245</v>
      </c>
    </row>
    <row r="698" spans="1:8" x14ac:dyDescent="0.35">
      <c r="A698" s="2">
        <v>45647.313194444447</v>
      </c>
      <c r="B698" s="3">
        <v>0.85819444444444448</v>
      </c>
      <c r="C698" s="1" t="s">
        <v>11</v>
      </c>
      <c r="D698" s="1" t="s">
        <v>12</v>
      </c>
      <c r="E698" s="1">
        <v>401.61</v>
      </c>
      <c r="F698" s="1">
        <v>1</v>
      </c>
      <c r="G698" s="1">
        <v>401.61</v>
      </c>
      <c r="H698" s="1" t="s">
        <v>350</v>
      </c>
    </row>
    <row r="699" spans="1:8" x14ac:dyDescent="0.35">
      <c r="A699" s="2">
        <v>45259.743750000001</v>
      </c>
      <c r="B699" s="3">
        <v>0.78098379629629633</v>
      </c>
      <c r="C699" s="1" t="s">
        <v>14</v>
      </c>
      <c r="D699" s="1" t="s">
        <v>20</v>
      </c>
      <c r="E699" s="1">
        <v>98.76</v>
      </c>
      <c r="F699" s="1">
        <v>3</v>
      </c>
      <c r="G699" s="1">
        <v>296.27999999999997</v>
      </c>
      <c r="H699" s="1" t="s">
        <v>337</v>
      </c>
    </row>
    <row r="700" spans="1:8" x14ac:dyDescent="0.35">
      <c r="A700" s="2">
        <v>45126.103472222225</v>
      </c>
      <c r="B700" s="3">
        <v>0.11084490740740742</v>
      </c>
      <c r="C700" s="1" t="s">
        <v>14</v>
      </c>
      <c r="D700" s="1" t="s">
        <v>12</v>
      </c>
      <c r="E700" s="1">
        <v>435.13</v>
      </c>
      <c r="F700" s="1">
        <v>2</v>
      </c>
      <c r="G700" s="1">
        <v>870.26</v>
      </c>
      <c r="H700" s="1" t="s">
        <v>92</v>
      </c>
    </row>
    <row r="701" spans="1:8" x14ac:dyDescent="0.35">
      <c r="A701" s="2">
        <v>45304.629861111112</v>
      </c>
      <c r="B701" s="3">
        <v>0.53483796296296293</v>
      </c>
      <c r="C701" s="1" t="s">
        <v>8</v>
      </c>
      <c r="D701" s="1" t="s">
        <v>27</v>
      </c>
      <c r="E701" s="1">
        <v>356.85</v>
      </c>
      <c r="F701" s="1">
        <v>2</v>
      </c>
      <c r="G701" s="1">
        <v>713.7</v>
      </c>
      <c r="H701" s="1" t="s">
        <v>49</v>
      </c>
    </row>
    <row r="702" spans="1:8" x14ac:dyDescent="0.35">
      <c r="A702" s="2">
        <v>45506.243750000001</v>
      </c>
      <c r="B702" s="3">
        <v>0.59523148148148153</v>
      </c>
      <c r="C702" s="1" t="s">
        <v>11</v>
      </c>
      <c r="D702" s="1" t="s">
        <v>16</v>
      </c>
      <c r="E702" s="1">
        <v>483.47</v>
      </c>
      <c r="F702" s="1">
        <v>5</v>
      </c>
      <c r="G702" s="1">
        <v>2417.35</v>
      </c>
      <c r="H702" s="1" t="s">
        <v>61</v>
      </c>
    </row>
    <row r="703" spans="1:8" x14ac:dyDescent="0.35">
      <c r="A703" s="2">
        <v>45035.724305555559</v>
      </c>
      <c r="B703" s="3">
        <v>0.6177083333333333</v>
      </c>
      <c r="C703" s="1" t="s">
        <v>11</v>
      </c>
      <c r="D703" s="1" t="s">
        <v>16</v>
      </c>
      <c r="E703" s="1">
        <v>191.16</v>
      </c>
      <c r="F703" s="1">
        <v>3</v>
      </c>
      <c r="G703" s="1">
        <v>573.48</v>
      </c>
      <c r="H703" s="1" t="s">
        <v>236</v>
      </c>
    </row>
    <row r="704" spans="1:8" x14ac:dyDescent="0.35">
      <c r="A704" s="2">
        <v>45304.234722222223</v>
      </c>
      <c r="B704" s="3">
        <v>0.79388888888888898</v>
      </c>
      <c r="C704" s="1" t="s">
        <v>11</v>
      </c>
      <c r="D704" s="1" t="s">
        <v>27</v>
      </c>
      <c r="E704" s="1">
        <v>410.28</v>
      </c>
      <c r="F704" s="1">
        <v>5</v>
      </c>
      <c r="G704" s="1">
        <v>2051.4</v>
      </c>
      <c r="H704" s="1" t="s">
        <v>177</v>
      </c>
    </row>
    <row r="705" spans="1:8" x14ac:dyDescent="0.35">
      <c r="A705" s="2">
        <v>45659.022916666669</v>
      </c>
      <c r="B705" s="3">
        <v>0.28777777777777774</v>
      </c>
      <c r="C705" s="1" t="s">
        <v>8</v>
      </c>
      <c r="D705" s="1" t="s">
        <v>12</v>
      </c>
      <c r="E705" s="1">
        <v>408.6</v>
      </c>
      <c r="F705" s="1">
        <v>4</v>
      </c>
      <c r="G705" s="1">
        <v>1634.4</v>
      </c>
      <c r="H705" s="1" t="s">
        <v>63</v>
      </c>
    </row>
    <row r="706" spans="1:8" x14ac:dyDescent="0.35">
      <c r="A706" s="2">
        <v>45358.192361111112</v>
      </c>
      <c r="B706" s="3">
        <v>0.11180555555555556</v>
      </c>
      <c r="C706" s="1" t="s">
        <v>8</v>
      </c>
      <c r="D706" s="1" t="s">
        <v>16</v>
      </c>
      <c r="E706" s="1">
        <v>453.3</v>
      </c>
      <c r="F706" s="1">
        <v>4</v>
      </c>
      <c r="G706" s="1">
        <v>1813.2</v>
      </c>
      <c r="H706" s="1" t="s">
        <v>130</v>
      </c>
    </row>
    <row r="707" spans="1:8" x14ac:dyDescent="0.35">
      <c r="A707" s="2">
        <v>45304.582638888889</v>
      </c>
      <c r="B707" s="3">
        <v>0.18087962962962964</v>
      </c>
      <c r="C707" s="1" t="s">
        <v>8</v>
      </c>
      <c r="D707" s="1" t="s">
        <v>20</v>
      </c>
      <c r="E707" s="1">
        <v>264.44</v>
      </c>
      <c r="F707" s="1">
        <v>4</v>
      </c>
      <c r="G707" s="1">
        <v>1057.76</v>
      </c>
      <c r="H707" s="1" t="s">
        <v>85</v>
      </c>
    </row>
    <row r="708" spans="1:8" x14ac:dyDescent="0.35">
      <c r="A708" s="2">
        <v>44986.708333333336</v>
      </c>
      <c r="B708" s="3">
        <v>0.7868750000000001</v>
      </c>
      <c r="C708" s="1" t="s">
        <v>14</v>
      </c>
      <c r="D708" s="1" t="s">
        <v>9</v>
      </c>
      <c r="E708" s="1">
        <v>85.33</v>
      </c>
      <c r="F708" s="1">
        <v>3</v>
      </c>
      <c r="G708" s="1">
        <v>255.99</v>
      </c>
      <c r="H708" s="1" t="s">
        <v>315</v>
      </c>
    </row>
    <row r="709" spans="1:8" x14ac:dyDescent="0.35">
      <c r="A709" s="2">
        <v>45449.76666666667</v>
      </c>
      <c r="B709" s="3">
        <v>0.78271990740740749</v>
      </c>
      <c r="C709" s="1" t="s">
        <v>8</v>
      </c>
      <c r="D709" s="1" t="s">
        <v>20</v>
      </c>
      <c r="E709" s="1">
        <v>40.15</v>
      </c>
      <c r="F709" s="1">
        <v>3</v>
      </c>
      <c r="G709" s="1">
        <v>120.45</v>
      </c>
      <c r="H709" s="1" t="s">
        <v>337</v>
      </c>
    </row>
    <row r="710" spans="1:8" x14ac:dyDescent="0.35">
      <c r="A710" s="2">
        <v>45087.684027777781</v>
      </c>
      <c r="B710" s="3">
        <v>0.25074074074074076</v>
      </c>
      <c r="C710" s="1" t="s">
        <v>8</v>
      </c>
      <c r="D710" s="1" t="s">
        <v>20</v>
      </c>
      <c r="E710" s="1">
        <v>183.27</v>
      </c>
      <c r="F710" s="1">
        <v>5</v>
      </c>
      <c r="G710" s="1">
        <v>916.35</v>
      </c>
      <c r="H710" s="1" t="s">
        <v>86</v>
      </c>
    </row>
    <row r="711" spans="1:8" x14ac:dyDescent="0.35">
      <c r="A711" s="2">
        <v>45489.881944444445</v>
      </c>
      <c r="B711" s="3">
        <v>0.47625000000000001</v>
      </c>
      <c r="C711" s="1" t="s">
        <v>14</v>
      </c>
      <c r="D711" s="1" t="s">
        <v>16</v>
      </c>
      <c r="E711" s="1">
        <v>457.9</v>
      </c>
      <c r="F711" s="1">
        <v>2</v>
      </c>
      <c r="G711" s="1">
        <v>915.8</v>
      </c>
      <c r="H711" s="1" t="s">
        <v>118</v>
      </c>
    </row>
    <row r="712" spans="1:8" x14ac:dyDescent="0.35">
      <c r="A712" s="2">
        <v>44931.318749999999</v>
      </c>
      <c r="B712" s="3">
        <v>0.20175925925925928</v>
      </c>
      <c r="C712" s="1" t="s">
        <v>14</v>
      </c>
      <c r="D712" s="1" t="s">
        <v>20</v>
      </c>
      <c r="E712" s="1">
        <v>364.89</v>
      </c>
      <c r="F712" s="1">
        <v>3</v>
      </c>
      <c r="G712" s="1">
        <v>1094.67</v>
      </c>
      <c r="H712" s="1" t="s">
        <v>210</v>
      </c>
    </row>
    <row r="713" spans="1:8" x14ac:dyDescent="0.35">
      <c r="A713" s="2">
        <v>45121.310416666667</v>
      </c>
      <c r="B713" s="3">
        <v>0.20680555555555555</v>
      </c>
      <c r="C713" s="1" t="s">
        <v>14</v>
      </c>
      <c r="D713" s="1" t="s">
        <v>12</v>
      </c>
      <c r="E713" s="1">
        <v>386.18</v>
      </c>
      <c r="F713" s="1">
        <v>5</v>
      </c>
      <c r="G713" s="1">
        <v>1930.9</v>
      </c>
      <c r="H713" s="1" t="s">
        <v>284</v>
      </c>
    </row>
    <row r="714" spans="1:8" x14ac:dyDescent="0.35">
      <c r="A714" s="2">
        <v>45207.09375</v>
      </c>
      <c r="B714" s="3">
        <v>0.28129629629629632</v>
      </c>
      <c r="C714" s="1" t="s">
        <v>11</v>
      </c>
      <c r="D714" s="1" t="s">
        <v>12</v>
      </c>
      <c r="E714" s="1">
        <v>241.74</v>
      </c>
      <c r="F714" s="1">
        <v>1</v>
      </c>
      <c r="G714" s="1">
        <v>241.74</v>
      </c>
      <c r="H714" s="1" t="s">
        <v>230</v>
      </c>
    </row>
    <row r="715" spans="1:8" x14ac:dyDescent="0.35">
      <c r="A715" s="2">
        <v>44987.811111111114</v>
      </c>
      <c r="B715" s="3">
        <v>0.47109953703703705</v>
      </c>
      <c r="C715" s="1" t="s">
        <v>8</v>
      </c>
      <c r="D715" s="1" t="s">
        <v>16</v>
      </c>
      <c r="E715" s="1">
        <v>313.36</v>
      </c>
      <c r="F715" s="1">
        <v>5</v>
      </c>
      <c r="G715" s="1">
        <v>1566.8</v>
      </c>
      <c r="H715" s="1" t="s">
        <v>15</v>
      </c>
    </row>
    <row r="716" spans="1:8" x14ac:dyDescent="0.35">
      <c r="A716" s="2">
        <v>45604.892361111109</v>
      </c>
      <c r="B716" s="3">
        <v>0.47738425925925926</v>
      </c>
      <c r="C716" s="1" t="s">
        <v>11</v>
      </c>
      <c r="D716" s="1" t="s">
        <v>27</v>
      </c>
      <c r="E716" s="1">
        <v>497.08</v>
      </c>
      <c r="F716" s="1">
        <v>2</v>
      </c>
      <c r="G716" s="1">
        <v>994.16</v>
      </c>
      <c r="H716" s="1" t="s">
        <v>183</v>
      </c>
    </row>
    <row r="717" spans="1:8" x14ac:dyDescent="0.35">
      <c r="A717" s="2">
        <v>45009.616666666669</v>
      </c>
      <c r="B717" s="3">
        <v>0.88817129629629632</v>
      </c>
      <c r="C717" s="1" t="s">
        <v>14</v>
      </c>
      <c r="D717" s="1" t="s">
        <v>12</v>
      </c>
      <c r="E717" s="1">
        <v>441.1</v>
      </c>
      <c r="F717" s="1">
        <v>4</v>
      </c>
      <c r="G717" s="1">
        <v>1764.4</v>
      </c>
      <c r="H717" s="1" t="s">
        <v>184</v>
      </c>
    </row>
    <row r="718" spans="1:8" x14ac:dyDescent="0.35">
      <c r="A718" s="2">
        <v>45505.388888888891</v>
      </c>
      <c r="B718" s="3">
        <v>5.9259259259259256E-3</v>
      </c>
      <c r="C718" s="1" t="s">
        <v>8</v>
      </c>
      <c r="D718" s="1" t="s">
        <v>12</v>
      </c>
      <c r="E718" s="1">
        <v>381.8</v>
      </c>
      <c r="F718" s="1">
        <v>2</v>
      </c>
      <c r="G718" s="1">
        <v>763.6</v>
      </c>
      <c r="H718" s="1" t="s">
        <v>42</v>
      </c>
    </row>
    <row r="719" spans="1:8" x14ac:dyDescent="0.35">
      <c r="A719" s="2">
        <v>45190.265972222223</v>
      </c>
      <c r="B719" s="3">
        <v>0.97262731481481479</v>
      </c>
      <c r="C719" s="1" t="s">
        <v>8</v>
      </c>
      <c r="D719" s="1" t="s">
        <v>9</v>
      </c>
      <c r="E719" s="1">
        <v>355.36</v>
      </c>
      <c r="F719" s="1">
        <v>1</v>
      </c>
      <c r="G719" s="1">
        <v>355.36</v>
      </c>
      <c r="H719" s="1" t="s">
        <v>155</v>
      </c>
    </row>
    <row r="720" spans="1:8" x14ac:dyDescent="0.35">
      <c r="A720" s="2">
        <v>45601.878472222219</v>
      </c>
      <c r="B720" s="3">
        <v>0.97112268518518519</v>
      </c>
      <c r="C720" s="1" t="s">
        <v>11</v>
      </c>
      <c r="D720" s="1" t="s">
        <v>20</v>
      </c>
      <c r="E720" s="1">
        <v>11.31</v>
      </c>
      <c r="F720" s="1">
        <v>1</v>
      </c>
      <c r="G720" s="1">
        <v>11.31</v>
      </c>
      <c r="H720" s="1" t="s">
        <v>349</v>
      </c>
    </row>
    <row r="721" spans="1:8" x14ac:dyDescent="0.35">
      <c r="A721" s="2">
        <v>45612.279166666667</v>
      </c>
      <c r="B721" s="3">
        <v>0.84829861111111116</v>
      </c>
      <c r="C721" s="1" t="s">
        <v>8</v>
      </c>
      <c r="D721" s="1" t="s">
        <v>12</v>
      </c>
      <c r="E721" s="1">
        <v>18.920000000000002</v>
      </c>
      <c r="F721" s="1">
        <v>5</v>
      </c>
      <c r="G721" s="1">
        <v>94.6</v>
      </c>
      <c r="H721" s="1" t="s">
        <v>203</v>
      </c>
    </row>
    <row r="722" spans="1:8" x14ac:dyDescent="0.35">
      <c r="A722" s="2">
        <v>45238.136111111111</v>
      </c>
      <c r="B722" s="3">
        <v>6.5636574074074069E-2</v>
      </c>
      <c r="C722" s="1" t="s">
        <v>14</v>
      </c>
      <c r="D722" s="1" t="s">
        <v>16</v>
      </c>
      <c r="E722" s="1">
        <v>43.76</v>
      </c>
      <c r="F722" s="1">
        <v>1</v>
      </c>
      <c r="G722" s="1">
        <v>43.76</v>
      </c>
      <c r="H722" s="1" t="s">
        <v>351</v>
      </c>
    </row>
    <row r="723" spans="1:8" x14ac:dyDescent="0.35">
      <c r="A723" s="2">
        <v>45272.915972222225</v>
      </c>
      <c r="B723" s="3">
        <v>0.34434027777777776</v>
      </c>
      <c r="C723" s="1" t="s">
        <v>8</v>
      </c>
      <c r="D723" s="1" t="s">
        <v>9</v>
      </c>
      <c r="E723" s="1">
        <v>78.83</v>
      </c>
      <c r="F723" s="1">
        <v>5</v>
      </c>
      <c r="G723" s="1">
        <v>394.15</v>
      </c>
      <c r="H723" s="1" t="s">
        <v>121</v>
      </c>
    </row>
    <row r="724" spans="1:8" x14ac:dyDescent="0.35">
      <c r="A724" s="2">
        <v>45544.887499999997</v>
      </c>
      <c r="B724" s="3">
        <v>0.27730324074074075</v>
      </c>
      <c r="C724" s="1" t="s">
        <v>14</v>
      </c>
      <c r="D724" s="1" t="s">
        <v>20</v>
      </c>
      <c r="E724" s="1">
        <v>179.09</v>
      </c>
      <c r="F724" s="1">
        <v>1</v>
      </c>
      <c r="G724" s="1">
        <v>179.09</v>
      </c>
      <c r="H724" s="1" t="s">
        <v>352</v>
      </c>
    </row>
    <row r="725" spans="1:8" x14ac:dyDescent="0.35">
      <c r="A725" s="2">
        <v>45561.886111111111</v>
      </c>
      <c r="B725" s="3">
        <v>0.68234953703703705</v>
      </c>
      <c r="C725" s="1" t="s">
        <v>14</v>
      </c>
      <c r="D725" s="1" t="s">
        <v>12</v>
      </c>
      <c r="E725" s="1">
        <v>33.479999999999997</v>
      </c>
      <c r="F725" s="1">
        <v>1</v>
      </c>
      <c r="G725" s="1">
        <v>33.479999999999997</v>
      </c>
      <c r="H725" s="1" t="s">
        <v>48</v>
      </c>
    </row>
    <row r="726" spans="1:8" x14ac:dyDescent="0.35">
      <c r="A726" s="2">
        <v>45125.941666666666</v>
      </c>
      <c r="B726" s="3">
        <v>0.32333333333333331</v>
      </c>
      <c r="C726" s="1" t="s">
        <v>8</v>
      </c>
      <c r="D726" s="1" t="s">
        <v>9</v>
      </c>
      <c r="E726" s="1">
        <v>281.77</v>
      </c>
      <c r="F726" s="1">
        <v>3</v>
      </c>
      <c r="G726" s="1">
        <v>845.31</v>
      </c>
      <c r="H726" s="1" t="s">
        <v>219</v>
      </c>
    </row>
    <row r="727" spans="1:8" x14ac:dyDescent="0.35">
      <c r="A727" s="2">
        <v>45603.564583333333</v>
      </c>
      <c r="B727" s="3">
        <v>0.60128472222222229</v>
      </c>
      <c r="C727" s="1" t="s">
        <v>8</v>
      </c>
      <c r="D727" s="1" t="s">
        <v>9</v>
      </c>
      <c r="E727" s="1">
        <v>282.72000000000003</v>
      </c>
      <c r="F727" s="1">
        <v>2</v>
      </c>
      <c r="G727" s="1">
        <v>565.44000000000005</v>
      </c>
      <c r="H727" s="1" t="s">
        <v>319</v>
      </c>
    </row>
    <row r="728" spans="1:8" x14ac:dyDescent="0.35">
      <c r="A728" s="2">
        <v>45360.464583333334</v>
      </c>
      <c r="B728" s="3">
        <v>0.57900462962962962</v>
      </c>
      <c r="C728" s="1" t="s">
        <v>8</v>
      </c>
      <c r="D728" s="1" t="s">
        <v>12</v>
      </c>
      <c r="E728" s="1">
        <v>207.56</v>
      </c>
      <c r="F728" s="1">
        <v>3</v>
      </c>
      <c r="G728" s="1">
        <v>622.67999999999995</v>
      </c>
      <c r="H728" s="1" t="s">
        <v>242</v>
      </c>
    </row>
    <row r="729" spans="1:8" x14ac:dyDescent="0.35">
      <c r="A729" s="2">
        <v>45480.039583333331</v>
      </c>
      <c r="B729" s="3">
        <v>0.39740740740740743</v>
      </c>
      <c r="C729" s="1" t="s">
        <v>11</v>
      </c>
      <c r="D729" s="1" t="s">
        <v>20</v>
      </c>
      <c r="E729" s="1">
        <v>36.21</v>
      </c>
      <c r="F729" s="1">
        <v>5</v>
      </c>
      <c r="G729" s="1">
        <v>181.05</v>
      </c>
      <c r="H729" s="1" t="s">
        <v>353</v>
      </c>
    </row>
    <row r="730" spans="1:8" x14ac:dyDescent="0.35">
      <c r="A730" s="2">
        <v>45249.85833333333</v>
      </c>
      <c r="B730" s="3">
        <v>0.47105324074074079</v>
      </c>
      <c r="C730" s="1" t="s">
        <v>11</v>
      </c>
      <c r="D730" s="1" t="s">
        <v>20</v>
      </c>
      <c r="E730" s="1">
        <v>459.77</v>
      </c>
      <c r="F730" s="1">
        <v>3</v>
      </c>
      <c r="G730" s="1">
        <v>1379.31</v>
      </c>
      <c r="H730" s="1" t="s">
        <v>222</v>
      </c>
    </row>
    <row r="731" spans="1:8" x14ac:dyDescent="0.35">
      <c r="A731" s="2">
        <v>45335.644444444442</v>
      </c>
      <c r="B731" s="3">
        <v>0.89556712962962959</v>
      </c>
      <c r="C731" s="1" t="s">
        <v>11</v>
      </c>
      <c r="D731" s="1" t="s">
        <v>12</v>
      </c>
      <c r="E731" s="1">
        <v>137.57</v>
      </c>
      <c r="F731" s="1">
        <v>5</v>
      </c>
      <c r="G731" s="1">
        <v>687.85</v>
      </c>
      <c r="H731" s="1" t="s">
        <v>54</v>
      </c>
    </row>
    <row r="732" spans="1:8" x14ac:dyDescent="0.35">
      <c r="A732" s="2">
        <v>45102.067361111112</v>
      </c>
      <c r="B732" s="3">
        <v>4.53587962962963E-2</v>
      </c>
      <c r="C732" s="1" t="s">
        <v>11</v>
      </c>
      <c r="D732" s="1" t="s">
        <v>9</v>
      </c>
      <c r="E732" s="1">
        <v>350.86</v>
      </c>
      <c r="F732" s="1">
        <v>1</v>
      </c>
      <c r="G732" s="1">
        <v>350.86</v>
      </c>
      <c r="H732" s="1" t="s">
        <v>305</v>
      </c>
    </row>
    <row r="733" spans="1:8" x14ac:dyDescent="0.35">
      <c r="A733" s="2">
        <v>45468.038194444445</v>
      </c>
      <c r="B733" s="3">
        <v>0.50693287037037038</v>
      </c>
      <c r="C733" s="1" t="s">
        <v>8</v>
      </c>
      <c r="D733" s="1" t="s">
        <v>12</v>
      </c>
      <c r="E733" s="1">
        <v>279.36</v>
      </c>
      <c r="F733" s="1">
        <v>2</v>
      </c>
      <c r="G733" s="1">
        <v>558.72</v>
      </c>
      <c r="H733" s="1" t="s">
        <v>354</v>
      </c>
    </row>
    <row r="734" spans="1:8" x14ac:dyDescent="0.35">
      <c r="A734" s="2">
        <v>45586.405555555553</v>
      </c>
      <c r="B734" s="3">
        <v>0.26185185185185184</v>
      </c>
      <c r="C734" s="1" t="s">
        <v>11</v>
      </c>
      <c r="D734" s="1" t="s">
        <v>12</v>
      </c>
      <c r="E734" s="1">
        <v>72.89</v>
      </c>
      <c r="F734" s="1">
        <v>3</v>
      </c>
      <c r="G734" s="1">
        <v>218.67</v>
      </c>
      <c r="H734" s="1" t="s">
        <v>257</v>
      </c>
    </row>
    <row r="735" spans="1:8" x14ac:dyDescent="0.35">
      <c r="A735" s="2">
        <v>45266.267361111109</v>
      </c>
      <c r="B735" s="3">
        <v>0.38593749999999999</v>
      </c>
      <c r="C735" s="1" t="s">
        <v>14</v>
      </c>
      <c r="D735" s="1" t="s">
        <v>27</v>
      </c>
      <c r="E735" s="1">
        <v>58.54</v>
      </c>
      <c r="F735" s="1">
        <v>1</v>
      </c>
      <c r="G735" s="1">
        <v>58.54</v>
      </c>
      <c r="H735" s="1" t="s">
        <v>355</v>
      </c>
    </row>
    <row r="736" spans="1:8" x14ac:dyDescent="0.35">
      <c r="A736" s="2">
        <v>45004.616666666669</v>
      </c>
      <c r="B736" s="3">
        <v>0.95806712962962959</v>
      </c>
      <c r="C736" s="1" t="s">
        <v>8</v>
      </c>
      <c r="D736" s="1" t="s">
        <v>16</v>
      </c>
      <c r="E736" s="1">
        <v>165.05</v>
      </c>
      <c r="F736" s="1">
        <v>2</v>
      </c>
      <c r="G736" s="1">
        <v>330.1</v>
      </c>
      <c r="H736" s="1" t="s">
        <v>192</v>
      </c>
    </row>
    <row r="737" spans="1:8" x14ac:dyDescent="0.35">
      <c r="A737" s="2">
        <v>45540.651388888888</v>
      </c>
      <c r="B737" s="3">
        <v>0.18033564814814815</v>
      </c>
      <c r="C737" s="1" t="s">
        <v>8</v>
      </c>
      <c r="D737" s="1" t="s">
        <v>12</v>
      </c>
      <c r="E737" s="1">
        <v>19.75</v>
      </c>
      <c r="F737" s="1">
        <v>2</v>
      </c>
      <c r="G737" s="1">
        <v>39.5</v>
      </c>
      <c r="H737" s="1" t="s">
        <v>128</v>
      </c>
    </row>
    <row r="738" spans="1:8" x14ac:dyDescent="0.35">
      <c r="A738" s="2">
        <v>44981.932638888888</v>
      </c>
      <c r="B738" s="3">
        <v>0.51472222222222219</v>
      </c>
      <c r="C738" s="1" t="s">
        <v>8</v>
      </c>
      <c r="D738" s="1" t="s">
        <v>9</v>
      </c>
      <c r="E738" s="1">
        <v>228.52</v>
      </c>
      <c r="F738" s="1">
        <v>3</v>
      </c>
      <c r="G738" s="1">
        <v>685.56</v>
      </c>
      <c r="H738" s="1" t="s">
        <v>118</v>
      </c>
    </row>
    <row r="739" spans="1:8" x14ac:dyDescent="0.35">
      <c r="A739" s="2">
        <v>45038.123611111114</v>
      </c>
      <c r="B739" s="3">
        <v>0.58077546296296301</v>
      </c>
      <c r="C739" s="1" t="s">
        <v>11</v>
      </c>
      <c r="D739" s="1" t="s">
        <v>20</v>
      </c>
      <c r="E739" s="1">
        <v>491.8</v>
      </c>
      <c r="F739" s="1">
        <v>5</v>
      </c>
      <c r="G739" s="1">
        <v>2459</v>
      </c>
      <c r="H739" s="1" t="s">
        <v>356</v>
      </c>
    </row>
    <row r="740" spans="1:8" x14ac:dyDescent="0.35">
      <c r="A740" s="2">
        <v>45261.949305555558</v>
      </c>
      <c r="B740" s="3">
        <v>0.29337962962962966</v>
      </c>
      <c r="C740" s="1" t="s">
        <v>14</v>
      </c>
      <c r="D740" s="1" t="s">
        <v>9</v>
      </c>
      <c r="E740" s="1">
        <v>116.61</v>
      </c>
      <c r="F740" s="1">
        <v>5</v>
      </c>
      <c r="G740" s="1">
        <v>583.04999999999995</v>
      </c>
      <c r="H740" s="1" t="s">
        <v>254</v>
      </c>
    </row>
    <row r="741" spans="1:8" x14ac:dyDescent="0.35">
      <c r="A741" s="2">
        <v>45119.027083333334</v>
      </c>
      <c r="B741" s="3">
        <v>0.4808796296296296</v>
      </c>
      <c r="C741" s="1" t="s">
        <v>11</v>
      </c>
      <c r="D741" s="1" t="s">
        <v>12</v>
      </c>
      <c r="E741" s="1">
        <v>216.06</v>
      </c>
      <c r="F741" s="1">
        <v>2</v>
      </c>
      <c r="G741" s="1">
        <v>432.12</v>
      </c>
      <c r="H741" s="1" t="s">
        <v>184</v>
      </c>
    </row>
    <row r="742" spans="1:8" x14ac:dyDescent="0.35">
      <c r="A742" s="2">
        <v>45425.574305555558</v>
      </c>
      <c r="B742" s="3">
        <v>0.23468750000000002</v>
      </c>
      <c r="C742" s="1" t="s">
        <v>8</v>
      </c>
      <c r="D742" s="1" t="s">
        <v>16</v>
      </c>
      <c r="E742" s="1">
        <v>313.99</v>
      </c>
      <c r="F742" s="1">
        <v>5</v>
      </c>
      <c r="G742" s="1">
        <v>1569.95</v>
      </c>
      <c r="H742" s="1" t="s">
        <v>111</v>
      </c>
    </row>
    <row r="743" spans="1:8" x14ac:dyDescent="0.35">
      <c r="A743" s="2">
        <v>44945.306944444441</v>
      </c>
      <c r="B743" s="3">
        <v>0.30981481481481482</v>
      </c>
      <c r="C743" s="1" t="s">
        <v>8</v>
      </c>
      <c r="D743" s="1" t="s">
        <v>27</v>
      </c>
      <c r="E743" s="1">
        <v>303.17</v>
      </c>
      <c r="F743" s="1">
        <v>1</v>
      </c>
      <c r="G743" s="1">
        <v>303.17</v>
      </c>
      <c r="H743" s="1" t="s">
        <v>139</v>
      </c>
    </row>
    <row r="744" spans="1:8" x14ac:dyDescent="0.35">
      <c r="A744" s="2">
        <v>45361.995138888888</v>
      </c>
      <c r="B744" s="3">
        <v>0.2895138888888889</v>
      </c>
      <c r="C744" s="1" t="s">
        <v>14</v>
      </c>
      <c r="D744" s="1" t="s">
        <v>12</v>
      </c>
      <c r="E744" s="1">
        <v>445.23</v>
      </c>
      <c r="F744" s="1">
        <v>5</v>
      </c>
      <c r="G744" s="1">
        <v>2226.15</v>
      </c>
      <c r="H744" s="1" t="s">
        <v>254</v>
      </c>
    </row>
    <row r="745" spans="1:8" x14ac:dyDescent="0.35">
      <c r="A745" s="2">
        <v>45594.383333333331</v>
      </c>
      <c r="B745" s="3">
        <v>0.29995370370370372</v>
      </c>
      <c r="C745" s="1" t="s">
        <v>14</v>
      </c>
      <c r="D745" s="1" t="s">
        <v>27</v>
      </c>
      <c r="E745" s="1">
        <v>485.66</v>
      </c>
      <c r="F745" s="1">
        <v>1</v>
      </c>
      <c r="G745" s="1">
        <v>485.66</v>
      </c>
      <c r="H745" s="1" t="s">
        <v>204</v>
      </c>
    </row>
    <row r="746" spans="1:8" x14ac:dyDescent="0.35">
      <c r="A746" s="2">
        <v>45644.156944444447</v>
      </c>
      <c r="B746" s="3">
        <v>0.96440972222222221</v>
      </c>
      <c r="C746" s="1" t="s">
        <v>14</v>
      </c>
      <c r="D746" s="1" t="s">
        <v>16</v>
      </c>
      <c r="E746" s="1">
        <v>307.27999999999997</v>
      </c>
      <c r="F746" s="1">
        <v>3</v>
      </c>
      <c r="G746" s="1">
        <v>921.84</v>
      </c>
      <c r="H746" s="1" t="s">
        <v>31</v>
      </c>
    </row>
    <row r="747" spans="1:8" x14ac:dyDescent="0.35">
      <c r="A747" s="2">
        <v>45603.852777777778</v>
      </c>
      <c r="B747" s="3">
        <v>0.6489583333333333</v>
      </c>
      <c r="C747" s="1" t="s">
        <v>8</v>
      </c>
      <c r="D747" s="1" t="s">
        <v>16</v>
      </c>
      <c r="E747" s="1">
        <v>315.58</v>
      </c>
      <c r="F747" s="1">
        <v>4</v>
      </c>
      <c r="G747" s="1">
        <v>1262.32</v>
      </c>
      <c r="H747" s="1" t="s">
        <v>357</v>
      </c>
    </row>
    <row r="748" spans="1:8" x14ac:dyDescent="0.35">
      <c r="A748" s="2">
        <v>45368.001388888886</v>
      </c>
      <c r="B748" s="3">
        <v>7.9143518518518516E-2</v>
      </c>
      <c r="C748" s="1" t="s">
        <v>14</v>
      </c>
      <c r="D748" s="1" t="s">
        <v>20</v>
      </c>
      <c r="E748" s="1">
        <v>328.62</v>
      </c>
      <c r="F748" s="1">
        <v>2</v>
      </c>
      <c r="G748" s="1">
        <v>657.24</v>
      </c>
      <c r="H748" s="1" t="s">
        <v>354</v>
      </c>
    </row>
    <row r="749" spans="1:8" x14ac:dyDescent="0.35">
      <c r="A749" s="2">
        <v>45553.668749999997</v>
      </c>
      <c r="B749" s="3">
        <v>0.61657407407407405</v>
      </c>
      <c r="C749" s="1" t="s">
        <v>14</v>
      </c>
      <c r="D749" s="1" t="s">
        <v>20</v>
      </c>
      <c r="E749" s="1">
        <v>229.94</v>
      </c>
      <c r="F749" s="1">
        <v>3</v>
      </c>
      <c r="G749" s="1">
        <v>689.82</v>
      </c>
      <c r="H749" s="1" t="s">
        <v>34</v>
      </c>
    </row>
    <row r="750" spans="1:8" x14ac:dyDescent="0.35">
      <c r="A750" s="2">
        <v>45215.401388888888</v>
      </c>
      <c r="B750" s="3">
        <v>0.53282407407407406</v>
      </c>
      <c r="C750" s="1" t="s">
        <v>14</v>
      </c>
      <c r="D750" s="1" t="s">
        <v>27</v>
      </c>
      <c r="E750" s="1">
        <v>404.95</v>
      </c>
      <c r="F750" s="1">
        <v>4</v>
      </c>
      <c r="G750" s="1">
        <v>1619.8</v>
      </c>
      <c r="H750" s="1" t="s">
        <v>103</v>
      </c>
    </row>
    <row r="751" spans="1:8" x14ac:dyDescent="0.35">
      <c r="A751" s="2">
        <v>45341.322222222225</v>
      </c>
      <c r="B751" s="3">
        <v>0.69840277777777782</v>
      </c>
      <c r="C751" s="1" t="s">
        <v>14</v>
      </c>
      <c r="D751" s="1" t="s">
        <v>27</v>
      </c>
      <c r="E751" s="1">
        <v>341.05</v>
      </c>
      <c r="F751" s="1">
        <v>5</v>
      </c>
      <c r="G751" s="1">
        <v>1705.25</v>
      </c>
      <c r="H751" s="1" t="s">
        <v>283</v>
      </c>
    </row>
    <row r="752" spans="1:8" x14ac:dyDescent="0.35">
      <c r="A752" s="2">
        <v>45058.718055555553</v>
      </c>
      <c r="B752" s="3">
        <v>0.13082175925925926</v>
      </c>
      <c r="C752" s="1" t="s">
        <v>8</v>
      </c>
      <c r="D752" s="1" t="s">
        <v>20</v>
      </c>
      <c r="E752" s="1">
        <v>53.49</v>
      </c>
      <c r="F752" s="1">
        <v>5</v>
      </c>
      <c r="G752" s="1">
        <v>267.45</v>
      </c>
      <c r="H752" s="1" t="s">
        <v>316</v>
      </c>
    </row>
    <row r="753" spans="1:8" x14ac:dyDescent="0.35">
      <c r="A753" s="2">
        <v>45273.495138888888</v>
      </c>
      <c r="B753" s="3">
        <v>0.1404050925925926</v>
      </c>
      <c r="C753" s="1" t="s">
        <v>8</v>
      </c>
      <c r="D753" s="1" t="s">
        <v>9</v>
      </c>
      <c r="E753" s="1">
        <v>13.15</v>
      </c>
      <c r="F753" s="1">
        <v>5</v>
      </c>
      <c r="G753" s="1">
        <v>65.75</v>
      </c>
      <c r="H753" s="1" t="s">
        <v>169</v>
      </c>
    </row>
    <row r="754" spans="1:8" x14ac:dyDescent="0.35">
      <c r="A754" s="2">
        <v>45248.356249999997</v>
      </c>
      <c r="B754" s="3">
        <v>0.3278935185185185</v>
      </c>
      <c r="C754" s="1" t="s">
        <v>11</v>
      </c>
      <c r="D754" s="1" t="s">
        <v>20</v>
      </c>
      <c r="E754" s="1">
        <v>21.05</v>
      </c>
      <c r="F754" s="1">
        <v>5</v>
      </c>
      <c r="G754" s="1">
        <v>105.25</v>
      </c>
      <c r="H754" s="1" t="s">
        <v>143</v>
      </c>
    </row>
    <row r="755" spans="1:8" x14ac:dyDescent="0.35">
      <c r="A755" s="2">
        <v>45576.576388888891</v>
      </c>
      <c r="B755" s="3">
        <v>0.89181712962962967</v>
      </c>
      <c r="C755" s="1" t="s">
        <v>8</v>
      </c>
      <c r="D755" s="1" t="s">
        <v>9</v>
      </c>
      <c r="E755" s="1">
        <v>222.55</v>
      </c>
      <c r="F755" s="1">
        <v>5</v>
      </c>
      <c r="G755" s="1">
        <v>1112.75</v>
      </c>
      <c r="H755" s="1" t="s">
        <v>186</v>
      </c>
    </row>
    <row r="756" spans="1:8" x14ac:dyDescent="0.35">
      <c r="A756" s="2">
        <v>45414.955555555556</v>
      </c>
      <c r="B756" s="3">
        <v>0.67104166666666665</v>
      </c>
      <c r="C756" s="1" t="s">
        <v>8</v>
      </c>
      <c r="D756" s="1" t="s">
        <v>12</v>
      </c>
      <c r="E756" s="1">
        <v>237.35</v>
      </c>
      <c r="F756" s="1">
        <v>3</v>
      </c>
      <c r="G756" s="1">
        <v>712.05</v>
      </c>
      <c r="H756" s="1" t="s">
        <v>358</v>
      </c>
    </row>
    <row r="757" spans="1:8" x14ac:dyDescent="0.35">
      <c r="A757" s="2">
        <v>45288.147222222222</v>
      </c>
      <c r="B757" s="3">
        <v>0.18238425925925927</v>
      </c>
      <c r="C757" s="1" t="s">
        <v>8</v>
      </c>
      <c r="D757" s="1" t="s">
        <v>27</v>
      </c>
      <c r="E757" s="1">
        <v>191.68</v>
      </c>
      <c r="F757" s="1">
        <v>3</v>
      </c>
      <c r="G757" s="1">
        <v>575.04</v>
      </c>
      <c r="H757" s="1" t="s">
        <v>314</v>
      </c>
    </row>
    <row r="758" spans="1:8" x14ac:dyDescent="0.35">
      <c r="A758" s="2">
        <v>45586.338888888888</v>
      </c>
      <c r="B758" s="3">
        <v>0.55136574074074074</v>
      </c>
      <c r="C758" s="1" t="s">
        <v>14</v>
      </c>
      <c r="D758" s="1" t="s">
        <v>27</v>
      </c>
      <c r="E758" s="1">
        <v>285.05</v>
      </c>
      <c r="F758" s="1">
        <v>1</v>
      </c>
      <c r="G758" s="1">
        <v>285.05</v>
      </c>
      <c r="H758" s="1" t="s">
        <v>303</v>
      </c>
    </row>
    <row r="759" spans="1:8" x14ac:dyDescent="0.35">
      <c r="A759" s="2">
        <v>45381.811805555553</v>
      </c>
      <c r="B759" s="3">
        <v>0.15792824074074074</v>
      </c>
      <c r="C759" s="1" t="s">
        <v>11</v>
      </c>
      <c r="D759" s="1" t="s">
        <v>12</v>
      </c>
      <c r="E759" s="1">
        <v>245.42</v>
      </c>
      <c r="F759" s="1">
        <v>3</v>
      </c>
      <c r="G759" s="1">
        <v>736.26</v>
      </c>
      <c r="H759" s="1" t="s">
        <v>359</v>
      </c>
    </row>
    <row r="760" spans="1:8" x14ac:dyDescent="0.35">
      <c r="A760" s="2">
        <v>45287.835416666669</v>
      </c>
      <c r="B760" s="3">
        <v>0.93907407407407406</v>
      </c>
      <c r="C760" s="1" t="s">
        <v>11</v>
      </c>
      <c r="D760" s="1" t="s">
        <v>20</v>
      </c>
      <c r="E760" s="1">
        <v>94.6</v>
      </c>
      <c r="F760" s="1">
        <v>3</v>
      </c>
      <c r="G760" s="1">
        <v>283.8</v>
      </c>
      <c r="H760" s="1" t="s">
        <v>92</v>
      </c>
    </row>
    <row r="761" spans="1:8" x14ac:dyDescent="0.35">
      <c r="A761" s="2">
        <v>44954.543055555558</v>
      </c>
      <c r="B761" s="3">
        <v>0.6381944444444444</v>
      </c>
      <c r="C761" s="1" t="s">
        <v>14</v>
      </c>
      <c r="D761" s="1" t="s">
        <v>9</v>
      </c>
      <c r="E761" s="1">
        <v>380.85</v>
      </c>
      <c r="F761" s="1">
        <v>3</v>
      </c>
      <c r="G761" s="1">
        <v>1142.55</v>
      </c>
      <c r="H761" s="1" t="s">
        <v>360</v>
      </c>
    </row>
    <row r="762" spans="1:8" x14ac:dyDescent="0.35">
      <c r="A762" s="2">
        <v>44993.415972222225</v>
      </c>
      <c r="B762" s="3">
        <v>0.80159722222222218</v>
      </c>
      <c r="C762" s="1" t="s">
        <v>11</v>
      </c>
      <c r="D762" s="1" t="s">
        <v>27</v>
      </c>
      <c r="E762" s="1">
        <v>183.57</v>
      </c>
      <c r="F762" s="1">
        <v>4</v>
      </c>
      <c r="G762" s="1">
        <v>734.28</v>
      </c>
      <c r="H762" s="1" t="s">
        <v>168</v>
      </c>
    </row>
    <row r="763" spans="1:8" x14ac:dyDescent="0.35">
      <c r="A763" s="2">
        <v>45385.675694444442</v>
      </c>
      <c r="B763" s="3">
        <v>6.2754629629629632E-2</v>
      </c>
      <c r="C763" s="1" t="s">
        <v>11</v>
      </c>
      <c r="D763" s="1" t="s">
        <v>27</v>
      </c>
      <c r="E763" s="1">
        <v>466.88</v>
      </c>
      <c r="F763" s="1">
        <v>5</v>
      </c>
      <c r="G763" s="1">
        <v>2334.4</v>
      </c>
      <c r="H763" s="1" t="s">
        <v>216</v>
      </c>
    </row>
    <row r="764" spans="1:8" x14ac:dyDescent="0.35">
      <c r="A764" s="2">
        <v>45595.588194444441</v>
      </c>
      <c r="B764" s="3">
        <v>1.6932870370370369E-2</v>
      </c>
      <c r="C764" s="1" t="s">
        <v>11</v>
      </c>
      <c r="D764" s="1" t="s">
        <v>27</v>
      </c>
      <c r="E764" s="1">
        <v>241.3</v>
      </c>
      <c r="F764" s="1">
        <v>3</v>
      </c>
      <c r="G764" s="1">
        <v>723.9</v>
      </c>
      <c r="H764" s="1" t="s">
        <v>132</v>
      </c>
    </row>
    <row r="765" spans="1:8" x14ac:dyDescent="0.35">
      <c r="A765" s="2">
        <v>45189.55972222222</v>
      </c>
      <c r="B765" s="3">
        <v>0.36212962962962963</v>
      </c>
      <c r="C765" s="1" t="s">
        <v>8</v>
      </c>
      <c r="D765" s="1" t="s">
        <v>12</v>
      </c>
      <c r="E765" s="1">
        <v>374.38</v>
      </c>
      <c r="F765" s="1">
        <v>2</v>
      </c>
      <c r="G765" s="1">
        <v>748.76</v>
      </c>
      <c r="H765" s="1" t="s">
        <v>208</v>
      </c>
    </row>
    <row r="766" spans="1:8" x14ac:dyDescent="0.35">
      <c r="A766" s="2">
        <v>45213.404861111114</v>
      </c>
      <c r="B766" s="3">
        <v>0.95734953703703696</v>
      </c>
      <c r="C766" s="1" t="s">
        <v>14</v>
      </c>
      <c r="D766" s="1" t="s">
        <v>20</v>
      </c>
      <c r="E766" s="1">
        <v>444.15</v>
      </c>
      <c r="F766" s="1">
        <v>1</v>
      </c>
      <c r="G766" s="1">
        <v>444.15</v>
      </c>
      <c r="H766" s="1" t="s">
        <v>255</v>
      </c>
    </row>
    <row r="767" spans="1:8" x14ac:dyDescent="0.35">
      <c r="A767" s="2">
        <v>45309.302777777775</v>
      </c>
      <c r="B767" s="3">
        <v>0.44692129629629629</v>
      </c>
      <c r="C767" s="1" t="s">
        <v>14</v>
      </c>
      <c r="D767" s="1" t="s">
        <v>27</v>
      </c>
      <c r="E767" s="1">
        <v>72.27</v>
      </c>
      <c r="F767" s="1">
        <v>4</v>
      </c>
      <c r="G767" s="1">
        <v>289.08</v>
      </c>
      <c r="H767" s="1" t="s">
        <v>250</v>
      </c>
    </row>
    <row r="768" spans="1:8" x14ac:dyDescent="0.35">
      <c r="A768" s="2">
        <v>45634.853472222225</v>
      </c>
      <c r="B768" s="3">
        <v>0.23115740740740742</v>
      </c>
      <c r="C768" s="1" t="s">
        <v>8</v>
      </c>
      <c r="D768" s="1" t="s">
        <v>12</v>
      </c>
      <c r="E768" s="1">
        <v>69.7</v>
      </c>
      <c r="F768" s="1">
        <v>5</v>
      </c>
      <c r="G768" s="1">
        <v>348.5</v>
      </c>
      <c r="H768" s="1" t="s">
        <v>273</v>
      </c>
    </row>
    <row r="769" spans="1:8" x14ac:dyDescent="0.35">
      <c r="A769" s="2">
        <v>45082.606249999997</v>
      </c>
      <c r="B769" s="3">
        <v>0.28394675925925927</v>
      </c>
      <c r="C769" s="1" t="s">
        <v>8</v>
      </c>
      <c r="D769" s="1" t="s">
        <v>16</v>
      </c>
      <c r="E769" s="1">
        <v>334.63</v>
      </c>
      <c r="F769" s="1">
        <v>5</v>
      </c>
      <c r="G769" s="1">
        <v>1673.15</v>
      </c>
      <c r="H769" s="1" t="s">
        <v>129</v>
      </c>
    </row>
    <row r="770" spans="1:8" x14ac:dyDescent="0.35">
      <c r="A770" s="2">
        <v>45411.163194444445</v>
      </c>
      <c r="B770" s="3">
        <v>0.92431712962962964</v>
      </c>
      <c r="C770" s="1" t="s">
        <v>8</v>
      </c>
      <c r="D770" s="1" t="s">
        <v>20</v>
      </c>
      <c r="E770" s="1">
        <v>430.95</v>
      </c>
      <c r="F770" s="1">
        <v>1</v>
      </c>
      <c r="G770" s="1">
        <v>430.95</v>
      </c>
      <c r="H770" s="1" t="s">
        <v>68</v>
      </c>
    </row>
    <row r="771" spans="1:8" x14ac:dyDescent="0.35">
      <c r="A771" s="2">
        <v>45535.570138888892</v>
      </c>
      <c r="B771" s="3">
        <v>0.34332175925925923</v>
      </c>
      <c r="C771" s="1" t="s">
        <v>8</v>
      </c>
      <c r="D771" s="1" t="s">
        <v>20</v>
      </c>
      <c r="E771" s="1">
        <v>255.81</v>
      </c>
      <c r="F771" s="1">
        <v>5</v>
      </c>
      <c r="G771" s="1">
        <v>1279.05</v>
      </c>
      <c r="H771" s="1" t="s">
        <v>361</v>
      </c>
    </row>
    <row r="772" spans="1:8" x14ac:dyDescent="0.35">
      <c r="A772" s="2">
        <v>45543.681250000001</v>
      </c>
      <c r="B772" s="3">
        <v>0.98136574074074068</v>
      </c>
      <c r="C772" s="1" t="s">
        <v>8</v>
      </c>
      <c r="D772" s="1" t="s">
        <v>27</v>
      </c>
      <c r="E772" s="1">
        <v>167.66</v>
      </c>
      <c r="F772" s="1">
        <v>3</v>
      </c>
      <c r="G772" s="1">
        <v>502.98</v>
      </c>
      <c r="H772" s="1" t="s">
        <v>53</v>
      </c>
    </row>
    <row r="773" spans="1:8" x14ac:dyDescent="0.35">
      <c r="A773" s="2">
        <v>45192.368750000001</v>
      </c>
      <c r="B773" s="3">
        <v>0.27228009259259262</v>
      </c>
      <c r="C773" s="1" t="s">
        <v>14</v>
      </c>
      <c r="D773" s="1" t="s">
        <v>9</v>
      </c>
      <c r="E773" s="1">
        <v>61.98</v>
      </c>
      <c r="F773" s="1">
        <v>5</v>
      </c>
      <c r="G773" s="1">
        <v>309.89999999999998</v>
      </c>
      <c r="H773" s="1" t="s">
        <v>243</v>
      </c>
    </row>
    <row r="774" spans="1:8" x14ac:dyDescent="0.35">
      <c r="A774" s="2">
        <v>45182.411805555559</v>
      </c>
      <c r="B774" s="3">
        <v>0.92657407407407411</v>
      </c>
      <c r="C774" s="1" t="s">
        <v>11</v>
      </c>
      <c r="D774" s="1" t="s">
        <v>12</v>
      </c>
      <c r="E774" s="1">
        <v>458.97</v>
      </c>
      <c r="F774" s="1">
        <v>1</v>
      </c>
      <c r="G774" s="1">
        <v>458.97</v>
      </c>
      <c r="H774" s="1" t="s">
        <v>49</v>
      </c>
    </row>
    <row r="775" spans="1:8" x14ac:dyDescent="0.35">
      <c r="A775" s="2">
        <v>45129.773611111108</v>
      </c>
      <c r="B775" s="3">
        <v>0.89776620370370364</v>
      </c>
      <c r="C775" s="1" t="s">
        <v>8</v>
      </c>
      <c r="D775" s="1" t="s">
        <v>9</v>
      </c>
      <c r="E775" s="1">
        <v>499.47</v>
      </c>
      <c r="F775" s="1">
        <v>1</v>
      </c>
      <c r="G775" s="1">
        <v>499.47</v>
      </c>
      <c r="H775" s="1" t="s">
        <v>270</v>
      </c>
    </row>
    <row r="776" spans="1:8" x14ac:dyDescent="0.35">
      <c r="A776" s="2">
        <v>45257.293749999997</v>
      </c>
      <c r="B776" s="3">
        <v>0.3351851851851852</v>
      </c>
      <c r="C776" s="1" t="s">
        <v>8</v>
      </c>
      <c r="D776" s="1" t="s">
        <v>27</v>
      </c>
      <c r="E776" s="1">
        <v>161.97</v>
      </c>
      <c r="F776" s="1">
        <v>4</v>
      </c>
      <c r="G776" s="1">
        <v>647.88</v>
      </c>
      <c r="H776" s="1" t="s">
        <v>261</v>
      </c>
    </row>
    <row r="777" spans="1:8" x14ac:dyDescent="0.35">
      <c r="A777" s="2">
        <v>45497.438888888886</v>
      </c>
      <c r="B777" s="3">
        <v>0.86914351851851857</v>
      </c>
      <c r="C777" s="1" t="s">
        <v>11</v>
      </c>
      <c r="D777" s="1" t="s">
        <v>16</v>
      </c>
      <c r="E777" s="1">
        <v>459.6</v>
      </c>
      <c r="F777" s="1">
        <v>5</v>
      </c>
      <c r="G777" s="1">
        <v>2298</v>
      </c>
      <c r="H777" s="1" t="s">
        <v>337</v>
      </c>
    </row>
    <row r="778" spans="1:8" x14ac:dyDescent="0.35">
      <c r="A778" s="2">
        <v>45318.021527777775</v>
      </c>
      <c r="B778" s="3">
        <v>0.61245370370370367</v>
      </c>
      <c r="C778" s="1" t="s">
        <v>14</v>
      </c>
      <c r="D778" s="1" t="s">
        <v>27</v>
      </c>
      <c r="E778" s="1">
        <v>14.42</v>
      </c>
      <c r="F778" s="1">
        <v>2</v>
      </c>
      <c r="G778" s="1">
        <v>28.84</v>
      </c>
      <c r="H778" s="1" t="s">
        <v>250</v>
      </c>
    </row>
    <row r="779" spans="1:8" x14ac:dyDescent="0.35">
      <c r="A779" s="2">
        <v>45303.279861111114</v>
      </c>
      <c r="B779" s="3">
        <v>0.68185185185185182</v>
      </c>
      <c r="C779" s="1" t="s">
        <v>11</v>
      </c>
      <c r="D779" s="1" t="s">
        <v>16</v>
      </c>
      <c r="E779" s="1">
        <v>215.99</v>
      </c>
      <c r="F779" s="1">
        <v>2</v>
      </c>
      <c r="G779" s="1">
        <v>431.98</v>
      </c>
      <c r="H779" s="1" t="s">
        <v>305</v>
      </c>
    </row>
    <row r="780" spans="1:8" x14ac:dyDescent="0.35">
      <c r="A780" s="2">
        <v>45389.574999999997</v>
      </c>
      <c r="B780" s="3">
        <v>0.75373842592592588</v>
      </c>
      <c r="C780" s="1" t="s">
        <v>8</v>
      </c>
      <c r="D780" s="1" t="s">
        <v>12</v>
      </c>
      <c r="E780" s="1">
        <v>164.07</v>
      </c>
      <c r="F780" s="1">
        <v>3</v>
      </c>
      <c r="G780" s="1">
        <v>492.21</v>
      </c>
      <c r="H780" s="1" t="s">
        <v>67</v>
      </c>
    </row>
    <row r="781" spans="1:8" x14ac:dyDescent="0.35">
      <c r="A781" s="2">
        <v>45143.667361111111</v>
      </c>
      <c r="B781" s="3">
        <v>0.56983796296296296</v>
      </c>
      <c r="C781" s="1" t="s">
        <v>11</v>
      </c>
      <c r="D781" s="1" t="s">
        <v>27</v>
      </c>
      <c r="E781" s="1">
        <v>338.16</v>
      </c>
      <c r="F781" s="1">
        <v>1</v>
      </c>
      <c r="G781" s="1">
        <v>338.16</v>
      </c>
      <c r="H781" s="1" t="s">
        <v>102</v>
      </c>
    </row>
    <row r="782" spans="1:8" x14ac:dyDescent="0.35">
      <c r="A782" s="2">
        <v>45147.96597222222</v>
      </c>
      <c r="B782" s="3">
        <v>0.16300925925925927</v>
      </c>
      <c r="C782" s="1" t="s">
        <v>14</v>
      </c>
      <c r="D782" s="1" t="s">
        <v>12</v>
      </c>
      <c r="E782" s="1">
        <v>315.38</v>
      </c>
      <c r="F782" s="1">
        <v>2</v>
      </c>
      <c r="G782" s="1">
        <v>630.76</v>
      </c>
      <c r="H782" s="1" t="s">
        <v>224</v>
      </c>
    </row>
    <row r="783" spans="1:8" x14ac:dyDescent="0.35">
      <c r="A783" s="2">
        <v>45291.029861111114</v>
      </c>
      <c r="B783" s="3">
        <v>0.40751157407407407</v>
      </c>
      <c r="C783" s="1" t="s">
        <v>11</v>
      </c>
      <c r="D783" s="1" t="s">
        <v>27</v>
      </c>
      <c r="E783" s="1">
        <v>318.8</v>
      </c>
      <c r="F783" s="1">
        <v>1</v>
      </c>
      <c r="G783" s="1">
        <v>318.8</v>
      </c>
      <c r="H783" s="1" t="s">
        <v>362</v>
      </c>
    </row>
    <row r="784" spans="1:8" x14ac:dyDescent="0.35">
      <c r="A784" s="2">
        <v>45582.659722222219</v>
      </c>
      <c r="B784" s="3">
        <v>3.3136574074074075E-2</v>
      </c>
      <c r="C784" s="1" t="s">
        <v>11</v>
      </c>
      <c r="D784" s="1" t="s">
        <v>27</v>
      </c>
      <c r="E784" s="1">
        <v>325.87</v>
      </c>
      <c r="F784" s="1">
        <v>3</v>
      </c>
      <c r="G784" s="1">
        <v>977.61</v>
      </c>
      <c r="H784" s="1" t="s">
        <v>105</v>
      </c>
    </row>
    <row r="785" spans="1:8" x14ac:dyDescent="0.35">
      <c r="A785" s="2">
        <v>45664.065972222219</v>
      </c>
      <c r="B785" s="3">
        <v>0.47736111111111112</v>
      </c>
      <c r="C785" s="1" t="s">
        <v>14</v>
      </c>
      <c r="D785" s="1" t="s">
        <v>20</v>
      </c>
      <c r="E785" s="1">
        <v>319.22000000000003</v>
      </c>
      <c r="F785" s="1">
        <v>4</v>
      </c>
      <c r="G785" s="1">
        <v>1276.8800000000001</v>
      </c>
      <c r="H785" s="1" t="s">
        <v>270</v>
      </c>
    </row>
    <row r="786" spans="1:8" x14ac:dyDescent="0.35">
      <c r="A786" s="2">
        <v>45416.54583333333</v>
      </c>
      <c r="B786" s="3">
        <v>0.99980324074074067</v>
      </c>
      <c r="C786" s="1" t="s">
        <v>14</v>
      </c>
      <c r="D786" s="1" t="s">
        <v>27</v>
      </c>
      <c r="E786" s="1">
        <v>213.62</v>
      </c>
      <c r="F786" s="1">
        <v>4</v>
      </c>
      <c r="G786" s="1">
        <v>854.48</v>
      </c>
      <c r="H786" s="1" t="s">
        <v>62</v>
      </c>
    </row>
    <row r="787" spans="1:8" x14ac:dyDescent="0.35">
      <c r="A787" s="2">
        <v>45239.925000000003</v>
      </c>
      <c r="B787" s="3">
        <v>0.20774305555555558</v>
      </c>
      <c r="C787" s="1" t="s">
        <v>11</v>
      </c>
      <c r="D787" s="1" t="s">
        <v>16</v>
      </c>
      <c r="E787" s="1">
        <v>495.19</v>
      </c>
      <c r="F787" s="1">
        <v>4</v>
      </c>
      <c r="G787" s="1">
        <v>1980.76</v>
      </c>
      <c r="H787" s="1" t="s">
        <v>342</v>
      </c>
    </row>
    <row r="788" spans="1:8" x14ac:dyDescent="0.35">
      <c r="A788" s="2">
        <v>45426.236111111109</v>
      </c>
      <c r="B788" s="3">
        <v>0.66327546296296302</v>
      </c>
      <c r="C788" s="1" t="s">
        <v>14</v>
      </c>
      <c r="D788" s="1" t="s">
        <v>16</v>
      </c>
      <c r="E788" s="1">
        <v>49.72</v>
      </c>
      <c r="F788" s="1">
        <v>5</v>
      </c>
      <c r="G788" s="1">
        <v>248.6</v>
      </c>
      <c r="H788" s="1" t="s">
        <v>289</v>
      </c>
    </row>
    <row r="789" spans="1:8" x14ac:dyDescent="0.35">
      <c r="A789" s="2">
        <v>44941.395833333336</v>
      </c>
      <c r="B789" s="3">
        <v>0.66037037037037039</v>
      </c>
      <c r="C789" s="1" t="s">
        <v>14</v>
      </c>
      <c r="D789" s="1" t="s">
        <v>20</v>
      </c>
      <c r="E789" s="1">
        <v>473.01</v>
      </c>
      <c r="F789" s="1">
        <v>4</v>
      </c>
      <c r="G789" s="1">
        <v>1892.04</v>
      </c>
      <c r="H789" s="1" t="s">
        <v>254</v>
      </c>
    </row>
    <row r="790" spans="1:8" x14ac:dyDescent="0.35">
      <c r="A790" s="2">
        <v>45040.870833333334</v>
      </c>
      <c r="B790" s="3">
        <v>0.41357638888888887</v>
      </c>
      <c r="C790" s="1" t="s">
        <v>11</v>
      </c>
      <c r="D790" s="1" t="s">
        <v>27</v>
      </c>
      <c r="E790" s="1">
        <v>379.26</v>
      </c>
      <c r="F790" s="1">
        <v>5</v>
      </c>
      <c r="G790" s="1">
        <v>1896.3</v>
      </c>
      <c r="H790" s="1" t="s">
        <v>158</v>
      </c>
    </row>
    <row r="791" spans="1:8" x14ac:dyDescent="0.35">
      <c r="A791" s="2">
        <v>45090.881249999999</v>
      </c>
      <c r="B791" s="3">
        <v>0.20372685185185188</v>
      </c>
      <c r="C791" s="1" t="s">
        <v>14</v>
      </c>
      <c r="D791" s="1" t="s">
        <v>12</v>
      </c>
      <c r="E791" s="1">
        <v>300.25</v>
      </c>
      <c r="F791" s="1">
        <v>1</v>
      </c>
      <c r="G791" s="1">
        <v>300.25</v>
      </c>
      <c r="H791" s="1" t="s">
        <v>167</v>
      </c>
    </row>
    <row r="792" spans="1:8" x14ac:dyDescent="0.35">
      <c r="A792" s="2">
        <v>45064.477083333331</v>
      </c>
      <c r="B792" s="3">
        <v>0.4370486111111111</v>
      </c>
      <c r="C792" s="1" t="s">
        <v>14</v>
      </c>
      <c r="D792" s="1" t="s">
        <v>16</v>
      </c>
      <c r="E792" s="1">
        <v>494.55</v>
      </c>
      <c r="F792" s="1">
        <v>2</v>
      </c>
      <c r="G792" s="1">
        <v>989.1</v>
      </c>
      <c r="H792" s="1" t="s">
        <v>234</v>
      </c>
    </row>
    <row r="793" spans="1:8" x14ac:dyDescent="0.35">
      <c r="A793" s="2">
        <v>44978.489583333336</v>
      </c>
      <c r="B793" s="3">
        <v>0.20196759259259259</v>
      </c>
      <c r="C793" s="1" t="s">
        <v>8</v>
      </c>
      <c r="D793" s="1" t="s">
        <v>9</v>
      </c>
      <c r="E793" s="1">
        <v>477.3</v>
      </c>
      <c r="F793" s="1">
        <v>3</v>
      </c>
      <c r="G793" s="1">
        <v>1431.9</v>
      </c>
      <c r="H793" s="1" t="s">
        <v>226</v>
      </c>
    </row>
    <row r="794" spans="1:8" x14ac:dyDescent="0.35">
      <c r="A794" s="2">
        <v>45561.836805555555</v>
      </c>
      <c r="B794" s="3">
        <v>0.62207175925925928</v>
      </c>
      <c r="C794" s="1" t="s">
        <v>8</v>
      </c>
      <c r="D794" s="1" t="s">
        <v>27</v>
      </c>
      <c r="E794" s="1">
        <v>342.78</v>
      </c>
      <c r="F794" s="1">
        <v>2</v>
      </c>
      <c r="G794" s="1">
        <v>685.56</v>
      </c>
      <c r="H794" s="1" t="s">
        <v>49</v>
      </c>
    </row>
    <row r="795" spans="1:8" x14ac:dyDescent="0.35">
      <c r="A795" s="2">
        <v>45412.284722222219</v>
      </c>
      <c r="B795" s="3">
        <v>0.52630787037037041</v>
      </c>
      <c r="C795" s="1" t="s">
        <v>14</v>
      </c>
      <c r="D795" s="1" t="s">
        <v>9</v>
      </c>
      <c r="E795" s="1">
        <v>487.94</v>
      </c>
      <c r="F795" s="1">
        <v>5</v>
      </c>
      <c r="G795" s="1">
        <v>2439.6999999999998</v>
      </c>
      <c r="H795" s="1" t="s">
        <v>363</v>
      </c>
    </row>
    <row r="796" spans="1:8" x14ac:dyDescent="0.35">
      <c r="A796" s="2">
        <v>45209.336805555555</v>
      </c>
      <c r="B796" s="3">
        <v>0.6424305555555555</v>
      </c>
      <c r="C796" s="1" t="s">
        <v>11</v>
      </c>
      <c r="D796" s="1" t="s">
        <v>27</v>
      </c>
      <c r="E796" s="1">
        <v>48.32</v>
      </c>
      <c r="F796" s="1">
        <v>2</v>
      </c>
      <c r="G796" s="1">
        <v>96.64</v>
      </c>
      <c r="H796" s="1" t="s">
        <v>91</v>
      </c>
    </row>
    <row r="797" spans="1:8" x14ac:dyDescent="0.35">
      <c r="A797" s="2">
        <v>45373.936111111114</v>
      </c>
      <c r="B797" s="3">
        <v>0.19576388888888888</v>
      </c>
      <c r="C797" s="1" t="s">
        <v>11</v>
      </c>
      <c r="D797" s="1" t="s">
        <v>12</v>
      </c>
      <c r="E797" s="1">
        <v>343.57</v>
      </c>
      <c r="F797" s="1">
        <v>1</v>
      </c>
      <c r="G797" s="1">
        <v>343.57</v>
      </c>
      <c r="H797" s="1" t="s">
        <v>211</v>
      </c>
    </row>
    <row r="798" spans="1:8" x14ac:dyDescent="0.35">
      <c r="A798" s="2">
        <v>45015.547222222223</v>
      </c>
      <c r="B798" s="3">
        <v>0.16387731481481482</v>
      </c>
      <c r="C798" s="1" t="s">
        <v>8</v>
      </c>
      <c r="D798" s="1" t="s">
        <v>9</v>
      </c>
      <c r="E798" s="1">
        <v>288.99</v>
      </c>
      <c r="F798" s="1">
        <v>3</v>
      </c>
      <c r="G798" s="1">
        <v>866.97</v>
      </c>
      <c r="H798" s="1" t="s">
        <v>85</v>
      </c>
    </row>
    <row r="799" spans="1:8" x14ac:dyDescent="0.35">
      <c r="A799" s="2">
        <v>45610.902777777781</v>
      </c>
      <c r="B799" s="3">
        <v>0.28452546296296294</v>
      </c>
      <c r="C799" s="1" t="s">
        <v>14</v>
      </c>
      <c r="D799" s="1" t="s">
        <v>9</v>
      </c>
      <c r="E799" s="1">
        <v>73.95</v>
      </c>
      <c r="F799" s="1">
        <v>4</v>
      </c>
      <c r="G799" s="1">
        <v>295.8</v>
      </c>
      <c r="H799" s="1" t="s">
        <v>225</v>
      </c>
    </row>
    <row r="800" spans="1:8" x14ac:dyDescent="0.35">
      <c r="A800" s="2">
        <v>44960.040277777778</v>
      </c>
      <c r="B800" s="3">
        <v>0.15922453703703704</v>
      </c>
      <c r="C800" s="1" t="s">
        <v>11</v>
      </c>
      <c r="D800" s="1" t="s">
        <v>27</v>
      </c>
      <c r="E800" s="1">
        <v>242.78</v>
      </c>
      <c r="F800" s="1">
        <v>2</v>
      </c>
      <c r="G800" s="1">
        <v>485.56</v>
      </c>
      <c r="H800" s="1" t="s">
        <v>247</v>
      </c>
    </row>
    <row r="801" spans="1:8" x14ac:dyDescent="0.35">
      <c r="A801" s="2">
        <v>45174.491666666669</v>
      </c>
      <c r="B801" s="3">
        <v>5.6527777777777781E-2</v>
      </c>
      <c r="C801" s="1" t="s">
        <v>8</v>
      </c>
      <c r="D801" s="1" t="s">
        <v>12</v>
      </c>
      <c r="E801" s="1">
        <v>426.37</v>
      </c>
      <c r="F801" s="1">
        <v>5</v>
      </c>
      <c r="G801" s="1">
        <v>2131.85</v>
      </c>
      <c r="H801" s="1" t="s">
        <v>106</v>
      </c>
    </row>
    <row r="802" spans="1:8" x14ac:dyDescent="0.35">
      <c r="A802" s="2">
        <v>45399.655555555553</v>
      </c>
      <c r="B802" s="3">
        <v>0.39890046296296294</v>
      </c>
      <c r="C802" s="1" t="s">
        <v>8</v>
      </c>
      <c r="D802" s="1" t="s">
        <v>12</v>
      </c>
      <c r="E802" s="1">
        <v>233.07</v>
      </c>
      <c r="F802" s="1">
        <v>3</v>
      </c>
      <c r="G802" s="1">
        <v>699.21</v>
      </c>
      <c r="H802" s="1" t="s">
        <v>46</v>
      </c>
    </row>
    <row r="803" spans="1:8" x14ac:dyDescent="0.35">
      <c r="A803" s="2">
        <v>44970.804166666669</v>
      </c>
      <c r="B803" s="3">
        <v>9.3993055555555552E-2</v>
      </c>
      <c r="C803" s="1" t="s">
        <v>14</v>
      </c>
      <c r="D803" s="1" t="s">
        <v>27</v>
      </c>
      <c r="E803" s="1">
        <v>123.83</v>
      </c>
      <c r="F803" s="1">
        <v>5</v>
      </c>
      <c r="G803" s="1">
        <v>619.15</v>
      </c>
      <c r="H803" s="1" t="s">
        <v>364</v>
      </c>
    </row>
    <row r="804" spans="1:8" x14ac:dyDescent="0.35">
      <c r="A804" s="2">
        <v>45112.467361111114</v>
      </c>
      <c r="B804" s="3">
        <v>0.58234953703703707</v>
      </c>
      <c r="C804" s="1" t="s">
        <v>8</v>
      </c>
      <c r="D804" s="1" t="s">
        <v>9</v>
      </c>
      <c r="E804" s="1">
        <v>361.65</v>
      </c>
      <c r="F804" s="1">
        <v>3</v>
      </c>
      <c r="G804" s="1">
        <v>1084.95</v>
      </c>
      <c r="H804" s="1" t="s">
        <v>195</v>
      </c>
    </row>
    <row r="805" spans="1:8" x14ac:dyDescent="0.35">
      <c r="A805" s="2">
        <v>45583.583333333336</v>
      </c>
      <c r="B805" s="3">
        <v>0.66180555555555554</v>
      </c>
      <c r="C805" s="1" t="s">
        <v>8</v>
      </c>
      <c r="D805" s="1" t="s">
        <v>20</v>
      </c>
      <c r="E805" s="1">
        <v>253.75</v>
      </c>
      <c r="F805" s="1">
        <v>5</v>
      </c>
      <c r="G805" s="1">
        <v>1268.75</v>
      </c>
      <c r="H805" s="1" t="s">
        <v>315</v>
      </c>
    </row>
    <row r="806" spans="1:8" x14ac:dyDescent="0.35">
      <c r="A806" s="2">
        <v>45201.53125</v>
      </c>
      <c r="B806" s="3">
        <v>0.47814814814814816</v>
      </c>
      <c r="C806" s="1" t="s">
        <v>11</v>
      </c>
      <c r="D806" s="1" t="s">
        <v>12</v>
      </c>
      <c r="E806" s="1">
        <v>312.13</v>
      </c>
      <c r="F806" s="1">
        <v>4</v>
      </c>
      <c r="G806" s="1">
        <v>1248.52</v>
      </c>
      <c r="H806" s="1" t="s">
        <v>215</v>
      </c>
    </row>
    <row r="807" spans="1:8" x14ac:dyDescent="0.35">
      <c r="A807" s="2">
        <v>45129.977777777778</v>
      </c>
      <c r="B807" s="3">
        <v>0.34606481481481483</v>
      </c>
      <c r="C807" s="1" t="s">
        <v>14</v>
      </c>
      <c r="D807" s="1" t="s">
        <v>16</v>
      </c>
      <c r="E807" s="1">
        <v>445.91</v>
      </c>
      <c r="F807" s="1">
        <v>2</v>
      </c>
      <c r="G807" s="1">
        <v>891.82</v>
      </c>
      <c r="H807" s="1" t="s">
        <v>114</v>
      </c>
    </row>
    <row r="808" spans="1:8" x14ac:dyDescent="0.35">
      <c r="A808" s="2">
        <v>45068.515972222223</v>
      </c>
      <c r="B808" s="3">
        <v>0.64403935185185179</v>
      </c>
      <c r="C808" s="1" t="s">
        <v>11</v>
      </c>
      <c r="D808" s="1" t="s">
        <v>20</v>
      </c>
      <c r="E808" s="1">
        <v>41.22</v>
      </c>
      <c r="F808" s="1">
        <v>4</v>
      </c>
      <c r="G808" s="1">
        <v>164.88</v>
      </c>
      <c r="H808" s="1" t="s">
        <v>35</v>
      </c>
    </row>
    <row r="809" spans="1:8" x14ac:dyDescent="0.35">
      <c r="A809" s="2">
        <v>45547.844444444447</v>
      </c>
      <c r="B809" s="3">
        <v>0.24849537037037037</v>
      </c>
      <c r="C809" s="1" t="s">
        <v>14</v>
      </c>
      <c r="D809" s="1" t="s">
        <v>12</v>
      </c>
      <c r="E809" s="1">
        <v>212.03</v>
      </c>
      <c r="F809" s="1">
        <v>2</v>
      </c>
      <c r="G809" s="1">
        <v>424.06</v>
      </c>
      <c r="H809" s="1" t="s">
        <v>248</v>
      </c>
    </row>
    <row r="810" spans="1:8" x14ac:dyDescent="0.35">
      <c r="A810" s="2">
        <v>44947.978472222225</v>
      </c>
      <c r="B810" s="3">
        <v>0.28576388888888887</v>
      </c>
      <c r="C810" s="1" t="s">
        <v>14</v>
      </c>
      <c r="D810" s="1" t="s">
        <v>16</v>
      </c>
      <c r="E810" s="1">
        <v>428.3</v>
      </c>
      <c r="F810" s="1">
        <v>5</v>
      </c>
      <c r="G810" s="1">
        <v>2141.5</v>
      </c>
      <c r="H810" s="1" t="s">
        <v>120</v>
      </c>
    </row>
    <row r="811" spans="1:8" x14ac:dyDescent="0.35">
      <c r="A811" s="2">
        <v>45171.78402777778</v>
      </c>
      <c r="B811" s="3">
        <v>0.78512731481481479</v>
      </c>
      <c r="C811" s="1" t="s">
        <v>8</v>
      </c>
      <c r="D811" s="1" t="s">
        <v>27</v>
      </c>
      <c r="E811" s="1">
        <v>400.81</v>
      </c>
      <c r="F811" s="1">
        <v>3</v>
      </c>
      <c r="G811" s="1">
        <v>1202.43</v>
      </c>
      <c r="H811" s="1" t="s">
        <v>64</v>
      </c>
    </row>
    <row r="812" spans="1:8" x14ac:dyDescent="0.35">
      <c r="A812" s="2">
        <v>45157.515277777777</v>
      </c>
      <c r="B812" s="3">
        <v>0.54910879629629628</v>
      </c>
      <c r="C812" s="1" t="s">
        <v>11</v>
      </c>
      <c r="D812" s="1" t="s">
        <v>12</v>
      </c>
      <c r="E812" s="1">
        <v>285.68</v>
      </c>
      <c r="F812" s="1">
        <v>3</v>
      </c>
      <c r="G812" s="1">
        <v>857.04</v>
      </c>
      <c r="H812" s="1" t="s">
        <v>21</v>
      </c>
    </row>
    <row r="813" spans="1:8" x14ac:dyDescent="0.35">
      <c r="A813" s="2">
        <v>45586.249305555553</v>
      </c>
      <c r="B813" s="3">
        <v>0.81454861111111121</v>
      </c>
      <c r="C813" s="1" t="s">
        <v>8</v>
      </c>
      <c r="D813" s="1" t="s">
        <v>12</v>
      </c>
      <c r="E813" s="1">
        <v>37.270000000000003</v>
      </c>
      <c r="F813" s="1">
        <v>4</v>
      </c>
      <c r="G813" s="1">
        <v>149.08000000000001</v>
      </c>
      <c r="H813" s="1" t="s">
        <v>144</v>
      </c>
    </row>
    <row r="814" spans="1:8" x14ac:dyDescent="0.35">
      <c r="A814" s="2">
        <v>45134.163888888892</v>
      </c>
      <c r="B814" s="3">
        <v>0.39980324074074075</v>
      </c>
      <c r="C814" s="1" t="s">
        <v>14</v>
      </c>
      <c r="D814" s="1" t="s">
        <v>20</v>
      </c>
      <c r="E814" s="1">
        <v>196.52</v>
      </c>
      <c r="F814" s="1">
        <v>2</v>
      </c>
      <c r="G814" s="1">
        <v>393.04</v>
      </c>
      <c r="H814" s="1" t="s">
        <v>99</v>
      </c>
    </row>
    <row r="815" spans="1:8" x14ac:dyDescent="0.35">
      <c r="A815" s="2">
        <v>45166.870138888888</v>
      </c>
      <c r="B815" s="3">
        <v>0.56090277777777775</v>
      </c>
      <c r="C815" s="1" t="s">
        <v>11</v>
      </c>
      <c r="D815" s="1" t="s">
        <v>9</v>
      </c>
      <c r="E815" s="1">
        <v>123.56</v>
      </c>
      <c r="F815" s="1">
        <v>2</v>
      </c>
      <c r="G815" s="1">
        <v>247.12</v>
      </c>
      <c r="H815" s="1" t="s">
        <v>72</v>
      </c>
    </row>
    <row r="816" spans="1:8" x14ac:dyDescent="0.35">
      <c r="A816" s="2">
        <v>45344.885416666664</v>
      </c>
      <c r="B816" s="3">
        <v>0.94468750000000001</v>
      </c>
      <c r="C816" s="1" t="s">
        <v>8</v>
      </c>
      <c r="D816" s="1" t="s">
        <v>12</v>
      </c>
      <c r="E816" s="1">
        <v>371.71</v>
      </c>
      <c r="F816" s="1">
        <v>5</v>
      </c>
      <c r="G816" s="1">
        <v>1858.55</v>
      </c>
      <c r="H816" s="1" t="s">
        <v>122</v>
      </c>
    </row>
    <row r="817" spans="1:8" x14ac:dyDescent="0.35">
      <c r="A817" s="2">
        <v>45036.382638888892</v>
      </c>
      <c r="B817" s="3">
        <v>0.25113425925925925</v>
      </c>
      <c r="C817" s="1" t="s">
        <v>11</v>
      </c>
      <c r="D817" s="1" t="s">
        <v>16</v>
      </c>
      <c r="E817" s="1">
        <v>185.81</v>
      </c>
      <c r="F817" s="1">
        <v>3</v>
      </c>
      <c r="G817" s="1">
        <v>557.42999999999995</v>
      </c>
      <c r="H817" s="1" t="s">
        <v>51</v>
      </c>
    </row>
    <row r="818" spans="1:8" x14ac:dyDescent="0.35">
      <c r="A818" s="2">
        <v>45572.901388888888</v>
      </c>
      <c r="B818" s="3">
        <v>0.22657407407407407</v>
      </c>
      <c r="C818" s="1" t="s">
        <v>8</v>
      </c>
      <c r="D818" s="1" t="s">
        <v>12</v>
      </c>
      <c r="E818" s="1">
        <v>479.63</v>
      </c>
      <c r="F818" s="1">
        <v>5</v>
      </c>
      <c r="G818" s="1">
        <v>2398.15</v>
      </c>
      <c r="H818" s="1" t="s">
        <v>246</v>
      </c>
    </row>
    <row r="819" spans="1:8" x14ac:dyDescent="0.35">
      <c r="A819" s="2">
        <v>45661.467361111114</v>
      </c>
      <c r="B819" s="3">
        <v>0.36099537037037038</v>
      </c>
      <c r="C819" s="1" t="s">
        <v>8</v>
      </c>
      <c r="D819" s="1" t="s">
        <v>20</v>
      </c>
      <c r="E819" s="1">
        <v>213.62</v>
      </c>
      <c r="F819" s="1">
        <v>5</v>
      </c>
      <c r="G819" s="1">
        <v>1068.0999999999999</v>
      </c>
      <c r="H819" s="1" t="s">
        <v>156</v>
      </c>
    </row>
    <row r="820" spans="1:8" x14ac:dyDescent="0.35">
      <c r="A820" s="2">
        <v>45381.89166666667</v>
      </c>
      <c r="B820" s="3">
        <v>0.88015046296296295</v>
      </c>
      <c r="C820" s="1" t="s">
        <v>8</v>
      </c>
      <c r="D820" s="1" t="s">
        <v>27</v>
      </c>
      <c r="E820" s="1">
        <v>108.28</v>
      </c>
      <c r="F820" s="1">
        <v>3</v>
      </c>
      <c r="G820" s="1">
        <v>324.83999999999997</v>
      </c>
      <c r="H820" s="1" t="s">
        <v>134</v>
      </c>
    </row>
    <row r="821" spans="1:8" x14ac:dyDescent="0.35">
      <c r="A821" s="2">
        <v>44974.114583333336</v>
      </c>
      <c r="B821" s="3">
        <v>0.64118055555555553</v>
      </c>
      <c r="C821" s="1" t="s">
        <v>8</v>
      </c>
      <c r="D821" s="1" t="s">
        <v>27</v>
      </c>
      <c r="E821" s="1">
        <v>32.049999999999997</v>
      </c>
      <c r="F821" s="1">
        <v>5</v>
      </c>
      <c r="G821" s="1">
        <v>160.25</v>
      </c>
      <c r="H821" s="1" t="s">
        <v>344</v>
      </c>
    </row>
    <row r="822" spans="1:8" x14ac:dyDescent="0.35">
      <c r="A822" s="2">
        <v>45202.747916666667</v>
      </c>
      <c r="B822" s="3">
        <v>8.3310185185185182E-2</v>
      </c>
      <c r="C822" s="1" t="s">
        <v>11</v>
      </c>
      <c r="D822" s="1" t="s">
        <v>27</v>
      </c>
      <c r="E822" s="1">
        <v>158.87</v>
      </c>
      <c r="F822" s="1">
        <v>1</v>
      </c>
      <c r="G822" s="1">
        <v>158.87</v>
      </c>
      <c r="H822" s="1" t="s">
        <v>52</v>
      </c>
    </row>
    <row r="823" spans="1:8" x14ac:dyDescent="0.35">
      <c r="A823" s="2">
        <v>44935.822222222225</v>
      </c>
      <c r="B823" s="3">
        <v>0.15200231481481483</v>
      </c>
      <c r="C823" s="1" t="s">
        <v>14</v>
      </c>
      <c r="D823" s="1" t="s">
        <v>16</v>
      </c>
      <c r="E823" s="1">
        <v>191.64</v>
      </c>
      <c r="F823" s="1">
        <v>4</v>
      </c>
      <c r="G823" s="1">
        <v>766.56</v>
      </c>
      <c r="H823" s="1" t="s">
        <v>324</v>
      </c>
    </row>
    <row r="824" spans="1:8" x14ac:dyDescent="0.35">
      <c r="A824" s="2">
        <v>45208.919444444444</v>
      </c>
      <c r="B824" s="3">
        <v>0.86275462962962957</v>
      </c>
      <c r="C824" s="1" t="s">
        <v>8</v>
      </c>
      <c r="D824" s="1" t="s">
        <v>12</v>
      </c>
      <c r="E824" s="1">
        <v>210.56</v>
      </c>
      <c r="F824" s="1">
        <v>3</v>
      </c>
      <c r="G824" s="1">
        <v>631.67999999999995</v>
      </c>
      <c r="H824" s="1" t="s">
        <v>256</v>
      </c>
    </row>
    <row r="825" spans="1:8" x14ac:dyDescent="0.35">
      <c r="A825" s="2">
        <v>45512.131944444445</v>
      </c>
      <c r="B825" s="3">
        <v>0.83296296296296291</v>
      </c>
      <c r="C825" s="1" t="s">
        <v>14</v>
      </c>
      <c r="D825" s="1" t="s">
        <v>16</v>
      </c>
      <c r="E825" s="1">
        <v>232.86</v>
      </c>
      <c r="F825" s="1">
        <v>4</v>
      </c>
      <c r="G825" s="1">
        <v>931.44</v>
      </c>
      <c r="H825" s="1" t="s">
        <v>37</v>
      </c>
    </row>
    <row r="826" spans="1:8" x14ac:dyDescent="0.35">
      <c r="A826" s="2">
        <v>44988.160416666666</v>
      </c>
      <c r="B826" s="3">
        <v>0.68307870370370372</v>
      </c>
      <c r="C826" s="1" t="s">
        <v>14</v>
      </c>
      <c r="D826" s="1" t="s">
        <v>20</v>
      </c>
      <c r="E826" s="1">
        <v>26.8</v>
      </c>
      <c r="F826" s="1">
        <v>1</v>
      </c>
      <c r="G826" s="1">
        <v>26.8</v>
      </c>
      <c r="H826" s="1" t="s">
        <v>221</v>
      </c>
    </row>
    <row r="827" spans="1:8" x14ac:dyDescent="0.35">
      <c r="A827" s="2">
        <v>45149.209722222222</v>
      </c>
      <c r="B827" s="3">
        <v>0.60499999999999998</v>
      </c>
      <c r="C827" s="1" t="s">
        <v>11</v>
      </c>
      <c r="D827" s="1" t="s">
        <v>12</v>
      </c>
      <c r="E827" s="1">
        <v>116.63</v>
      </c>
      <c r="F827" s="1">
        <v>1</v>
      </c>
      <c r="G827" s="1">
        <v>116.63</v>
      </c>
      <c r="H827" s="1" t="s">
        <v>106</v>
      </c>
    </row>
    <row r="828" spans="1:8" x14ac:dyDescent="0.35">
      <c r="A828" s="2">
        <v>45357.18472222222</v>
      </c>
      <c r="B828" s="3">
        <v>0.56539351851851849</v>
      </c>
      <c r="C828" s="1" t="s">
        <v>14</v>
      </c>
      <c r="D828" s="1" t="s">
        <v>16</v>
      </c>
      <c r="E828" s="1">
        <v>307.24</v>
      </c>
      <c r="F828" s="1">
        <v>1</v>
      </c>
      <c r="G828" s="1">
        <v>307.24</v>
      </c>
      <c r="H828" s="1" t="s">
        <v>84</v>
      </c>
    </row>
    <row r="829" spans="1:8" x14ac:dyDescent="0.35">
      <c r="A829" s="2">
        <v>45181.063888888886</v>
      </c>
      <c r="B829" s="3">
        <v>0.61717592592592596</v>
      </c>
      <c r="C829" s="1" t="s">
        <v>14</v>
      </c>
      <c r="D829" s="1" t="s">
        <v>20</v>
      </c>
      <c r="E829" s="1">
        <v>395.45</v>
      </c>
      <c r="F829" s="1">
        <v>4</v>
      </c>
      <c r="G829" s="1">
        <v>1581.8</v>
      </c>
      <c r="H829" s="1" t="s">
        <v>106</v>
      </c>
    </row>
    <row r="830" spans="1:8" x14ac:dyDescent="0.35">
      <c r="A830" s="2">
        <v>45398.918055555558</v>
      </c>
      <c r="B830" s="3">
        <v>0.53629629629629627</v>
      </c>
      <c r="C830" s="1" t="s">
        <v>14</v>
      </c>
      <c r="D830" s="1" t="s">
        <v>16</v>
      </c>
      <c r="E830" s="1">
        <v>152.6</v>
      </c>
      <c r="F830" s="1">
        <v>2</v>
      </c>
      <c r="G830" s="1">
        <v>305.2</v>
      </c>
      <c r="H830" s="1" t="s">
        <v>107</v>
      </c>
    </row>
    <row r="831" spans="1:8" x14ac:dyDescent="0.35">
      <c r="A831" s="2">
        <v>44958.794444444444</v>
      </c>
      <c r="B831" s="3">
        <v>0.69884259259259263</v>
      </c>
      <c r="C831" s="1" t="s">
        <v>14</v>
      </c>
      <c r="D831" s="1" t="s">
        <v>9</v>
      </c>
      <c r="E831" s="1">
        <v>249.67</v>
      </c>
      <c r="F831" s="1">
        <v>3</v>
      </c>
      <c r="G831" s="1">
        <v>749.01</v>
      </c>
      <c r="H831" s="1" t="s">
        <v>100</v>
      </c>
    </row>
    <row r="832" spans="1:8" x14ac:dyDescent="0.35">
      <c r="A832" s="2">
        <v>44970.393055555556</v>
      </c>
      <c r="B832" s="3">
        <v>0.65688657407407403</v>
      </c>
      <c r="C832" s="1" t="s">
        <v>11</v>
      </c>
      <c r="D832" s="1" t="s">
        <v>9</v>
      </c>
      <c r="E832" s="1">
        <v>186.53</v>
      </c>
      <c r="F832" s="1">
        <v>1</v>
      </c>
      <c r="G832" s="1">
        <v>186.53</v>
      </c>
      <c r="H832" s="1" t="s">
        <v>188</v>
      </c>
    </row>
    <row r="833" spans="1:8" x14ac:dyDescent="0.35">
      <c r="A833" s="2">
        <v>45229.368750000001</v>
      </c>
      <c r="B833" s="3">
        <v>0.3841087962962963</v>
      </c>
      <c r="C833" s="1" t="s">
        <v>11</v>
      </c>
      <c r="D833" s="1" t="s">
        <v>12</v>
      </c>
      <c r="E833" s="1">
        <v>180.19</v>
      </c>
      <c r="F833" s="1">
        <v>4</v>
      </c>
      <c r="G833" s="1">
        <v>720.76</v>
      </c>
      <c r="H833" s="1" t="s">
        <v>62</v>
      </c>
    </row>
    <row r="834" spans="1:8" x14ac:dyDescent="0.35">
      <c r="A834" s="2">
        <v>45177.822222222225</v>
      </c>
      <c r="B834" s="3">
        <v>0.22863425925925926</v>
      </c>
      <c r="C834" s="1" t="s">
        <v>14</v>
      </c>
      <c r="D834" s="1" t="s">
        <v>27</v>
      </c>
      <c r="E834" s="1">
        <v>406.18</v>
      </c>
      <c r="F834" s="1">
        <v>2</v>
      </c>
      <c r="G834" s="1">
        <v>812.36</v>
      </c>
      <c r="H834" s="1" t="s">
        <v>117</v>
      </c>
    </row>
    <row r="835" spans="1:8" x14ac:dyDescent="0.35">
      <c r="A835" s="2">
        <v>45380.378472222219</v>
      </c>
      <c r="B835" s="3">
        <v>0.35258101851851853</v>
      </c>
      <c r="C835" s="1" t="s">
        <v>14</v>
      </c>
      <c r="D835" s="1" t="s">
        <v>9</v>
      </c>
      <c r="E835" s="1">
        <v>177.54</v>
      </c>
      <c r="F835" s="1">
        <v>3</v>
      </c>
      <c r="G835" s="1">
        <v>532.62</v>
      </c>
      <c r="H835" s="1" t="s">
        <v>355</v>
      </c>
    </row>
    <row r="836" spans="1:8" x14ac:dyDescent="0.35">
      <c r="A836" s="2">
        <v>45290.265972222223</v>
      </c>
      <c r="B836" s="3">
        <v>0.84271990740740732</v>
      </c>
      <c r="C836" s="1" t="s">
        <v>14</v>
      </c>
      <c r="D836" s="1" t="s">
        <v>12</v>
      </c>
      <c r="E836" s="1">
        <v>424.53</v>
      </c>
      <c r="F836" s="1">
        <v>3</v>
      </c>
      <c r="G836" s="1">
        <v>1273.5899999999999</v>
      </c>
      <c r="H836" s="1" t="s">
        <v>46</v>
      </c>
    </row>
    <row r="837" spans="1:8" x14ac:dyDescent="0.35">
      <c r="A837" s="2">
        <v>45236.444444444445</v>
      </c>
      <c r="B837" s="3">
        <v>0.31177083333333333</v>
      </c>
      <c r="C837" s="1" t="s">
        <v>11</v>
      </c>
      <c r="D837" s="1" t="s">
        <v>20</v>
      </c>
      <c r="E837" s="1">
        <v>248.48</v>
      </c>
      <c r="F837" s="1">
        <v>1</v>
      </c>
      <c r="G837" s="1">
        <v>248.48</v>
      </c>
      <c r="H837" s="1" t="s">
        <v>60</v>
      </c>
    </row>
    <row r="838" spans="1:8" x14ac:dyDescent="0.35">
      <c r="A838" s="2">
        <v>45105.645138888889</v>
      </c>
      <c r="B838" s="3">
        <v>7.886574074074075E-2</v>
      </c>
      <c r="C838" s="1" t="s">
        <v>14</v>
      </c>
      <c r="D838" s="1" t="s">
        <v>9</v>
      </c>
      <c r="E838" s="1">
        <v>105.33</v>
      </c>
      <c r="F838" s="1">
        <v>1</v>
      </c>
      <c r="G838" s="1">
        <v>105.33</v>
      </c>
      <c r="H838" s="1" t="s">
        <v>231</v>
      </c>
    </row>
    <row r="839" spans="1:8" x14ac:dyDescent="0.35">
      <c r="A839" s="2">
        <v>45005.725694444445</v>
      </c>
      <c r="B839" s="3">
        <v>8.7013888888888891E-2</v>
      </c>
      <c r="C839" s="1" t="s">
        <v>14</v>
      </c>
      <c r="D839" s="1" t="s">
        <v>27</v>
      </c>
      <c r="E839" s="1">
        <v>149.68</v>
      </c>
      <c r="F839" s="1">
        <v>4</v>
      </c>
      <c r="G839" s="1">
        <v>598.72</v>
      </c>
      <c r="H839" s="1" t="s">
        <v>73</v>
      </c>
    </row>
    <row r="840" spans="1:8" x14ac:dyDescent="0.35">
      <c r="A840" s="2">
        <v>45661.734722222223</v>
      </c>
      <c r="B840" s="3">
        <v>0.90829861111111121</v>
      </c>
      <c r="C840" s="1" t="s">
        <v>8</v>
      </c>
      <c r="D840" s="1" t="s">
        <v>9</v>
      </c>
      <c r="E840" s="1">
        <v>183.21</v>
      </c>
      <c r="F840" s="1">
        <v>5</v>
      </c>
      <c r="G840" s="1">
        <v>916.05</v>
      </c>
      <c r="H840" s="1" t="s">
        <v>76</v>
      </c>
    </row>
    <row r="841" spans="1:8" x14ac:dyDescent="0.35">
      <c r="A841" s="2">
        <v>45182.45416666667</v>
      </c>
      <c r="B841" s="3">
        <v>0.1542476851851852</v>
      </c>
      <c r="C841" s="1" t="s">
        <v>11</v>
      </c>
      <c r="D841" s="1" t="s">
        <v>20</v>
      </c>
      <c r="E841" s="1">
        <v>325.16000000000003</v>
      </c>
      <c r="F841" s="1">
        <v>1</v>
      </c>
      <c r="G841" s="1">
        <v>325.16000000000003</v>
      </c>
      <c r="H841" s="1" t="s">
        <v>365</v>
      </c>
    </row>
    <row r="842" spans="1:8" x14ac:dyDescent="0.35">
      <c r="A842" s="2">
        <v>45632.527777777781</v>
      </c>
      <c r="B842" s="3">
        <v>0.94062499999999993</v>
      </c>
      <c r="C842" s="1" t="s">
        <v>14</v>
      </c>
      <c r="D842" s="1" t="s">
        <v>16</v>
      </c>
      <c r="E842" s="1">
        <v>425.14</v>
      </c>
      <c r="F842" s="1">
        <v>5</v>
      </c>
      <c r="G842" s="1">
        <v>2125.6999999999998</v>
      </c>
      <c r="H842" s="1" t="s">
        <v>177</v>
      </c>
    </row>
    <row r="843" spans="1:8" x14ac:dyDescent="0.35">
      <c r="A843" s="2">
        <v>45654.477083333331</v>
      </c>
      <c r="B843" s="3">
        <v>0.91259259259259251</v>
      </c>
      <c r="C843" s="1" t="s">
        <v>11</v>
      </c>
      <c r="D843" s="1" t="s">
        <v>27</v>
      </c>
      <c r="E843" s="1">
        <v>493.76</v>
      </c>
      <c r="F843" s="1">
        <v>3</v>
      </c>
      <c r="G843" s="1">
        <v>1481.28</v>
      </c>
      <c r="H843" s="1" t="s">
        <v>276</v>
      </c>
    </row>
    <row r="844" spans="1:8" x14ac:dyDescent="0.35">
      <c r="A844" s="2">
        <v>45041.929166666669</v>
      </c>
      <c r="B844" s="3">
        <v>0.96883101851851849</v>
      </c>
      <c r="C844" s="1" t="s">
        <v>11</v>
      </c>
      <c r="D844" s="1" t="s">
        <v>9</v>
      </c>
      <c r="E844" s="1">
        <v>106.49</v>
      </c>
      <c r="F844" s="1">
        <v>3</v>
      </c>
      <c r="G844" s="1">
        <v>319.47000000000003</v>
      </c>
      <c r="H844" s="1" t="s">
        <v>355</v>
      </c>
    </row>
    <row r="845" spans="1:8" x14ac:dyDescent="0.35">
      <c r="A845" s="2">
        <v>45242.998611111114</v>
      </c>
      <c r="B845" s="3">
        <v>0.29333333333333333</v>
      </c>
      <c r="C845" s="1" t="s">
        <v>14</v>
      </c>
      <c r="D845" s="1" t="s">
        <v>27</v>
      </c>
      <c r="E845" s="1">
        <v>219.02</v>
      </c>
      <c r="F845" s="1">
        <v>2</v>
      </c>
      <c r="G845" s="1">
        <v>438.04</v>
      </c>
      <c r="H845" s="1" t="s">
        <v>314</v>
      </c>
    </row>
    <row r="846" spans="1:8" x14ac:dyDescent="0.35">
      <c r="A846" s="2">
        <v>45102.65347222222</v>
      </c>
      <c r="B846" s="3">
        <v>0.51640046296296294</v>
      </c>
      <c r="C846" s="1" t="s">
        <v>14</v>
      </c>
      <c r="D846" s="1" t="s">
        <v>27</v>
      </c>
      <c r="E846" s="1">
        <v>46.61</v>
      </c>
      <c r="F846" s="1">
        <v>4</v>
      </c>
      <c r="G846" s="1">
        <v>186.44</v>
      </c>
      <c r="H846" s="1" t="s">
        <v>262</v>
      </c>
    </row>
    <row r="847" spans="1:8" x14ac:dyDescent="0.35">
      <c r="A847" s="2">
        <v>45520.34097222222</v>
      </c>
      <c r="B847" s="3">
        <v>0.18836805555555555</v>
      </c>
      <c r="C847" s="1" t="s">
        <v>8</v>
      </c>
      <c r="D847" s="1" t="s">
        <v>9</v>
      </c>
      <c r="E847" s="1">
        <v>446.39</v>
      </c>
      <c r="F847" s="1">
        <v>3</v>
      </c>
      <c r="G847" s="1">
        <v>1339.17</v>
      </c>
      <c r="H847" s="1" t="s">
        <v>164</v>
      </c>
    </row>
    <row r="848" spans="1:8" x14ac:dyDescent="0.35">
      <c r="A848" s="2">
        <v>45364.534722222219</v>
      </c>
      <c r="B848" s="3">
        <v>5.392361111111111E-2</v>
      </c>
      <c r="C848" s="1" t="s">
        <v>8</v>
      </c>
      <c r="D848" s="1" t="s">
        <v>9</v>
      </c>
      <c r="E848" s="1">
        <v>420.09</v>
      </c>
      <c r="F848" s="1">
        <v>5</v>
      </c>
      <c r="G848" s="1">
        <v>2100.4499999999998</v>
      </c>
      <c r="H848" s="1" t="s">
        <v>147</v>
      </c>
    </row>
    <row r="849" spans="1:8" x14ac:dyDescent="0.35">
      <c r="A849" s="2">
        <v>45595.946527777778</v>
      </c>
      <c r="B849" s="3">
        <v>0.95652777777777775</v>
      </c>
      <c r="C849" s="1" t="s">
        <v>8</v>
      </c>
      <c r="D849" s="1" t="s">
        <v>9</v>
      </c>
      <c r="E849" s="1">
        <v>375.87</v>
      </c>
      <c r="F849" s="1">
        <v>1</v>
      </c>
      <c r="G849" s="1">
        <v>375.87</v>
      </c>
      <c r="H849" s="1" t="s">
        <v>181</v>
      </c>
    </row>
    <row r="850" spans="1:8" x14ac:dyDescent="0.35">
      <c r="A850" s="2">
        <v>45057.192361111112</v>
      </c>
      <c r="B850" s="3">
        <v>0.23813657407407407</v>
      </c>
      <c r="C850" s="1" t="s">
        <v>11</v>
      </c>
      <c r="D850" s="1" t="s">
        <v>12</v>
      </c>
      <c r="E850" s="1">
        <v>317.72000000000003</v>
      </c>
      <c r="F850" s="1">
        <v>2</v>
      </c>
      <c r="G850" s="1">
        <v>635.44000000000005</v>
      </c>
      <c r="H850" s="1" t="s">
        <v>301</v>
      </c>
    </row>
    <row r="851" spans="1:8" x14ac:dyDescent="0.35">
      <c r="A851" s="2">
        <v>45562.786805555559</v>
      </c>
      <c r="B851" s="3">
        <v>0.38567129629629626</v>
      </c>
      <c r="C851" s="1" t="s">
        <v>14</v>
      </c>
      <c r="D851" s="1" t="s">
        <v>16</v>
      </c>
      <c r="E851" s="1">
        <v>102.96</v>
      </c>
      <c r="F851" s="1">
        <v>4</v>
      </c>
      <c r="G851" s="1">
        <v>411.84</v>
      </c>
      <c r="H851" s="1" t="s">
        <v>366</v>
      </c>
    </row>
    <row r="852" spans="1:8" x14ac:dyDescent="0.35">
      <c r="A852" s="2">
        <v>45663.85</v>
      </c>
      <c r="B852" s="3">
        <v>0.69081018518518522</v>
      </c>
      <c r="C852" s="1" t="s">
        <v>14</v>
      </c>
      <c r="D852" s="1" t="s">
        <v>20</v>
      </c>
      <c r="E852" s="1">
        <v>417.52</v>
      </c>
      <c r="F852" s="1">
        <v>5</v>
      </c>
      <c r="G852" s="1">
        <v>2087.6</v>
      </c>
      <c r="H852" s="1" t="s">
        <v>175</v>
      </c>
    </row>
    <row r="853" spans="1:8" x14ac:dyDescent="0.35">
      <c r="A853" s="2">
        <v>44980.84375</v>
      </c>
      <c r="B853" s="3">
        <v>9.0451388888888887E-2</v>
      </c>
      <c r="C853" s="1" t="s">
        <v>14</v>
      </c>
      <c r="D853" s="1" t="s">
        <v>9</v>
      </c>
      <c r="E853" s="1">
        <v>176.15</v>
      </c>
      <c r="F853" s="1">
        <v>5</v>
      </c>
      <c r="G853" s="1">
        <v>880.75</v>
      </c>
      <c r="H853" s="1" t="s">
        <v>196</v>
      </c>
    </row>
    <row r="854" spans="1:8" x14ac:dyDescent="0.35">
      <c r="A854" s="2">
        <v>45304.422222222223</v>
      </c>
      <c r="B854" s="3">
        <v>0.40171296296296299</v>
      </c>
      <c r="C854" s="1" t="s">
        <v>8</v>
      </c>
      <c r="D854" s="1" t="s">
        <v>12</v>
      </c>
      <c r="E854" s="1">
        <v>361.07</v>
      </c>
      <c r="F854" s="1">
        <v>3</v>
      </c>
      <c r="G854" s="1">
        <v>1083.21</v>
      </c>
      <c r="H854" s="1" t="s">
        <v>367</v>
      </c>
    </row>
    <row r="855" spans="1:8" x14ac:dyDescent="0.35">
      <c r="A855" s="2">
        <v>45518.943055555559</v>
      </c>
      <c r="B855" s="3">
        <v>0.84261574074074075</v>
      </c>
      <c r="C855" s="1" t="s">
        <v>8</v>
      </c>
      <c r="D855" s="1" t="s">
        <v>16</v>
      </c>
      <c r="E855" s="1">
        <v>258.95999999999998</v>
      </c>
      <c r="F855" s="1">
        <v>3</v>
      </c>
      <c r="G855" s="1">
        <v>776.88</v>
      </c>
      <c r="H855" s="1" t="s">
        <v>43</v>
      </c>
    </row>
    <row r="856" spans="1:8" x14ac:dyDescent="0.35">
      <c r="A856" s="2">
        <v>45147.547222222223</v>
      </c>
      <c r="B856" s="3">
        <v>0.14071759259259259</v>
      </c>
      <c r="C856" s="1" t="s">
        <v>11</v>
      </c>
      <c r="D856" s="1" t="s">
        <v>27</v>
      </c>
      <c r="E856" s="1">
        <v>43.31</v>
      </c>
      <c r="F856" s="1">
        <v>4</v>
      </c>
      <c r="G856" s="1">
        <v>173.24</v>
      </c>
      <c r="H856" s="1" t="s">
        <v>251</v>
      </c>
    </row>
    <row r="857" spans="1:8" x14ac:dyDescent="0.35">
      <c r="A857" s="2">
        <v>45171.829861111109</v>
      </c>
      <c r="B857" s="3">
        <v>0.51978009259259261</v>
      </c>
      <c r="C857" s="1" t="s">
        <v>8</v>
      </c>
      <c r="D857" s="1" t="s">
        <v>9</v>
      </c>
      <c r="E857" s="1">
        <v>34.51</v>
      </c>
      <c r="F857" s="1">
        <v>5</v>
      </c>
      <c r="G857" s="1">
        <v>172.55</v>
      </c>
      <c r="H857" s="1" t="s">
        <v>28</v>
      </c>
    </row>
    <row r="858" spans="1:8" x14ac:dyDescent="0.35">
      <c r="A858" s="2">
        <v>45624.478472222225</v>
      </c>
      <c r="B858" s="3">
        <v>0.39832175925925922</v>
      </c>
      <c r="C858" s="1" t="s">
        <v>14</v>
      </c>
      <c r="D858" s="1" t="s">
        <v>20</v>
      </c>
      <c r="E858" s="1">
        <v>237.98</v>
      </c>
      <c r="F858" s="1">
        <v>2</v>
      </c>
      <c r="G858" s="1">
        <v>475.96</v>
      </c>
      <c r="H858" s="1" t="s">
        <v>297</v>
      </c>
    </row>
    <row r="859" spans="1:8" x14ac:dyDescent="0.35">
      <c r="A859" s="2">
        <v>44950.736111111109</v>
      </c>
      <c r="B859" s="3">
        <v>0.14840277777777777</v>
      </c>
      <c r="C859" s="1" t="s">
        <v>11</v>
      </c>
      <c r="D859" s="1" t="s">
        <v>9</v>
      </c>
      <c r="E859" s="1">
        <v>392.59</v>
      </c>
      <c r="F859" s="1">
        <v>4</v>
      </c>
      <c r="G859" s="1">
        <v>1570.36</v>
      </c>
      <c r="H859" s="1" t="s">
        <v>220</v>
      </c>
    </row>
    <row r="860" spans="1:8" x14ac:dyDescent="0.35">
      <c r="A860" s="2">
        <v>45114.790277777778</v>
      </c>
      <c r="B860" s="3">
        <v>0.6498032407407407</v>
      </c>
      <c r="C860" s="1" t="s">
        <v>8</v>
      </c>
      <c r="D860" s="1" t="s">
        <v>20</v>
      </c>
      <c r="E860" s="1">
        <v>124.91</v>
      </c>
      <c r="F860" s="1">
        <v>4</v>
      </c>
      <c r="G860" s="1">
        <v>499.64</v>
      </c>
      <c r="H860" s="1" t="s">
        <v>123</v>
      </c>
    </row>
    <row r="861" spans="1:8" x14ac:dyDescent="0.35">
      <c r="A861" s="2">
        <v>45348.369444444441</v>
      </c>
      <c r="B861" s="3">
        <v>0.73326388888888883</v>
      </c>
      <c r="C861" s="1" t="s">
        <v>14</v>
      </c>
      <c r="D861" s="1" t="s">
        <v>27</v>
      </c>
      <c r="E861" s="1">
        <v>138.5</v>
      </c>
      <c r="F861" s="1">
        <v>2</v>
      </c>
      <c r="G861" s="1">
        <v>277</v>
      </c>
      <c r="H861" s="1" t="s">
        <v>150</v>
      </c>
    </row>
    <row r="862" spans="1:8" x14ac:dyDescent="0.35">
      <c r="A862" s="2">
        <v>45045.065972222219</v>
      </c>
      <c r="B862" s="3">
        <v>9.9027777777777784E-2</v>
      </c>
      <c r="C862" s="1" t="s">
        <v>8</v>
      </c>
      <c r="D862" s="1" t="s">
        <v>9</v>
      </c>
      <c r="E862" s="1">
        <v>87.15</v>
      </c>
      <c r="F862" s="1">
        <v>2</v>
      </c>
      <c r="G862" s="1">
        <v>174.3</v>
      </c>
      <c r="H862" s="1" t="s">
        <v>368</v>
      </c>
    </row>
    <row r="863" spans="1:8" x14ac:dyDescent="0.35">
      <c r="A863" s="2">
        <v>45006.99722222222</v>
      </c>
      <c r="B863" s="3">
        <v>0.8858449074074074</v>
      </c>
      <c r="C863" s="1" t="s">
        <v>11</v>
      </c>
      <c r="D863" s="1" t="s">
        <v>20</v>
      </c>
      <c r="E863" s="1">
        <v>48.19</v>
      </c>
      <c r="F863" s="1">
        <v>4</v>
      </c>
      <c r="G863" s="1">
        <v>192.76</v>
      </c>
      <c r="H863" s="1" t="s">
        <v>59</v>
      </c>
    </row>
    <row r="864" spans="1:8" x14ac:dyDescent="0.35">
      <c r="A864" s="2">
        <v>45301.788194444445</v>
      </c>
      <c r="B864" s="3">
        <v>0.26958333333333334</v>
      </c>
      <c r="C864" s="1" t="s">
        <v>11</v>
      </c>
      <c r="D864" s="1" t="s">
        <v>9</v>
      </c>
      <c r="E864" s="1">
        <v>260.99</v>
      </c>
      <c r="F864" s="1">
        <v>1</v>
      </c>
      <c r="G864" s="1">
        <v>260.99</v>
      </c>
      <c r="H864" s="1" t="s">
        <v>287</v>
      </c>
    </row>
    <row r="865" spans="1:8" x14ac:dyDescent="0.35">
      <c r="A865" s="2">
        <v>45269.314583333333</v>
      </c>
      <c r="B865" s="3">
        <v>0.44021990740740741</v>
      </c>
      <c r="C865" s="1" t="s">
        <v>14</v>
      </c>
      <c r="D865" s="1" t="s">
        <v>9</v>
      </c>
      <c r="E865" s="1">
        <v>91.95</v>
      </c>
      <c r="F865" s="1">
        <v>2</v>
      </c>
      <c r="G865" s="1">
        <v>183.9</v>
      </c>
      <c r="H865" s="1" t="s">
        <v>38</v>
      </c>
    </row>
    <row r="866" spans="1:8" x14ac:dyDescent="0.35">
      <c r="A866" s="2">
        <v>45644.519444444442</v>
      </c>
      <c r="B866" s="3">
        <v>0.1345949074074074</v>
      </c>
      <c r="C866" s="1" t="s">
        <v>14</v>
      </c>
      <c r="D866" s="1" t="s">
        <v>12</v>
      </c>
      <c r="E866" s="1">
        <v>429.53</v>
      </c>
      <c r="F866" s="1">
        <v>1</v>
      </c>
      <c r="G866" s="1">
        <v>429.53</v>
      </c>
      <c r="H866" s="1" t="s">
        <v>248</v>
      </c>
    </row>
    <row r="867" spans="1:8" x14ac:dyDescent="0.35">
      <c r="A867" s="2">
        <v>45472.563888888886</v>
      </c>
      <c r="B867" s="3">
        <v>0.44140046296296293</v>
      </c>
      <c r="C867" s="1" t="s">
        <v>8</v>
      </c>
      <c r="D867" s="1" t="s">
        <v>12</v>
      </c>
      <c r="E867" s="1">
        <v>79.48</v>
      </c>
      <c r="F867" s="1">
        <v>2</v>
      </c>
      <c r="G867" s="1">
        <v>158.96</v>
      </c>
      <c r="H867" s="1" t="s">
        <v>344</v>
      </c>
    </row>
    <row r="868" spans="1:8" x14ac:dyDescent="0.35">
      <c r="A868" s="2">
        <v>45085.613194444442</v>
      </c>
      <c r="B868" s="3">
        <v>0.23630787037037038</v>
      </c>
      <c r="C868" s="1" t="s">
        <v>8</v>
      </c>
      <c r="D868" s="1" t="s">
        <v>16</v>
      </c>
      <c r="E868" s="1">
        <v>127.18</v>
      </c>
      <c r="F868" s="1">
        <v>2</v>
      </c>
      <c r="G868" s="1">
        <v>254.36</v>
      </c>
      <c r="H868" s="1" t="s">
        <v>66</v>
      </c>
    </row>
    <row r="869" spans="1:8" x14ac:dyDescent="0.35">
      <c r="A869" s="2">
        <v>45284.902083333334</v>
      </c>
      <c r="B869" s="3">
        <v>0.28127314814814813</v>
      </c>
      <c r="C869" s="1" t="s">
        <v>8</v>
      </c>
      <c r="D869" s="1" t="s">
        <v>9</v>
      </c>
      <c r="E869" s="1">
        <v>472.36</v>
      </c>
      <c r="F869" s="1">
        <v>4</v>
      </c>
      <c r="G869" s="1">
        <v>1889.44</v>
      </c>
      <c r="H869" s="1" t="s">
        <v>369</v>
      </c>
    </row>
    <row r="870" spans="1:8" x14ac:dyDescent="0.35">
      <c r="A870" s="2">
        <v>45522.668055555558</v>
      </c>
      <c r="B870" s="3">
        <v>0.74388888888888882</v>
      </c>
      <c r="C870" s="1" t="s">
        <v>8</v>
      </c>
      <c r="D870" s="1" t="s">
        <v>20</v>
      </c>
      <c r="E870" s="1">
        <v>185.65</v>
      </c>
      <c r="F870" s="1">
        <v>4</v>
      </c>
      <c r="G870" s="1">
        <v>742.6</v>
      </c>
      <c r="H870" s="1" t="s">
        <v>269</v>
      </c>
    </row>
    <row r="871" spans="1:8" x14ac:dyDescent="0.35">
      <c r="A871" s="2">
        <v>45457.538888888892</v>
      </c>
      <c r="B871" s="3">
        <v>0.72600694444444447</v>
      </c>
      <c r="C871" s="1" t="s">
        <v>11</v>
      </c>
      <c r="D871" s="1" t="s">
        <v>27</v>
      </c>
      <c r="E871" s="1">
        <v>433.88</v>
      </c>
      <c r="F871" s="1">
        <v>3</v>
      </c>
      <c r="G871" s="1">
        <v>1301.6400000000001</v>
      </c>
      <c r="H871" s="1" t="s">
        <v>121</v>
      </c>
    </row>
    <row r="872" spans="1:8" x14ac:dyDescent="0.35">
      <c r="A872" s="2">
        <v>45352.306944444441</v>
      </c>
      <c r="B872" s="3">
        <v>7.8310185185185191E-2</v>
      </c>
      <c r="C872" s="1" t="s">
        <v>14</v>
      </c>
      <c r="D872" s="1" t="s">
        <v>16</v>
      </c>
      <c r="E872" s="1">
        <v>245.75</v>
      </c>
      <c r="F872" s="1">
        <v>3</v>
      </c>
      <c r="G872" s="1">
        <v>737.25</v>
      </c>
      <c r="H872" s="1" t="s">
        <v>137</v>
      </c>
    </row>
    <row r="873" spans="1:8" x14ac:dyDescent="0.35">
      <c r="A873" s="2">
        <v>45556.113888888889</v>
      </c>
      <c r="B873" s="3">
        <v>7.5162037037037041E-2</v>
      </c>
      <c r="C873" s="1" t="s">
        <v>8</v>
      </c>
      <c r="D873" s="1" t="s">
        <v>20</v>
      </c>
      <c r="E873" s="1">
        <v>129.54</v>
      </c>
      <c r="F873" s="1">
        <v>4</v>
      </c>
      <c r="G873" s="1">
        <v>518.16</v>
      </c>
      <c r="H873" s="1" t="s">
        <v>299</v>
      </c>
    </row>
    <row r="874" spans="1:8" x14ac:dyDescent="0.35">
      <c r="A874" s="2">
        <v>45160.030555555553</v>
      </c>
      <c r="B874" s="3">
        <v>0.40793981481481478</v>
      </c>
      <c r="C874" s="1" t="s">
        <v>14</v>
      </c>
      <c r="D874" s="1" t="s">
        <v>16</v>
      </c>
      <c r="E874" s="1">
        <v>77.069999999999993</v>
      </c>
      <c r="F874" s="1">
        <v>2</v>
      </c>
      <c r="G874" s="1">
        <v>154.13999999999999</v>
      </c>
      <c r="H874" s="1" t="s">
        <v>338</v>
      </c>
    </row>
    <row r="875" spans="1:8" x14ac:dyDescent="0.35">
      <c r="A875" s="2">
        <v>45461.609722222223</v>
      </c>
      <c r="B875" s="3">
        <v>5.9189814814814813E-2</v>
      </c>
      <c r="C875" s="1" t="s">
        <v>8</v>
      </c>
      <c r="D875" s="1" t="s">
        <v>16</v>
      </c>
      <c r="E875" s="1">
        <v>68.8</v>
      </c>
      <c r="F875" s="1">
        <v>5</v>
      </c>
      <c r="G875" s="1">
        <v>344</v>
      </c>
      <c r="H875" s="1" t="s">
        <v>345</v>
      </c>
    </row>
    <row r="876" spans="1:8" x14ac:dyDescent="0.35">
      <c r="A876" s="2">
        <v>45601.093055555553</v>
      </c>
      <c r="B876" s="3">
        <v>0.53732638888888895</v>
      </c>
      <c r="C876" s="1" t="s">
        <v>8</v>
      </c>
      <c r="D876" s="1" t="s">
        <v>20</v>
      </c>
      <c r="E876" s="1">
        <v>153.07</v>
      </c>
      <c r="F876" s="1">
        <v>5</v>
      </c>
      <c r="G876" s="1">
        <v>765.35</v>
      </c>
      <c r="H876" s="1" t="s">
        <v>79</v>
      </c>
    </row>
    <row r="877" spans="1:8" x14ac:dyDescent="0.35">
      <c r="A877" s="2">
        <v>45145.064583333333</v>
      </c>
      <c r="B877" s="3">
        <v>0.80385416666666665</v>
      </c>
      <c r="C877" s="1" t="s">
        <v>11</v>
      </c>
      <c r="D877" s="1" t="s">
        <v>9</v>
      </c>
      <c r="E877" s="1">
        <v>320.95</v>
      </c>
      <c r="F877" s="1">
        <v>4</v>
      </c>
      <c r="G877" s="1">
        <v>1283.8</v>
      </c>
      <c r="H877" s="1" t="s">
        <v>226</v>
      </c>
    </row>
    <row r="878" spans="1:8" x14ac:dyDescent="0.35">
      <c r="A878" s="2">
        <v>45088.588888888888</v>
      </c>
      <c r="B878" s="3">
        <v>0.45829861111111114</v>
      </c>
      <c r="C878" s="1" t="s">
        <v>14</v>
      </c>
      <c r="D878" s="1" t="s">
        <v>9</v>
      </c>
      <c r="E878" s="1">
        <v>347</v>
      </c>
      <c r="F878" s="1">
        <v>1</v>
      </c>
      <c r="G878" s="1">
        <v>347</v>
      </c>
      <c r="H878" s="1" t="s">
        <v>96</v>
      </c>
    </row>
    <row r="879" spans="1:8" x14ac:dyDescent="0.35">
      <c r="A879" s="2">
        <v>45348.813888888886</v>
      </c>
      <c r="B879" s="3">
        <v>0.39181712962962961</v>
      </c>
      <c r="C879" s="1" t="s">
        <v>14</v>
      </c>
      <c r="D879" s="1" t="s">
        <v>9</v>
      </c>
      <c r="E879" s="1">
        <v>258.02999999999997</v>
      </c>
      <c r="F879" s="1">
        <v>5</v>
      </c>
      <c r="G879" s="1">
        <v>1290.1500000000001</v>
      </c>
      <c r="H879" s="1" t="s">
        <v>370</v>
      </c>
    </row>
    <row r="880" spans="1:8" x14ac:dyDescent="0.35">
      <c r="A880" s="2">
        <v>44944.212500000001</v>
      </c>
      <c r="B880" s="3">
        <v>0.8949421296296296</v>
      </c>
      <c r="C880" s="1" t="s">
        <v>14</v>
      </c>
      <c r="D880" s="1" t="s">
        <v>12</v>
      </c>
      <c r="E880" s="1">
        <v>241.55</v>
      </c>
      <c r="F880" s="1">
        <v>2</v>
      </c>
      <c r="G880" s="1">
        <v>483.1</v>
      </c>
      <c r="H880" s="1" t="s">
        <v>122</v>
      </c>
    </row>
    <row r="881" spans="1:8" x14ac:dyDescent="0.35">
      <c r="A881" s="2">
        <v>45074.092361111114</v>
      </c>
      <c r="B881" s="3">
        <v>0.18364583333333331</v>
      </c>
      <c r="C881" s="1" t="s">
        <v>14</v>
      </c>
      <c r="D881" s="1" t="s">
        <v>16</v>
      </c>
      <c r="E881" s="1">
        <v>22.6</v>
      </c>
      <c r="F881" s="1">
        <v>2</v>
      </c>
      <c r="G881" s="1">
        <v>45.2</v>
      </c>
      <c r="H881" s="1" t="s">
        <v>271</v>
      </c>
    </row>
    <row r="882" spans="1:8" x14ac:dyDescent="0.35">
      <c r="A882" s="2">
        <v>45476.079861111109</v>
      </c>
      <c r="B882" s="3">
        <v>0.27386574074074072</v>
      </c>
      <c r="C882" s="1" t="s">
        <v>14</v>
      </c>
      <c r="D882" s="1" t="s">
        <v>16</v>
      </c>
      <c r="E882" s="1">
        <v>484.94</v>
      </c>
      <c r="F882" s="1">
        <v>4</v>
      </c>
      <c r="G882" s="1">
        <v>1939.76</v>
      </c>
      <c r="H882" s="1" t="s">
        <v>118</v>
      </c>
    </row>
    <row r="883" spans="1:8" x14ac:dyDescent="0.35">
      <c r="A883" s="2">
        <v>45034.585416666669</v>
      </c>
      <c r="B883" s="3">
        <v>9.5532407407407413E-2</v>
      </c>
      <c r="C883" s="1" t="s">
        <v>8</v>
      </c>
      <c r="D883" s="1" t="s">
        <v>27</v>
      </c>
      <c r="E883" s="1">
        <v>91.8</v>
      </c>
      <c r="F883" s="1">
        <v>4</v>
      </c>
      <c r="G883" s="1">
        <v>367.2</v>
      </c>
      <c r="H883" s="1" t="s">
        <v>47</v>
      </c>
    </row>
    <row r="884" spans="1:8" x14ac:dyDescent="0.35">
      <c r="A884" s="2">
        <v>45044.218055555553</v>
      </c>
      <c r="B884" s="3">
        <v>0.88484953703703706</v>
      </c>
      <c r="C884" s="1" t="s">
        <v>11</v>
      </c>
      <c r="D884" s="1" t="s">
        <v>9</v>
      </c>
      <c r="E884" s="1">
        <v>362.87</v>
      </c>
      <c r="F884" s="1">
        <v>3</v>
      </c>
      <c r="G884" s="1">
        <v>1088.6099999999999</v>
      </c>
      <c r="H884" s="1" t="s">
        <v>263</v>
      </c>
    </row>
    <row r="885" spans="1:8" x14ac:dyDescent="0.35">
      <c r="A885" s="2">
        <v>44980.11041666667</v>
      </c>
      <c r="B885" s="3">
        <v>0.22748842592592591</v>
      </c>
      <c r="C885" s="1" t="s">
        <v>8</v>
      </c>
      <c r="D885" s="1" t="s">
        <v>12</v>
      </c>
      <c r="E885" s="1">
        <v>380.7</v>
      </c>
      <c r="F885" s="1">
        <v>2</v>
      </c>
      <c r="G885" s="1">
        <v>761.4</v>
      </c>
      <c r="H885" s="1" t="s">
        <v>308</v>
      </c>
    </row>
    <row r="886" spans="1:8" x14ac:dyDescent="0.35">
      <c r="A886" s="2">
        <v>45330.293055555558</v>
      </c>
      <c r="B886" s="3">
        <v>0.33872685185185186</v>
      </c>
      <c r="C886" s="1" t="s">
        <v>14</v>
      </c>
      <c r="D886" s="1" t="s">
        <v>27</v>
      </c>
      <c r="E886" s="1">
        <v>469.12</v>
      </c>
      <c r="F886" s="1">
        <v>5</v>
      </c>
      <c r="G886" s="1">
        <v>2345.6</v>
      </c>
      <c r="H886" s="1" t="s">
        <v>316</v>
      </c>
    </row>
    <row r="887" spans="1:8" x14ac:dyDescent="0.35">
      <c r="A887" s="2">
        <v>44976.67291666667</v>
      </c>
      <c r="B887" s="3">
        <v>0.21894675925925924</v>
      </c>
      <c r="C887" s="1" t="s">
        <v>11</v>
      </c>
      <c r="D887" s="1" t="s">
        <v>16</v>
      </c>
      <c r="E887" s="1">
        <v>490.68</v>
      </c>
      <c r="F887" s="1">
        <v>2</v>
      </c>
      <c r="G887" s="1">
        <v>981.36</v>
      </c>
      <c r="H887" s="1" t="s">
        <v>43</v>
      </c>
    </row>
    <row r="888" spans="1:8" x14ac:dyDescent="0.35">
      <c r="A888" s="2">
        <v>45057.911805555559</v>
      </c>
      <c r="B888" s="3">
        <v>3.0995370370370371E-2</v>
      </c>
      <c r="C888" s="1" t="s">
        <v>8</v>
      </c>
      <c r="D888" s="1" t="s">
        <v>27</v>
      </c>
      <c r="E888" s="1">
        <v>251.94</v>
      </c>
      <c r="F888" s="1">
        <v>3</v>
      </c>
      <c r="G888" s="1">
        <v>755.82</v>
      </c>
      <c r="H888" s="1" t="s">
        <v>106</v>
      </c>
    </row>
    <row r="889" spans="1:8" x14ac:dyDescent="0.35">
      <c r="A889" s="2">
        <v>45001.334027777775</v>
      </c>
      <c r="B889" s="3">
        <v>0.32750000000000001</v>
      </c>
      <c r="C889" s="1" t="s">
        <v>8</v>
      </c>
      <c r="D889" s="1" t="s">
        <v>16</v>
      </c>
      <c r="E889" s="1">
        <v>165.3</v>
      </c>
      <c r="F889" s="1">
        <v>2</v>
      </c>
      <c r="G889" s="1">
        <v>330.6</v>
      </c>
      <c r="H889" s="1" t="s">
        <v>371</v>
      </c>
    </row>
    <row r="890" spans="1:8" x14ac:dyDescent="0.35">
      <c r="A890" s="2">
        <v>44978.493055555555</v>
      </c>
      <c r="B890" s="3">
        <v>0.11957175925925927</v>
      </c>
      <c r="C890" s="1" t="s">
        <v>11</v>
      </c>
      <c r="D890" s="1" t="s">
        <v>27</v>
      </c>
      <c r="E890" s="1">
        <v>309.91000000000003</v>
      </c>
      <c r="F890" s="1">
        <v>5</v>
      </c>
      <c r="G890" s="1">
        <v>1549.55</v>
      </c>
      <c r="H890" s="1" t="s">
        <v>322</v>
      </c>
    </row>
    <row r="891" spans="1:8" x14ac:dyDescent="0.35">
      <c r="A891" s="2">
        <v>45644.674305555556</v>
      </c>
      <c r="B891" s="3">
        <v>0.9816435185185185</v>
      </c>
      <c r="C891" s="1" t="s">
        <v>8</v>
      </c>
      <c r="D891" s="1" t="s">
        <v>12</v>
      </c>
      <c r="E891" s="1">
        <v>389.47</v>
      </c>
      <c r="F891" s="1">
        <v>2</v>
      </c>
      <c r="G891" s="1">
        <v>778.94</v>
      </c>
      <c r="H891" s="1" t="s">
        <v>371</v>
      </c>
    </row>
    <row r="892" spans="1:8" x14ac:dyDescent="0.35">
      <c r="A892" s="2">
        <v>45085.904861111114</v>
      </c>
      <c r="B892" s="3">
        <v>0.87181712962962965</v>
      </c>
      <c r="C892" s="1" t="s">
        <v>11</v>
      </c>
      <c r="D892" s="1" t="s">
        <v>16</v>
      </c>
      <c r="E892" s="1">
        <v>420.16</v>
      </c>
      <c r="F892" s="1">
        <v>1</v>
      </c>
      <c r="G892" s="1">
        <v>420.16</v>
      </c>
      <c r="H892" s="1" t="s">
        <v>35</v>
      </c>
    </row>
    <row r="893" spans="1:8" x14ac:dyDescent="0.35">
      <c r="A893" s="2">
        <v>45595.285416666666</v>
      </c>
      <c r="B893" s="3">
        <v>0.66265046296296293</v>
      </c>
      <c r="C893" s="1" t="s">
        <v>11</v>
      </c>
      <c r="D893" s="1" t="s">
        <v>9</v>
      </c>
      <c r="E893" s="1">
        <v>408.48</v>
      </c>
      <c r="F893" s="1">
        <v>5</v>
      </c>
      <c r="G893" s="1">
        <v>2042.4</v>
      </c>
      <c r="H893" s="1" t="s">
        <v>336</v>
      </c>
    </row>
    <row r="894" spans="1:8" x14ac:dyDescent="0.35">
      <c r="A894" s="2">
        <v>45654.09652777778</v>
      </c>
      <c r="B894" s="3">
        <v>0.16533564814814813</v>
      </c>
      <c r="C894" s="1" t="s">
        <v>11</v>
      </c>
      <c r="D894" s="1" t="s">
        <v>9</v>
      </c>
      <c r="E894" s="1">
        <v>387.86</v>
      </c>
      <c r="F894" s="1">
        <v>1</v>
      </c>
      <c r="G894" s="1">
        <v>387.86</v>
      </c>
      <c r="H894" s="1" t="s">
        <v>244</v>
      </c>
    </row>
    <row r="895" spans="1:8" x14ac:dyDescent="0.35">
      <c r="A895" s="2">
        <v>45664.055555555555</v>
      </c>
      <c r="B895" s="3">
        <v>0.45065972222222223</v>
      </c>
      <c r="C895" s="1" t="s">
        <v>11</v>
      </c>
      <c r="D895" s="1" t="s">
        <v>16</v>
      </c>
      <c r="E895" s="1">
        <v>73.87</v>
      </c>
      <c r="F895" s="1">
        <v>1</v>
      </c>
      <c r="G895" s="1">
        <v>73.87</v>
      </c>
      <c r="H895" s="1" t="s">
        <v>88</v>
      </c>
    </row>
    <row r="896" spans="1:8" x14ac:dyDescent="0.35">
      <c r="A896" s="2">
        <v>45378.90902777778</v>
      </c>
      <c r="B896" s="3">
        <v>0.8056712962962963</v>
      </c>
      <c r="C896" s="1" t="s">
        <v>8</v>
      </c>
      <c r="D896" s="1" t="s">
        <v>12</v>
      </c>
      <c r="E896" s="1">
        <v>168.02</v>
      </c>
      <c r="F896" s="1">
        <v>4</v>
      </c>
      <c r="G896" s="1">
        <v>672.08</v>
      </c>
      <c r="H896" s="1" t="s">
        <v>244</v>
      </c>
    </row>
    <row r="897" spans="1:8" x14ac:dyDescent="0.35">
      <c r="A897" s="2">
        <v>45612.056250000001</v>
      </c>
      <c r="B897" s="3">
        <v>0.36795138888888884</v>
      </c>
      <c r="C897" s="1" t="s">
        <v>14</v>
      </c>
      <c r="D897" s="1" t="s">
        <v>12</v>
      </c>
      <c r="E897" s="1">
        <v>382.61</v>
      </c>
      <c r="F897" s="1">
        <v>3</v>
      </c>
      <c r="G897" s="1">
        <v>1147.83</v>
      </c>
      <c r="H897" s="1" t="s">
        <v>174</v>
      </c>
    </row>
    <row r="898" spans="1:8" x14ac:dyDescent="0.35">
      <c r="A898" s="2">
        <v>45113.71597222222</v>
      </c>
      <c r="B898" s="3">
        <v>0.33631944444444445</v>
      </c>
      <c r="C898" s="1" t="s">
        <v>14</v>
      </c>
      <c r="D898" s="1" t="s">
        <v>9</v>
      </c>
      <c r="E898" s="1">
        <v>145.69</v>
      </c>
      <c r="F898" s="1">
        <v>2</v>
      </c>
      <c r="G898" s="1">
        <v>291.38</v>
      </c>
      <c r="H898" s="1" t="s">
        <v>195</v>
      </c>
    </row>
    <row r="899" spans="1:8" x14ac:dyDescent="0.35">
      <c r="A899" s="2">
        <v>45275.272222222222</v>
      </c>
      <c r="B899" s="3">
        <v>0.40099537037037036</v>
      </c>
      <c r="C899" s="1" t="s">
        <v>8</v>
      </c>
      <c r="D899" s="1" t="s">
        <v>27</v>
      </c>
      <c r="E899" s="1">
        <v>411.89</v>
      </c>
      <c r="F899" s="1">
        <v>3</v>
      </c>
      <c r="G899" s="1">
        <v>1235.67</v>
      </c>
      <c r="H899" s="1" t="s">
        <v>22</v>
      </c>
    </row>
    <row r="900" spans="1:8" x14ac:dyDescent="0.35">
      <c r="A900" s="2">
        <v>45154.852777777778</v>
      </c>
      <c r="B900" s="3">
        <v>0.42601851851851852</v>
      </c>
      <c r="C900" s="1" t="s">
        <v>8</v>
      </c>
      <c r="D900" s="1" t="s">
        <v>9</v>
      </c>
      <c r="E900" s="1">
        <v>225.07</v>
      </c>
      <c r="F900" s="1">
        <v>3</v>
      </c>
      <c r="G900" s="1">
        <v>675.21</v>
      </c>
      <c r="H900" s="1" t="s">
        <v>106</v>
      </c>
    </row>
    <row r="901" spans="1:8" x14ac:dyDescent="0.35">
      <c r="A901" s="2">
        <v>45611.679166666669</v>
      </c>
      <c r="B901" s="3">
        <v>0.48370370370370369</v>
      </c>
      <c r="C901" s="1" t="s">
        <v>14</v>
      </c>
      <c r="D901" s="1" t="s">
        <v>12</v>
      </c>
      <c r="E901" s="1">
        <v>43.04</v>
      </c>
      <c r="F901" s="1">
        <v>5</v>
      </c>
      <c r="G901" s="1">
        <v>215.2</v>
      </c>
      <c r="H901" s="1" t="s">
        <v>227</v>
      </c>
    </row>
    <row r="902" spans="1:8" x14ac:dyDescent="0.35">
      <c r="A902" s="2">
        <v>45016.343055555553</v>
      </c>
      <c r="B902" s="3">
        <v>0.75422453703703696</v>
      </c>
      <c r="C902" s="1" t="s">
        <v>8</v>
      </c>
      <c r="D902" s="1" t="s">
        <v>20</v>
      </c>
      <c r="E902" s="1">
        <v>55</v>
      </c>
      <c r="F902" s="1">
        <v>5</v>
      </c>
      <c r="G902" s="1">
        <v>275</v>
      </c>
      <c r="H902" s="1" t="s">
        <v>125</v>
      </c>
    </row>
    <row r="903" spans="1:8" x14ac:dyDescent="0.35">
      <c r="A903" s="2">
        <v>45324.911111111112</v>
      </c>
      <c r="B903" s="3">
        <v>0.76603009259259258</v>
      </c>
      <c r="C903" s="1" t="s">
        <v>14</v>
      </c>
      <c r="D903" s="1" t="s">
        <v>12</v>
      </c>
      <c r="E903" s="1">
        <v>54.72</v>
      </c>
      <c r="F903" s="1">
        <v>4</v>
      </c>
      <c r="G903" s="1">
        <v>218.88</v>
      </c>
      <c r="H903" s="1" t="s">
        <v>83</v>
      </c>
    </row>
    <row r="904" spans="1:8" x14ac:dyDescent="0.35">
      <c r="A904" s="2">
        <v>45603.473611111112</v>
      </c>
      <c r="B904" s="3">
        <v>7.4722222222222232E-2</v>
      </c>
      <c r="C904" s="1" t="s">
        <v>11</v>
      </c>
      <c r="D904" s="1" t="s">
        <v>16</v>
      </c>
      <c r="E904" s="1">
        <v>87.59</v>
      </c>
      <c r="F904" s="1">
        <v>2</v>
      </c>
      <c r="G904" s="1">
        <v>175.18</v>
      </c>
      <c r="H904" s="1" t="s">
        <v>192</v>
      </c>
    </row>
    <row r="905" spans="1:8" x14ac:dyDescent="0.35">
      <c r="A905" s="2">
        <v>45620.276388888888</v>
      </c>
      <c r="B905" s="3">
        <v>0.62182870370370369</v>
      </c>
      <c r="C905" s="1" t="s">
        <v>11</v>
      </c>
      <c r="D905" s="1" t="s">
        <v>16</v>
      </c>
      <c r="E905" s="1">
        <v>407.27</v>
      </c>
      <c r="F905" s="1">
        <v>3</v>
      </c>
      <c r="G905" s="1">
        <v>1221.81</v>
      </c>
      <c r="H905" s="1" t="s">
        <v>64</v>
      </c>
    </row>
    <row r="906" spans="1:8" x14ac:dyDescent="0.35">
      <c r="A906" s="2">
        <v>45236.537499999999</v>
      </c>
      <c r="B906" s="3">
        <v>0.69138888888888894</v>
      </c>
      <c r="C906" s="1" t="s">
        <v>14</v>
      </c>
      <c r="D906" s="1" t="s">
        <v>16</v>
      </c>
      <c r="E906" s="1">
        <v>160.66999999999999</v>
      </c>
      <c r="F906" s="1">
        <v>1</v>
      </c>
      <c r="G906" s="1">
        <v>160.66999999999999</v>
      </c>
      <c r="H906" s="1" t="s">
        <v>278</v>
      </c>
    </row>
    <row r="907" spans="1:8" x14ac:dyDescent="0.35">
      <c r="A907" s="2">
        <v>45206.859722222223</v>
      </c>
      <c r="B907" s="3">
        <v>0.24547453703703703</v>
      </c>
      <c r="C907" s="1" t="s">
        <v>8</v>
      </c>
      <c r="D907" s="1" t="s">
        <v>9</v>
      </c>
      <c r="E907" s="1">
        <v>11.01</v>
      </c>
      <c r="F907" s="1">
        <v>4</v>
      </c>
      <c r="G907" s="1">
        <v>44.04</v>
      </c>
      <c r="H907" s="1" t="s">
        <v>273</v>
      </c>
    </row>
    <row r="908" spans="1:8" x14ac:dyDescent="0.35">
      <c r="A908" s="2">
        <v>45133.988194444442</v>
      </c>
      <c r="B908" s="3">
        <v>0.42891203703703701</v>
      </c>
      <c r="C908" s="1" t="s">
        <v>14</v>
      </c>
      <c r="D908" s="1" t="s">
        <v>12</v>
      </c>
      <c r="E908" s="1">
        <v>126.25</v>
      </c>
      <c r="F908" s="1">
        <v>1</v>
      </c>
      <c r="G908" s="1">
        <v>126.25</v>
      </c>
      <c r="H908" s="1" t="s">
        <v>280</v>
      </c>
    </row>
    <row r="909" spans="1:8" x14ac:dyDescent="0.35">
      <c r="A909" s="2">
        <v>45654.970138888886</v>
      </c>
      <c r="B909" s="3">
        <v>0.46422453703703703</v>
      </c>
      <c r="C909" s="1" t="s">
        <v>11</v>
      </c>
      <c r="D909" s="1" t="s">
        <v>9</v>
      </c>
      <c r="E909" s="1">
        <v>258.44</v>
      </c>
      <c r="F909" s="1">
        <v>5</v>
      </c>
      <c r="G909" s="1">
        <v>1292.2</v>
      </c>
      <c r="H909" s="1" t="s">
        <v>60</v>
      </c>
    </row>
    <row r="910" spans="1:8" x14ac:dyDescent="0.35">
      <c r="A910" s="2">
        <v>45525.818749999999</v>
      </c>
      <c r="B910" s="3">
        <v>0.25722222222222224</v>
      </c>
      <c r="C910" s="1" t="s">
        <v>14</v>
      </c>
      <c r="D910" s="1" t="s">
        <v>20</v>
      </c>
      <c r="E910" s="1">
        <v>236.73</v>
      </c>
      <c r="F910" s="1">
        <v>1</v>
      </c>
      <c r="G910" s="1">
        <v>236.73</v>
      </c>
      <c r="H910" s="1" t="s">
        <v>55</v>
      </c>
    </row>
    <row r="911" spans="1:8" x14ac:dyDescent="0.35">
      <c r="A911" s="2">
        <v>45517.593055555553</v>
      </c>
      <c r="B911" s="3">
        <v>0.89358796296296295</v>
      </c>
      <c r="C911" s="1" t="s">
        <v>14</v>
      </c>
      <c r="D911" s="1" t="s">
        <v>27</v>
      </c>
      <c r="E911" s="1">
        <v>284.57</v>
      </c>
      <c r="F911" s="1">
        <v>3</v>
      </c>
      <c r="G911" s="1">
        <v>853.71</v>
      </c>
      <c r="H911" s="1" t="s">
        <v>52</v>
      </c>
    </row>
    <row r="912" spans="1:8" x14ac:dyDescent="0.35">
      <c r="A912" s="2">
        <v>45073.757638888892</v>
      </c>
      <c r="B912" s="3">
        <v>0.91365740740740742</v>
      </c>
      <c r="C912" s="1" t="s">
        <v>11</v>
      </c>
      <c r="D912" s="1" t="s">
        <v>20</v>
      </c>
      <c r="E912" s="1">
        <v>465.82</v>
      </c>
      <c r="F912" s="1">
        <v>5</v>
      </c>
      <c r="G912" s="1">
        <v>2329.1</v>
      </c>
      <c r="H912" s="1" t="s">
        <v>215</v>
      </c>
    </row>
    <row r="913" spans="1:8" x14ac:dyDescent="0.35">
      <c r="A913" s="2">
        <v>45018.270833333336</v>
      </c>
      <c r="B913" s="3">
        <v>0.5819791666666666</v>
      </c>
      <c r="C913" s="1" t="s">
        <v>8</v>
      </c>
      <c r="D913" s="1" t="s">
        <v>12</v>
      </c>
      <c r="E913" s="1">
        <v>361.46</v>
      </c>
      <c r="F913" s="1">
        <v>1</v>
      </c>
      <c r="G913" s="1">
        <v>361.46</v>
      </c>
      <c r="H913" s="1" t="s">
        <v>372</v>
      </c>
    </row>
    <row r="914" spans="1:8" x14ac:dyDescent="0.35">
      <c r="A914" s="2">
        <v>44991.214583333334</v>
      </c>
      <c r="B914" s="3">
        <v>5.7361111111111113E-2</v>
      </c>
      <c r="C914" s="1" t="s">
        <v>14</v>
      </c>
      <c r="D914" s="1" t="s">
        <v>20</v>
      </c>
      <c r="E914" s="1">
        <v>246.46</v>
      </c>
      <c r="F914" s="1">
        <v>3</v>
      </c>
      <c r="G914" s="1">
        <v>739.38</v>
      </c>
      <c r="H914" s="1" t="s">
        <v>93</v>
      </c>
    </row>
    <row r="915" spans="1:8" x14ac:dyDescent="0.35">
      <c r="A915" s="2">
        <v>45569.044444444444</v>
      </c>
      <c r="B915" s="3">
        <v>9.0347222222222232E-2</v>
      </c>
      <c r="C915" s="1" t="s">
        <v>8</v>
      </c>
      <c r="D915" s="1" t="s">
        <v>20</v>
      </c>
      <c r="E915" s="1">
        <v>275.66000000000003</v>
      </c>
      <c r="F915" s="1">
        <v>3</v>
      </c>
      <c r="G915" s="1">
        <v>826.98</v>
      </c>
      <c r="H915" s="1" t="s">
        <v>346</v>
      </c>
    </row>
    <row r="916" spans="1:8" x14ac:dyDescent="0.35">
      <c r="A916" s="2">
        <v>44993.240972222222</v>
      </c>
      <c r="B916" s="3">
        <v>0.33423611111111112</v>
      </c>
      <c r="C916" s="1" t="s">
        <v>14</v>
      </c>
      <c r="D916" s="1" t="s">
        <v>27</v>
      </c>
      <c r="E916" s="1">
        <v>294.60000000000002</v>
      </c>
      <c r="F916" s="1">
        <v>3</v>
      </c>
      <c r="G916" s="1">
        <v>883.8</v>
      </c>
      <c r="H916" s="1" t="s">
        <v>80</v>
      </c>
    </row>
    <row r="917" spans="1:8" x14ac:dyDescent="0.35">
      <c r="A917" s="2">
        <v>44942.476388888892</v>
      </c>
      <c r="B917" s="3">
        <v>0.47597222222222224</v>
      </c>
      <c r="C917" s="1" t="s">
        <v>11</v>
      </c>
      <c r="D917" s="1" t="s">
        <v>20</v>
      </c>
      <c r="E917" s="1">
        <v>400.51</v>
      </c>
      <c r="F917" s="1">
        <v>2</v>
      </c>
      <c r="G917" s="1">
        <v>801.02</v>
      </c>
      <c r="H917" s="1" t="s">
        <v>291</v>
      </c>
    </row>
    <row r="918" spans="1:8" x14ac:dyDescent="0.35">
      <c r="A918" s="2">
        <v>45274.675694444442</v>
      </c>
      <c r="B918" s="3">
        <v>0.81533564814814818</v>
      </c>
      <c r="C918" s="1" t="s">
        <v>14</v>
      </c>
      <c r="D918" s="1" t="s">
        <v>16</v>
      </c>
      <c r="E918" s="1">
        <v>211.74</v>
      </c>
      <c r="F918" s="1">
        <v>2</v>
      </c>
      <c r="G918" s="1">
        <v>423.48</v>
      </c>
      <c r="H918" s="1" t="s">
        <v>113</v>
      </c>
    </row>
    <row r="919" spans="1:8" x14ac:dyDescent="0.35">
      <c r="A919" s="2">
        <v>45031.682638888888</v>
      </c>
      <c r="B919" s="3">
        <v>0.57986111111111105</v>
      </c>
      <c r="C919" s="1" t="s">
        <v>8</v>
      </c>
      <c r="D919" s="1" t="s">
        <v>9</v>
      </c>
      <c r="E919" s="1">
        <v>128.41999999999999</v>
      </c>
      <c r="F919" s="1">
        <v>4</v>
      </c>
      <c r="G919" s="1">
        <v>513.67999999999995</v>
      </c>
      <c r="H919" s="1" t="s">
        <v>215</v>
      </c>
    </row>
    <row r="920" spans="1:8" x14ac:dyDescent="0.35">
      <c r="A920" s="2">
        <v>45314.15625</v>
      </c>
      <c r="B920" s="3">
        <v>0.97362268518518524</v>
      </c>
      <c r="C920" s="1" t="s">
        <v>11</v>
      </c>
      <c r="D920" s="1" t="s">
        <v>9</v>
      </c>
      <c r="E920" s="1">
        <v>326.14</v>
      </c>
      <c r="F920" s="1">
        <v>3</v>
      </c>
      <c r="G920" s="1">
        <v>978.42</v>
      </c>
      <c r="H920" s="1" t="s">
        <v>373</v>
      </c>
    </row>
    <row r="921" spans="1:8" x14ac:dyDescent="0.35">
      <c r="A921" s="2">
        <v>45193.318055555559</v>
      </c>
      <c r="B921" s="3">
        <v>0.52124999999999999</v>
      </c>
      <c r="C921" s="1" t="s">
        <v>14</v>
      </c>
      <c r="D921" s="1" t="s">
        <v>16</v>
      </c>
      <c r="E921" s="1">
        <v>339.93</v>
      </c>
      <c r="F921" s="1">
        <v>2</v>
      </c>
      <c r="G921" s="1">
        <v>679.86</v>
      </c>
      <c r="H921" s="1" t="s">
        <v>173</v>
      </c>
    </row>
    <row r="922" spans="1:8" x14ac:dyDescent="0.35">
      <c r="A922" s="2">
        <v>45477.092361111114</v>
      </c>
      <c r="B922" s="3">
        <v>0.80964120370370374</v>
      </c>
      <c r="C922" s="1" t="s">
        <v>8</v>
      </c>
      <c r="D922" s="1" t="s">
        <v>27</v>
      </c>
      <c r="E922" s="1">
        <v>272.92</v>
      </c>
      <c r="F922" s="1">
        <v>2</v>
      </c>
      <c r="G922" s="1">
        <v>545.84</v>
      </c>
      <c r="H922" s="1" t="s">
        <v>321</v>
      </c>
    </row>
    <row r="923" spans="1:8" x14ac:dyDescent="0.35">
      <c r="A923" s="2">
        <v>45080.750694444447</v>
      </c>
      <c r="B923" s="3">
        <v>4.3576388888888894E-2</v>
      </c>
      <c r="C923" s="1" t="s">
        <v>8</v>
      </c>
      <c r="D923" s="1" t="s">
        <v>16</v>
      </c>
      <c r="E923" s="1">
        <v>494.87</v>
      </c>
      <c r="F923" s="1">
        <v>3</v>
      </c>
      <c r="G923" s="1">
        <v>1484.61</v>
      </c>
      <c r="H923" s="1" t="s">
        <v>285</v>
      </c>
    </row>
    <row r="924" spans="1:8" x14ac:dyDescent="0.35">
      <c r="A924" s="2">
        <v>45120.440972222219</v>
      </c>
      <c r="B924" s="3">
        <v>0.46061342592592597</v>
      </c>
      <c r="C924" s="1" t="s">
        <v>14</v>
      </c>
      <c r="D924" s="1" t="s">
        <v>27</v>
      </c>
      <c r="E924" s="1">
        <v>482.49</v>
      </c>
      <c r="F924" s="1">
        <v>5</v>
      </c>
      <c r="G924" s="1">
        <v>2412.4499999999998</v>
      </c>
      <c r="H924" s="1" t="s">
        <v>321</v>
      </c>
    </row>
    <row r="925" spans="1:8" x14ac:dyDescent="0.35">
      <c r="A925" s="2">
        <v>45177.870833333334</v>
      </c>
      <c r="B925" s="3">
        <v>0.99788194444444445</v>
      </c>
      <c r="C925" s="1" t="s">
        <v>8</v>
      </c>
      <c r="D925" s="1" t="s">
        <v>27</v>
      </c>
      <c r="E925" s="1">
        <v>159.49</v>
      </c>
      <c r="F925" s="1">
        <v>5</v>
      </c>
      <c r="G925" s="1">
        <v>797.45</v>
      </c>
      <c r="H925" s="1" t="s">
        <v>364</v>
      </c>
    </row>
    <row r="926" spans="1:8" x14ac:dyDescent="0.35">
      <c r="A926" s="2">
        <v>44932.055555555555</v>
      </c>
      <c r="B926" s="3">
        <v>0.40968749999999998</v>
      </c>
      <c r="C926" s="1" t="s">
        <v>11</v>
      </c>
      <c r="D926" s="1" t="s">
        <v>12</v>
      </c>
      <c r="E926" s="1">
        <v>442.12</v>
      </c>
      <c r="F926" s="1">
        <v>4</v>
      </c>
      <c r="G926" s="1">
        <v>1768.48</v>
      </c>
      <c r="H926" s="1" t="s">
        <v>149</v>
      </c>
    </row>
    <row r="927" spans="1:8" x14ac:dyDescent="0.35">
      <c r="A927" s="2">
        <v>45572.18472222222</v>
      </c>
      <c r="B927" s="3">
        <v>0.63332175925925926</v>
      </c>
      <c r="C927" s="1" t="s">
        <v>11</v>
      </c>
      <c r="D927" s="1" t="s">
        <v>12</v>
      </c>
      <c r="E927" s="1">
        <v>413.31</v>
      </c>
      <c r="F927" s="1">
        <v>1</v>
      </c>
      <c r="G927" s="1">
        <v>413.31</v>
      </c>
      <c r="H927" s="1" t="s">
        <v>314</v>
      </c>
    </row>
    <row r="928" spans="1:8" x14ac:dyDescent="0.35">
      <c r="A928" s="2">
        <v>45578.147916666669</v>
      </c>
      <c r="B928" s="3">
        <v>0.81398148148148142</v>
      </c>
      <c r="C928" s="1" t="s">
        <v>8</v>
      </c>
      <c r="D928" s="1" t="s">
        <v>20</v>
      </c>
      <c r="E928" s="1">
        <v>207.8</v>
      </c>
      <c r="F928" s="1">
        <v>5</v>
      </c>
      <c r="G928" s="1">
        <v>1039</v>
      </c>
      <c r="H928" s="1" t="s">
        <v>291</v>
      </c>
    </row>
    <row r="929" spans="1:8" x14ac:dyDescent="0.35">
      <c r="A929" s="2">
        <v>45095.707638888889</v>
      </c>
      <c r="B929" s="3">
        <v>0.18322916666666667</v>
      </c>
      <c r="C929" s="1" t="s">
        <v>11</v>
      </c>
      <c r="D929" s="1" t="s">
        <v>12</v>
      </c>
      <c r="E929" s="1">
        <v>384.31</v>
      </c>
      <c r="F929" s="1">
        <v>4</v>
      </c>
      <c r="G929" s="1">
        <v>1537.24</v>
      </c>
      <c r="H929" s="1" t="s">
        <v>322</v>
      </c>
    </row>
    <row r="930" spans="1:8" x14ac:dyDescent="0.35">
      <c r="A930" s="2">
        <v>45010.230555555558</v>
      </c>
      <c r="B930" s="3">
        <v>0.73393518518518519</v>
      </c>
      <c r="C930" s="1" t="s">
        <v>11</v>
      </c>
      <c r="D930" s="1" t="s">
        <v>16</v>
      </c>
      <c r="E930" s="1">
        <v>345.9</v>
      </c>
      <c r="F930" s="1">
        <v>2</v>
      </c>
      <c r="G930" s="1">
        <v>691.8</v>
      </c>
      <c r="H930" s="1" t="s">
        <v>289</v>
      </c>
    </row>
    <row r="931" spans="1:8" x14ac:dyDescent="0.35">
      <c r="A931" s="2">
        <v>45300.427083333336</v>
      </c>
      <c r="B931" s="3">
        <v>0.26298611111111109</v>
      </c>
      <c r="C931" s="1" t="s">
        <v>11</v>
      </c>
      <c r="D931" s="1" t="s">
        <v>9</v>
      </c>
      <c r="E931" s="1">
        <v>213.45</v>
      </c>
      <c r="F931" s="1">
        <v>5</v>
      </c>
      <c r="G931" s="1">
        <v>1067.25</v>
      </c>
      <c r="H931" s="1" t="s">
        <v>58</v>
      </c>
    </row>
    <row r="932" spans="1:8" x14ac:dyDescent="0.35">
      <c r="A932" s="2">
        <v>45201.736805555556</v>
      </c>
      <c r="B932" s="3">
        <v>0.17482638888888891</v>
      </c>
      <c r="C932" s="1" t="s">
        <v>11</v>
      </c>
      <c r="D932" s="1" t="s">
        <v>27</v>
      </c>
      <c r="E932" s="1">
        <v>76.16</v>
      </c>
      <c r="F932" s="1">
        <v>5</v>
      </c>
      <c r="G932" s="1">
        <v>380.8</v>
      </c>
      <c r="H932" s="1" t="s">
        <v>28</v>
      </c>
    </row>
    <row r="933" spans="1:8" x14ac:dyDescent="0.35">
      <c r="A933" s="2">
        <v>45585.918055555558</v>
      </c>
      <c r="B933" s="3">
        <v>0.24789351851851851</v>
      </c>
      <c r="C933" s="1" t="s">
        <v>11</v>
      </c>
      <c r="D933" s="1" t="s">
        <v>16</v>
      </c>
      <c r="E933" s="1">
        <v>483.8</v>
      </c>
      <c r="F933" s="1">
        <v>1</v>
      </c>
      <c r="G933" s="1">
        <v>483.8</v>
      </c>
      <c r="H933" s="1" t="s">
        <v>149</v>
      </c>
    </row>
    <row r="934" spans="1:8" x14ac:dyDescent="0.35">
      <c r="A934" s="2">
        <v>45051.433333333334</v>
      </c>
      <c r="B934" s="3">
        <v>0.96395833333333336</v>
      </c>
      <c r="C934" s="1" t="s">
        <v>11</v>
      </c>
      <c r="D934" s="1" t="s">
        <v>20</v>
      </c>
      <c r="E934" s="1">
        <v>407.27</v>
      </c>
      <c r="F934" s="1">
        <v>5</v>
      </c>
      <c r="G934" s="1">
        <v>2036.35</v>
      </c>
      <c r="H934" s="1" t="s">
        <v>130</v>
      </c>
    </row>
    <row r="935" spans="1:8" x14ac:dyDescent="0.35">
      <c r="A935" s="2">
        <v>45267.71875</v>
      </c>
      <c r="B935" s="3">
        <v>0.13875000000000001</v>
      </c>
      <c r="C935" s="1" t="s">
        <v>8</v>
      </c>
      <c r="D935" s="1" t="s">
        <v>12</v>
      </c>
      <c r="E935" s="1">
        <v>241.71</v>
      </c>
      <c r="F935" s="1">
        <v>4</v>
      </c>
      <c r="G935" s="1">
        <v>966.84</v>
      </c>
      <c r="H935" s="1" t="s">
        <v>185</v>
      </c>
    </row>
    <row r="936" spans="1:8" x14ac:dyDescent="0.35">
      <c r="A936" s="2">
        <v>45246.590277777781</v>
      </c>
      <c r="B936" s="3">
        <v>0.7168402777777777</v>
      </c>
      <c r="C936" s="1" t="s">
        <v>14</v>
      </c>
      <c r="D936" s="1" t="s">
        <v>9</v>
      </c>
      <c r="E936" s="1">
        <v>137.25</v>
      </c>
      <c r="F936" s="1">
        <v>2</v>
      </c>
      <c r="G936" s="1">
        <v>274.5</v>
      </c>
      <c r="H936" s="1" t="s">
        <v>81</v>
      </c>
    </row>
    <row r="937" spans="1:8" x14ac:dyDescent="0.35">
      <c r="A937" s="2">
        <v>45366.711111111108</v>
      </c>
      <c r="B937" s="3">
        <v>0.46809027777777779</v>
      </c>
      <c r="C937" s="1" t="s">
        <v>8</v>
      </c>
      <c r="D937" s="1" t="s">
        <v>16</v>
      </c>
      <c r="E937" s="1">
        <v>135.68</v>
      </c>
      <c r="F937" s="1">
        <v>1</v>
      </c>
      <c r="G937" s="1">
        <v>135.68</v>
      </c>
      <c r="H937" s="1" t="s">
        <v>355</v>
      </c>
    </row>
    <row r="938" spans="1:8" x14ac:dyDescent="0.35">
      <c r="A938" s="2">
        <v>45661.575694444444</v>
      </c>
      <c r="B938" s="3">
        <v>0.25475694444444447</v>
      </c>
      <c r="C938" s="1" t="s">
        <v>8</v>
      </c>
      <c r="D938" s="1" t="s">
        <v>9</v>
      </c>
      <c r="E938" s="1">
        <v>160.46</v>
      </c>
      <c r="F938" s="1">
        <v>2</v>
      </c>
      <c r="G938" s="1">
        <v>320.92</v>
      </c>
      <c r="H938" s="1" t="s">
        <v>296</v>
      </c>
    </row>
    <row r="939" spans="1:8" x14ac:dyDescent="0.35">
      <c r="A939" s="2">
        <v>45410.09097222222</v>
      </c>
      <c r="B939" s="3">
        <v>0.41487268518518516</v>
      </c>
      <c r="C939" s="1" t="s">
        <v>11</v>
      </c>
      <c r="D939" s="1" t="s">
        <v>16</v>
      </c>
      <c r="E939" s="1">
        <v>102.92</v>
      </c>
      <c r="F939" s="1">
        <v>1</v>
      </c>
      <c r="G939" s="1">
        <v>102.92</v>
      </c>
      <c r="H939" s="1" t="s">
        <v>374</v>
      </c>
    </row>
    <row r="940" spans="1:8" x14ac:dyDescent="0.35">
      <c r="A940" s="2">
        <v>45267.284722222219</v>
      </c>
      <c r="B940" s="3">
        <v>0.4559259259259259</v>
      </c>
      <c r="C940" s="1" t="s">
        <v>14</v>
      </c>
      <c r="D940" s="1" t="s">
        <v>16</v>
      </c>
      <c r="E940" s="1">
        <v>416.46</v>
      </c>
      <c r="F940" s="1">
        <v>2</v>
      </c>
      <c r="G940" s="1">
        <v>832.92</v>
      </c>
      <c r="H940" s="1" t="s">
        <v>80</v>
      </c>
    </row>
    <row r="941" spans="1:8" x14ac:dyDescent="0.35">
      <c r="A941" s="2">
        <v>45023.663194444445</v>
      </c>
      <c r="B941" s="3">
        <v>0.90644675925925933</v>
      </c>
      <c r="C941" s="1" t="s">
        <v>11</v>
      </c>
      <c r="D941" s="1" t="s">
        <v>9</v>
      </c>
      <c r="E941" s="1">
        <v>323.02999999999997</v>
      </c>
      <c r="F941" s="1">
        <v>3</v>
      </c>
      <c r="G941" s="1">
        <v>969.09</v>
      </c>
      <c r="H941" s="1" t="s">
        <v>265</v>
      </c>
    </row>
    <row r="942" spans="1:8" x14ac:dyDescent="0.35">
      <c r="A942" s="2">
        <v>45572.010416666664</v>
      </c>
      <c r="B942" s="3">
        <v>0.43437500000000001</v>
      </c>
      <c r="C942" s="1" t="s">
        <v>8</v>
      </c>
      <c r="D942" s="1" t="s">
        <v>9</v>
      </c>
      <c r="E942" s="1">
        <v>400.27</v>
      </c>
      <c r="F942" s="1">
        <v>2</v>
      </c>
      <c r="G942" s="1">
        <v>800.54</v>
      </c>
      <c r="H942" s="1" t="s">
        <v>231</v>
      </c>
    </row>
    <row r="943" spans="1:8" x14ac:dyDescent="0.35">
      <c r="A943" s="2">
        <v>45534.214583333334</v>
      </c>
      <c r="B943" s="3">
        <v>1.0659722222222221E-2</v>
      </c>
      <c r="C943" s="1" t="s">
        <v>8</v>
      </c>
      <c r="D943" s="1" t="s">
        <v>9</v>
      </c>
      <c r="E943" s="1">
        <v>375.34</v>
      </c>
      <c r="F943" s="1">
        <v>3</v>
      </c>
      <c r="G943" s="1">
        <v>1126.02</v>
      </c>
      <c r="H943" s="1" t="s">
        <v>222</v>
      </c>
    </row>
    <row r="944" spans="1:8" x14ac:dyDescent="0.35">
      <c r="A944" s="2">
        <v>45569.381249999999</v>
      </c>
      <c r="B944" s="3">
        <v>0.9787499999999999</v>
      </c>
      <c r="C944" s="1" t="s">
        <v>14</v>
      </c>
      <c r="D944" s="1" t="s">
        <v>27</v>
      </c>
      <c r="E944" s="1">
        <v>213.89</v>
      </c>
      <c r="F944" s="1">
        <v>5</v>
      </c>
      <c r="G944" s="1">
        <v>1069.45</v>
      </c>
      <c r="H944" s="1" t="s">
        <v>60</v>
      </c>
    </row>
    <row r="945" spans="1:8" x14ac:dyDescent="0.35">
      <c r="A945" s="2">
        <v>45008.843055555553</v>
      </c>
      <c r="B945" s="3">
        <v>0.39847222222222217</v>
      </c>
      <c r="C945" s="1" t="s">
        <v>8</v>
      </c>
      <c r="D945" s="1" t="s">
        <v>12</v>
      </c>
      <c r="E945" s="1">
        <v>259.94</v>
      </c>
      <c r="F945" s="1">
        <v>3</v>
      </c>
      <c r="G945" s="1">
        <v>779.82</v>
      </c>
      <c r="H945" s="1" t="s">
        <v>54</v>
      </c>
    </row>
    <row r="946" spans="1:8" x14ac:dyDescent="0.35">
      <c r="A946" s="2">
        <v>45220.26666666667</v>
      </c>
      <c r="B946" s="3">
        <v>0.73430555555555566</v>
      </c>
      <c r="C946" s="1" t="s">
        <v>14</v>
      </c>
      <c r="D946" s="1" t="s">
        <v>9</v>
      </c>
      <c r="E946" s="1">
        <v>437.05</v>
      </c>
      <c r="F946" s="1">
        <v>5</v>
      </c>
      <c r="G946" s="1">
        <v>2185.25</v>
      </c>
      <c r="H946" s="1" t="s">
        <v>19</v>
      </c>
    </row>
    <row r="947" spans="1:8" x14ac:dyDescent="0.35">
      <c r="A947" s="2">
        <v>45213.588194444441</v>
      </c>
      <c r="B947" s="3">
        <v>0.50722222222222224</v>
      </c>
      <c r="C947" s="1" t="s">
        <v>8</v>
      </c>
      <c r="D947" s="1" t="s">
        <v>16</v>
      </c>
      <c r="E947" s="1">
        <v>143.66</v>
      </c>
      <c r="F947" s="1">
        <v>5</v>
      </c>
      <c r="G947" s="1">
        <v>718.3</v>
      </c>
      <c r="H947" s="1" t="s">
        <v>280</v>
      </c>
    </row>
    <row r="948" spans="1:8" x14ac:dyDescent="0.35">
      <c r="A948" s="2">
        <v>45633.145138888889</v>
      </c>
      <c r="B948" s="3">
        <v>0.64388888888888884</v>
      </c>
      <c r="C948" s="1" t="s">
        <v>11</v>
      </c>
      <c r="D948" s="1" t="s">
        <v>27</v>
      </c>
      <c r="E948" s="1">
        <v>150.66999999999999</v>
      </c>
      <c r="F948" s="1">
        <v>3</v>
      </c>
      <c r="G948" s="1">
        <v>452.01</v>
      </c>
      <c r="H948" s="1" t="s">
        <v>375</v>
      </c>
    </row>
    <row r="949" spans="1:8" x14ac:dyDescent="0.35">
      <c r="A949" s="2">
        <v>45146.340277777781</v>
      </c>
      <c r="B949" s="3">
        <v>0.80684027777777778</v>
      </c>
      <c r="C949" s="1" t="s">
        <v>14</v>
      </c>
      <c r="D949" s="1" t="s">
        <v>20</v>
      </c>
      <c r="E949" s="1">
        <v>404.35</v>
      </c>
      <c r="F949" s="1">
        <v>4</v>
      </c>
      <c r="G949" s="1">
        <v>1617.4</v>
      </c>
      <c r="H949" s="1" t="s">
        <v>18</v>
      </c>
    </row>
    <row r="950" spans="1:8" x14ac:dyDescent="0.35">
      <c r="A950" s="2">
        <v>45323.502083333333</v>
      </c>
      <c r="B950" s="3">
        <v>0.82547453703703699</v>
      </c>
      <c r="C950" s="1" t="s">
        <v>14</v>
      </c>
      <c r="D950" s="1" t="s">
        <v>9</v>
      </c>
      <c r="E950" s="1">
        <v>419.84</v>
      </c>
      <c r="F950" s="1">
        <v>3</v>
      </c>
      <c r="G950" s="1">
        <v>1259.52</v>
      </c>
      <c r="H950" s="1" t="s">
        <v>127</v>
      </c>
    </row>
    <row r="951" spans="1:8" x14ac:dyDescent="0.35">
      <c r="A951" s="2">
        <v>45233.615277777775</v>
      </c>
      <c r="B951" s="3">
        <v>0.45615740740740746</v>
      </c>
      <c r="C951" s="1" t="s">
        <v>8</v>
      </c>
      <c r="D951" s="1" t="s">
        <v>12</v>
      </c>
      <c r="E951" s="1">
        <v>374.53</v>
      </c>
      <c r="F951" s="1">
        <v>1</v>
      </c>
      <c r="G951" s="1">
        <v>374.53</v>
      </c>
      <c r="H951" s="1" t="s">
        <v>310</v>
      </c>
    </row>
    <row r="952" spans="1:8" x14ac:dyDescent="0.35">
      <c r="A952" s="2">
        <v>45577.001388888886</v>
      </c>
      <c r="B952" s="3">
        <v>0.12215277777777778</v>
      </c>
      <c r="C952" s="1" t="s">
        <v>11</v>
      </c>
      <c r="D952" s="1" t="s">
        <v>16</v>
      </c>
      <c r="E952" s="1">
        <v>358.87</v>
      </c>
      <c r="F952" s="1">
        <v>4</v>
      </c>
      <c r="G952" s="1">
        <v>1435.48</v>
      </c>
      <c r="H952" s="1" t="s">
        <v>49</v>
      </c>
    </row>
    <row r="953" spans="1:8" x14ac:dyDescent="0.35">
      <c r="A953" s="2">
        <v>45637.206250000003</v>
      </c>
      <c r="B953" s="3">
        <v>0.5999768518518519</v>
      </c>
      <c r="C953" s="1" t="s">
        <v>14</v>
      </c>
      <c r="D953" s="1" t="s">
        <v>9</v>
      </c>
      <c r="E953" s="1">
        <v>457.22</v>
      </c>
      <c r="F953" s="1">
        <v>4</v>
      </c>
      <c r="G953" s="1">
        <v>1828.88</v>
      </c>
      <c r="H953" s="1" t="s">
        <v>24</v>
      </c>
    </row>
    <row r="954" spans="1:8" x14ac:dyDescent="0.35">
      <c r="A954" s="2">
        <v>45382.400694444441</v>
      </c>
      <c r="B954" s="3">
        <v>0.58011574074074079</v>
      </c>
      <c r="C954" s="1" t="s">
        <v>8</v>
      </c>
      <c r="D954" s="1" t="s">
        <v>9</v>
      </c>
      <c r="E954" s="1">
        <v>453.63</v>
      </c>
      <c r="F954" s="1">
        <v>3</v>
      </c>
      <c r="G954" s="1">
        <v>1360.89</v>
      </c>
      <c r="H954" s="1" t="s">
        <v>142</v>
      </c>
    </row>
    <row r="955" spans="1:8" x14ac:dyDescent="0.35">
      <c r="A955" s="2">
        <v>45044.224999999999</v>
      </c>
      <c r="B955" s="3">
        <v>0.62263888888888885</v>
      </c>
      <c r="C955" s="1" t="s">
        <v>8</v>
      </c>
      <c r="D955" s="1" t="s">
        <v>20</v>
      </c>
      <c r="E955" s="1">
        <v>458.32</v>
      </c>
      <c r="F955" s="1">
        <v>1</v>
      </c>
      <c r="G955" s="1">
        <v>458.32</v>
      </c>
      <c r="H955" s="1" t="s">
        <v>57</v>
      </c>
    </row>
    <row r="956" spans="1:8" x14ac:dyDescent="0.35">
      <c r="A956" s="2">
        <v>45634.597916666666</v>
      </c>
      <c r="B956" s="3">
        <v>0.25475694444444447</v>
      </c>
      <c r="C956" s="1" t="s">
        <v>14</v>
      </c>
      <c r="D956" s="1" t="s">
        <v>16</v>
      </c>
      <c r="E956" s="1">
        <v>345.19</v>
      </c>
      <c r="F956" s="1">
        <v>2</v>
      </c>
      <c r="G956" s="1">
        <v>690.38</v>
      </c>
      <c r="H956" s="1" t="s">
        <v>374</v>
      </c>
    </row>
    <row r="957" spans="1:8" x14ac:dyDescent="0.35">
      <c r="A957" s="2">
        <v>45089.120138888888</v>
      </c>
      <c r="B957" s="3">
        <v>9.2986111111111103E-2</v>
      </c>
      <c r="C957" s="1" t="s">
        <v>11</v>
      </c>
      <c r="D957" s="1" t="s">
        <v>16</v>
      </c>
      <c r="E957" s="1">
        <v>339.71</v>
      </c>
      <c r="F957" s="1">
        <v>3</v>
      </c>
      <c r="G957" s="1">
        <v>1019.13</v>
      </c>
      <c r="H957" s="1" t="s">
        <v>298</v>
      </c>
    </row>
    <row r="958" spans="1:8" x14ac:dyDescent="0.35">
      <c r="A958" s="2">
        <v>45049.617361111108</v>
      </c>
      <c r="B958" s="3">
        <v>0.7155555555555555</v>
      </c>
      <c r="C958" s="1" t="s">
        <v>8</v>
      </c>
      <c r="D958" s="1" t="s">
        <v>16</v>
      </c>
      <c r="E958" s="1">
        <v>385.17</v>
      </c>
      <c r="F958" s="1">
        <v>5</v>
      </c>
      <c r="G958" s="1">
        <v>1925.85</v>
      </c>
      <c r="H958" s="1" t="s">
        <v>22</v>
      </c>
    </row>
    <row r="959" spans="1:8" x14ac:dyDescent="0.35">
      <c r="A959" s="2">
        <v>45609.537499999999</v>
      </c>
      <c r="B959" s="3">
        <v>0.68582175925925926</v>
      </c>
      <c r="C959" s="1" t="s">
        <v>11</v>
      </c>
      <c r="D959" s="1" t="s">
        <v>20</v>
      </c>
      <c r="E959" s="1">
        <v>219</v>
      </c>
      <c r="F959" s="1">
        <v>3</v>
      </c>
      <c r="G959" s="1">
        <v>657</v>
      </c>
      <c r="H959" s="1" t="s">
        <v>161</v>
      </c>
    </row>
    <row r="960" spans="1:8" x14ac:dyDescent="0.35">
      <c r="A960" s="2">
        <v>45215.510416666664</v>
      </c>
      <c r="B960" s="3">
        <v>0.95833333333333337</v>
      </c>
      <c r="C960" s="1" t="s">
        <v>8</v>
      </c>
      <c r="D960" s="1" t="s">
        <v>20</v>
      </c>
      <c r="E960" s="1">
        <v>489.08</v>
      </c>
      <c r="F960" s="1">
        <v>3</v>
      </c>
      <c r="G960" s="1">
        <v>1467.24</v>
      </c>
      <c r="H960" s="1" t="s">
        <v>291</v>
      </c>
    </row>
    <row r="961" spans="1:8" x14ac:dyDescent="0.35">
      <c r="A961" s="2">
        <v>45106.760416666664</v>
      </c>
      <c r="B961" s="3">
        <v>0.48003472222222227</v>
      </c>
      <c r="C961" s="1" t="s">
        <v>14</v>
      </c>
      <c r="D961" s="1" t="s">
        <v>16</v>
      </c>
      <c r="E961" s="1">
        <v>57.72</v>
      </c>
      <c r="F961" s="1">
        <v>5</v>
      </c>
      <c r="G961" s="1">
        <v>288.60000000000002</v>
      </c>
      <c r="H961" s="1" t="s">
        <v>198</v>
      </c>
    </row>
    <row r="962" spans="1:8" x14ac:dyDescent="0.35">
      <c r="A962" s="2">
        <v>45379.654861111114</v>
      </c>
      <c r="B962" s="3">
        <v>0.56537037037037041</v>
      </c>
      <c r="C962" s="1" t="s">
        <v>14</v>
      </c>
      <c r="D962" s="1" t="s">
        <v>9</v>
      </c>
      <c r="E962" s="1">
        <v>410.55</v>
      </c>
      <c r="F962" s="1">
        <v>5</v>
      </c>
      <c r="G962" s="1">
        <v>2052.75</v>
      </c>
      <c r="H962" s="1" t="s">
        <v>300</v>
      </c>
    </row>
    <row r="963" spans="1:8" x14ac:dyDescent="0.35">
      <c r="A963" s="2">
        <v>45294.881944444445</v>
      </c>
      <c r="B963" s="3">
        <v>0.60015046296296293</v>
      </c>
      <c r="C963" s="1" t="s">
        <v>8</v>
      </c>
      <c r="D963" s="1" t="s">
        <v>16</v>
      </c>
      <c r="E963" s="1">
        <v>27.55</v>
      </c>
      <c r="F963" s="1">
        <v>5</v>
      </c>
      <c r="G963" s="1">
        <v>137.75</v>
      </c>
      <c r="H963" s="1" t="s">
        <v>229</v>
      </c>
    </row>
    <row r="964" spans="1:8" x14ac:dyDescent="0.35">
      <c r="A964" s="2">
        <v>45272.145833333336</v>
      </c>
      <c r="B964" s="3">
        <v>0.47140046296296295</v>
      </c>
      <c r="C964" s="1" t="s">
        <v>8</v>
      </c>
      <c r="D964" s="1" t="s">
        <v>20</v>
      </c>
      <c r="E964" s="1">
        <v>252.93</v>
      </c>
      <c r="F964" s="1">
        <v>3</v>
      </c>
      <c r="G964" s="1">
        <v>758.79</v>
      </c>
      <c r="H964" s="1" t="s">
        <v>118</v>
      </c>
    </row>
    <row r="965" spans="1:8" x14ac:dyDescent="0.35">
      <c r="A965" s="2">
        <v>45261.870138888888</v>
      </c>
      <c r="B965" s="3">
        <v>5.151620370370371E-2</v>
      </c>
      <c r="C965" s="1" t="s">
        <v>14</v>
      </c>
      <c r="D965" s="1" t="s">
        <v>9</v>
      </c>
      <c r="E965" s="1">
        <v>381.94</v>
      </c>
      <c r="F965" s="1">
        <v>5</v>
      </c>
      <c r="G965" s="1">
        <v>1909.7</v>
      </c>
      <c r="H965" s="1" t="s">
        <v>261</v>
      </c>
    </row>
    <row r="966" spans="1:8" x14ac:dyDescent="0.35">
      <c r="A966" s="2">
        <v>45514.289583333331</v>
      </c>
      <c r="B966" s="3">
        <v>0.31754629629629633</v>
      </c>
      <c r="C966" s="1" t="s">
        <v>11</v>
      </c>
      <c r="D966" s="1" t="s">
        <v>16</v>
      </c>
      <c r="E966" s="1">
        <v>398.86</v>
      </c>
      <c r="F966" s="1">
        <v>5</v>
      </c>
      <c r="G966" s="1">
        <v>1994.3</v>
      </c>
      <c r="H966" s="1" t="s">
        <v>225</v>
      </c>
    </row>
    <row r="967" spans="1:8" x14ac:dyDescent="0.35">
      <c r="A967" s="2">
        <v>45149.966666666667</v>
      </c>
      <c r="B967" s="3">
        <v>0.44247685185185182</v>
      </c>
      <c r="C967" s="1" t="s">
        <v>14</v>
      </c>
      <c r="D967" s="1" t="s">
        <v>16</v>
      </c>
      <c r="E967" s="1">
        <v>172.17</v>
      </c>
      <c r="F967" s="1">
        <v>5</v>
      </c>
      <c r="G967" s="1">
        <v>860.85</v>
      </c>
      <c r="H967" s="1" t="s">
        <v>100</v>
      </c>
    </row>
    <row r="968" spans="1:8" x14ac:dyDescent="0.35">
      <c r="A968" s="2">
        <v>45350.706944444442</v>
      </c>
      <c r="B968" s="3">
        <v>0.35668981481481482</v>
      </c>
      <c r="C968" s="1" t="s">
        <v>14</v>
      </c>
      <c r="D968" s="1" t="s">
        <v>27</v>
      </c>
      <c r="E968" s="1">
        <v>476.55</v>
      </c>
      <c r="F968" s="1">
        <v>3</v>
      </c>
      <c r="G968" s="1">
        <v>1429.65</v>
      </c>
      <c r="H968" s="1" t="s">
        <v>290</v>
      </c>
    </row>
    <row r="969" spans="1:8" x14ac:dyDescent="0.35">
      <c r="A969" s="2">
        <v>45116.512499999997</v>
      </c>
      <c r="B969" s="3">
        <v>7.6585648148148153E-2</v>
      </c>
      <c r="C969" s="1" t="s">
        <v>8</v>
      </c>
      <c r="D969" s="1" t="s">
        <v>12</v>
      </c>
      <c r="E969" s="1">
        <v>274.20999999999998</v>
      </c>
      <c r="F969" s="1">
        <v>3</v>
      </c>
      <c r="G969" s="1">
        <v>822.63</v>
      </c>
      <c r="H969" s="1" t="s">
        <v>45</v>
      </c>
    </row>
    <row r="970" spans="1:8" x14ac:dyDescent="0.35">
      <c r="A970" s="2">
        <v>45226.161805555559</v>
      </c>
      <c r="B970" s="3">
        <v>0.84475694444444438</v>
      </c>
      <c r="C970" s="1" t="s">
        <v>11</v>
      </c>
      <c r="D970" s="1" t="s">
        <v>27</v>
      </c>
      <c r="E970" s="1">
        <v>82.36</v>
      </c>
      <c r="F970" s="1">
        <v>5</v>
      </c>
      <c r="G970" s="1">
        <v>411.8</v>
      </c>
      <c r="H970" s="1" t="s">
        <v>327</v>
      </c>
    </row>
    <row r="971" spans="1:8" x14ac:dyDescent="0.35">
      <c r="A971" s="2">
        <v>45021.100694444445</v>
      </c>
      <c r="B971" s="3">
        <v>0.6404050925925926</v>
      </c>
      <c r="C971" s="1" t="s">
        <v>11</v>
      </c>
      <c r="D971" s="1" t="s">
        <v>16</v>
      </c>
      <c r="E971" s="1">
        <v>183.4</v>
      </c>
      <c r="F971" s="1">
        <v>5</v>
      </c>
      <c r="G971" s="1">
        <v>917</v>
      </c>
      <c r="H971" s="1" t="s">
        <v>227</v>
      </c>
    </row>
    <row r="972" spans="1:8" x14ac:dyDescent="0.35">
      <c r="A972" s="2">
        <v>45443.23541666667</v>
      </c>
      <c r="B972" s="3">
        <v>0.18684027777777779</v>
      </c>
      <c r="C972" s="1" t="s">
        <v>11</v>
      </c>
      <c r="D972" s="1" t="s">
        <v>20</v>
      </c>
      <c r="E972" s="1">
        <v>432.68</v>
      </c>
      <c r="F972" s="1">
        <v>2</v>
      </c>
      <c r="G972" s="1">
        <v>865.36</v>
      </c>
      <c r="H972" s="1" t="s">
        <v>244</v>
      </c>
    </row>
    <row r="973" spans="1:8" x14ac:dyDescent="0.35">
      <c r="A973" s="2">
        <v>45486.560416666667</v>
      </c>
      <c r="B973" s="3">
        <v>0.76143518518518516</v>
      </c>
      <c r="C973" s="1" t="s">
        <v>14</v>
      </c>
      <c r="D973" s="1" t="s">
        <v>27</v>
      </c>
      <c r="E973" s="1">
        <v>451.22</v>
      </c>
      <c r="F973" s="1">
        <v>1</v>
      </c>
      <c r="G973" s="1">
        <v>451.22</v>
      </c>
      <c r="H973" s="1" t="s">
        <v>366</v>
      </c>
    </row>
    <row r="974" spans="1:8" x14ac:dyDescent="0.35">
      <c r="A974" s="2">
        <v>45486.314583333333</v>
      </c>
      <c r="B974" s="3">
        <v>0.53359953703703711</v>
      </c>
      <c r="C974" s="1" t="s">
        <v>8</v>
      </c>
      <c r="D974" s="1" t="s">
        <v>16</v>
      </c>
      <c r="E974" s="1">
        <v>80.62</v>
      </c>
      <c r="F974" s="1">
        <v>2</v>
      </c>
      <c r="G974" s="1">
        <v>161.24</v>
      </c>
      <c r="H974" s="1" t="s">
        <v>21</v>
      </c>
    </row>
    <row r="975" spans="1:8" x14ac:dyDescent="0.35">
      <c r="A975" s="2">
        <v>45275.338194444441</v>
      </c>
      <c r="B975" s="3">
        <v>0.39700231481481479</v>
      </c>
      <c r="C975" s="1" t="s">
        <v>11</v>
      </c>
      <c r="D975" s="1" t="s">
        <v>9</v>
      </c>
      <c r="E975" s="1">
        <v>106.95</v>
      </c>
      <c r="F975" s="1">
        <v>4</v>
      </c>
      <c r="G975" s="1">
        <v>427.8</v>
      </c>
      <c r="H975" s="1" t="s">
        <v>71</v>
      </c>
    </row>
    <row r="976" spans="1:8" x14ac:dyDescent="0.35">
      <c r="A976" s="2">
        <v>45010.600694444445</v>
      </c>
      <c r="B976" s="3">
        <v>0.78501157407407407</v>
      </c>
      <c r="C976" s="1" t="s">
        <v>11</v>
      </c>
      <c r="D976" s="1" t="s">
        <v>16</v>
      </c>
      <c r="E976" s="1">
        <v>259.77999999999997</v>
      </c>
      <c r="F976" s="1">
        <v>5</v>
      </c>
      <c r="G976" s="1">
        <v>1298.9000000000001</v>
      </c>
      <c r="H976" s="1" t="s">
        <v>153</v>
      </c>
    </row>
    <row r="977" spans="1:8" x14ac:dyDescent="0.35">
      <c r="A977" s="2">
        <v>45062.347222222219</v>
      </c>
      <c r="B977" s="3">
        <v>0.88217592592592586</v>
      </c>
      <c r="C977" s="1" t="s">
        <v>11</v>
      </c>
      <c r="D977" s="1" t="s">
        <v>16</v>
      </c>
      <c r="E977" s="1">
        <v>326.81</v>
      </c>
      <c r="F977" s="1">
        <v>5</v>
      </c>
      <c r="G977" s="1">
        <v>1634.05</v>
      </c>
      <c r="H977" s="1" t="s">
        <v>46</v>
      </c>
    </row>
    <row r="978" spans="1:8" x14ac:dyDescent="0.35">
      <c r="A978" s="2">
        <v>45195.212500000001</v>
      </c>
      <c r="B978" s="3">
        <v>0.57372685185185179</v>
      </c>
      <c r="C978" s="1" t="s">
        <v>8</v>
      </c>
      <c r="D978" s="1" t="s">
        <v>12</v>
      </c>
      <c r="E978" s="1">
        <v>197.84</v>
      </c>
      <c r="F978" s="1">
        <v>1</v>
      </c>
      <c r="G978" s="1">
        <v>197.84</v>
      </c>
      <c r="H978" s="1" t="s">
        <v>289</v>
      </c>
    </row>
    <row r="979" spans="1:8" x14ac:dyDescent="0.35">
      <c r="A979" s="2">
        <v>45529.839583333334</v>
      </c>
      <c r="B979" s="3">
        <v>0.79620370370370364</v>
      </c>
      <c r="C979" s="1" t="s">
        <v>14</v>
      </c>
      <c r="D979" s="1" t="s">
        <v>16</v>
      </c>
      <c r="E979" s="1">
        <v>110.97</v>
      </c>
      <c r="F979" s="1">
        <v>4</v>
      </c>
      <c r="G979" s="1">
        <v>443.88</v>
      </c>
      <c r="H979" s="1" t="s">
        <v>106</v>
      </c>
    </row>
    <row r="980" spans="1:8" x14ac:dyDescent="0.35">
      <c r="A980" s="2">
        <v>45552.918749999997</v>
      </c>
      <c r="B980" s="3">
        <v>0.74842592592592594</v>
      </c>
      <c r="C980" s="1" t="s">
        <v>11</v>
      </c>
      <c r="D980" s="1" t="s">
        <v>16</v>
      </c>
      <c r="E980" s="1">
        <v>74.260000000000005</v>
      </c>
      <c r="F980" s="1">
        <v>4</v>
      </c>
      <c r="G980" s="1">
        <v>297.04000000000002</v>
      </c>
      <c r="H980" s="1" t="s">
        <v>322</v>
      </c>
    </row>
    <row r="981" spans="1:8" x14ac:dyDescent="0.35">
      <c r="A981" s="2">
        <v>45412.366666666669</v>
      </c>
      <c r="B981" s="3">
        <v>0.42054398148148148</v>
      </c>
      <c r="C981" s="1" t="s">
        <v>14</v>
      </c>
      <c r="D981" s="1" t="s">
        <v>27</v>
      </c>
      <c r="E981" s="1">
        <v>434.1</v>
      </c>
      <c r="F981" s="1">
        <v>5</v>
      </c>
      <c r="G981" s="1">
        <v>2170.5</v>
      </c>
      <c r="H981" s="1" t="s">
        <v>115</v>
      </c>
    </row>
    <row r="982" spans="1:8" x14ac:dyDescent="0.35">
      <c r="A982" s="2">
        <v>45150.87222222222</v>
      </c>
      <c r="B982" s="3">
        <v>0.1917824074074074</v>
      </c>
      <c r="C982" s="1" t="s">
        <v>11</v>
      </c>
      <c r="D982" s="1" t="s">
        <v>27</v>
      </c>
      <c r="E982" s="1">
        <v>468.77</v>
      </c>
      <c r="F982" s="1">
        <v>1</v>
      </c>
      <c r="G982" s="1">
        <v>468.77</v>
      </c>
      <c r="H982" s="1" t="s">
        <v>339</v>
      </c>
    </row>
    <row r="983" spans="1:8" x14ac:dyDescent="0.35">
      <c r="A983" s="2">
        <v>45596.855555555558</v>
      </c>
      <c r="B983" s="3">
        <v>0.90415509259259252</v>
      </c>
      <c r="C983" s="1" t="s">
        <v>8</v>
      </c>
      <c r="D983" s="1" t="s">
        <v>16</v>
      </c>
      <c r="E983" s="1">
        <v>149.52000000000001</v>
      </c>
      <c r="F983" s="1">
        <v>2</v>
      </c>
      <c r="G983" s="1">
        <v>299.04000000000002</v>
      </c>
      <c r="H983" s="1" t="s">
        <v>292</v>
      </c>
    </row>
    <row r="984" spans="1:8" x14ac:dyDescent="0.35">
      <c r="A984" s="2">
        <v>45313.048611111109</v>
      </c>
      <c r="B984" s="3">
        <v>0.77015046296296286</v>
      </c>
      <c r="C984" s="1" t="s">
        <v>11</v>
      </c>
      <c r="D984" s="1" t="s">
        <v>9</v>
      </c>
      <c r="E984" s="1">
        <v>478.3</v>
      </c>
      <c r="F984" s="1">
        <v>5</v>
      </c>
      <c r="G984" s="1">
        <v>2391.5</v>
      </c>
      <c r="H984" s="1" t="s">
        <v>120</v>
      </c>
    </row>
    <row r="985" spans="1:8" x14ac:dyDescent="0.35">
      <c r="A985" s="2">
        <v>45248.458333333336</v>
      </c>
      <c r="B985" s="3">
        <v>0.41635416666666664</v>
      </c>
      <c r="C985" s="1" t="s">
        <v>8</v>
      </c>
      <c r="D985" s="1" t="s">
        <v>9</v>
      </c>
      <c r="E985" s="1">
        <v>129.96</v>
      </c>
      <c r="F985" s="1">
        <v>3</v>
      </c>
      <c r="G985" s="1">
        <v>389.88</v>
      </c>
      <c r="H985" s="1" t="s">
        <v>146</v>
      </c>
    </row>
    <row r="986" spans="1:8" x14ac:dyDescent="0.35">
      <c r="A986" s="2">
        <v>45601.159722222219</v>
      </c>
      <c r="B986" s="3">
        <v>0.56732638888888887</v>
      </c>
      <c r="C986" s="1" t="s">
        <v>14</v>
      </c>
      <c r="D986" s="1" t="s">
        <v>9</v>
      </c>
      <c r="E986" s="1">
        <v>160.02000000000001</v>
      </c>
      <c r="F986" s="1">
        <v>1</v>
      </c>
      <c r="G986" s="1">
        <v>160.02000000000001</v>
      </c>
      <c r="H986" s="1" t="s">
        <v>143</v>
      </c>
    </row>
    <row r="987" spans="1:8" x14ac:dyDescent="0.35">
      <c r="A987" s="2">
        <v>45074.885416666664</v>
      </c>
      <c r="B987" s="3">
        <v>0.47247685185185184</v>
      </c>
      <c r="C987" s="1" t="s">
        <v>11</v>
      </c>
      <c r="D987" s="1" t="s">
        <v>27</v>
      </c>
      <c r="E987" s="1">
        <v>169.78</v>
      </c>
      <c r="F987" s="1">
        <v>3</v>
      </c>
      <c r="G987" s="1">
        <v>509.34</v>
      </c>
      <c r="H987" s="1" t="s">
        <v>324</v>
      </c>
    </row>
    <row r="988" spans="1:8" x14ac:dyDescent="0.35">
      <c r="A988" s="2">
        <v>45202.367361111108</v>
      </c>
      <c r="B988" s="3">
        <v>0.21100694444444446</v>
      </c>
      <c r="C988" s="1" t="s">
        <v>8</v>
      </c>
      <c r="D988" s="1" t="s">
        <v>16</v>
      </c>
      <c r="E988" s="1">
        <v>57.39</v>
      </c>
      <c r="F988" s="1">
        <v>1</v>
      </c>
      <c r="G988" s="1">
        <v>57.39</v>
      </c>
      <c r="H988" s="1" t="s">
        <v>148</v>
      </c>
    </row>
    <row r="989" spans="1:8" x14ac:dyDescent="0.35">
      <c r="A989" s="2">
        <v>44996.938888888886</v>
      </c>
      <c r="B989" s="3">
        <v>0.57650462962962956</v>
      </c>
      <c r="C989" s="1" t="s">
        <v>11</v>
      </c>
      <c r="D989" s="1" t="s">
        <v>16</v>
      </c>
      <c r="E989" s="1">
        <v>475.87</v>
      </c>
      <c r="F989" s="1">
        <v>2</v>
      </c>
      <c r="G989" s="1">
        <v>951.74</v>
      </c>
      <c r="H989" s="1" t="s">
        <v>242</v>
      </c>
    </row>
    <row r="990" spans="1:8" x14ac:dyDescent="0.35">
      <c r="A990" s="2">
        <v>44972.044444444444</v>
      </c>
      <c r="B990" s="3">
        <v>0.99951388888888892</v>
      </c>
      <c r="C990" s="1" t="s">
        <v>11</v>
      </c>
      <c r="D990" s="1" t="s">
        <v>16</v>
      </c>
      <c r="E990" s="1">
        <v>58.93</v>
      </c>
      <c r="F990" s="1">
        <v>2</v>
      </c>
      <c r="G990" s="1">
        <v>117.86</v>
      </c>
      <c r="H990" s="1" t="s">
        <v>336</v>
      </c>
    </row>
    <row r="991" spans="1:8" x14ac:dyDescent="0.35">
      <c r="A991" s="2">
        <v>45368.681250000001</v>
      </c>
      <c r="B991" s="3">
        <v>0.91706018518518517</v>
      </c>
      <c r="C991" s="1" t="s">
        <v>14</v>
      </c>
      <c r="D991" s="1" t="s">
        <v>20</v>
      </c>
      <c r="E991" s="1">
        <v>369.86</v>
      </c>
      <c r="F991" s="1">
        <v>5</v>
      </c>
      <c r="G991" s="1">
        <v>1849.3</v>
      </c>
      <c r="H991" s="1" t="s">
        <v>52</v>
      </c>
    </row>
    <row r="992" spans="1:8" x14ac:dyDescent="0.35">
      <c r="A992" s="2">
        <v>45295.850694444445</v>
      </c>
      <c r="B992" s="3">
        <v>0.81792824074074078</v>
      </c>
      <c r="C992" s="1" t="s">
        <v>14</v>
      </c>
      <c r="D992" s="1" t="s">
        <v>9</v>
      </c>
      <c r="E992" s="1">
        <v>173.18</v>
      </c>
      <c r="F992" s="1">
        <v>2</v>
      </c>
      <c r="G992" s="1">
        <v>346.36</v>
      </c>
      <c r="H992" s="1" t="s">
        <v>288</v>
      </c>
    </row>
    <row r="993" spans="1:8" x14ac:dyDescent="0.35">
      <c r="A993" s="2">
        <v>45324.177083333336</v>
      </c>
      <c r="B993" s="3">
        <v>0.95225694444444453</v>
      </c>
      <c r="C993" s="1" t="s">
        <v>8</v>
      </c>
      <c r="D993" s="1" t="s">
        <v>16</v>
      </c>
      <c r="E993" s="1">
        <v>389.53</v>
      </c>
      <c r="F993" s="1">
        <v>5</v>
      </c>
      <c r="G993" s="1">
        <v>1947.65</v>
      </c>
      <c r="H993" s="1" t="s">
        <v>376</v>
      </c>
    </row>
    <row r="994" spans="1:8" x14ac:dyDescent="0.35">
      <c r="A994" s="2">
        <v>45115.227777777778</v>
      </c>
      <c r="B994" s="3">
        <v>0.65407407407407414</v>
      </c>
      <c r="C994" s="1" t="s">
        <v>14</v>
      </c>
      <c r="D994" s="1" t="s">
        <v>9</v>
      </c>
      <c r="E994" s="1">
        <v>33.08</v>
      </c>
      <c r="F994" s="1">
        <v>3</v>
      </c>
      <c r="G994" s="1">
        <v>99.24</v>
      </c>
      <c r="H994" s="1" t="s">
        <v>314</v>
      </c>
    </row>
    <row r="995" spans="1:8" x14ac:dyDescent="0.35">
      <c r="A995" s="2">
        <v>45059.904861111114</v>
      </c>
      <c r="B995" s="3">
        <v>0.67457175925925927</v>
      </c>
      <c r="C995" s="1" t="s">
        <v>8</v>
      </c>
      <c r="D995" s="1" t="s">
        <v>20</v>
      </c>
      <c r="E995" s="1">
        <v>397.16</v>
      </c>
      <c r="F995" s="1">
        <v>1</v>
      </c>
      <c r="G995" s="1">
        <v>397.16</v>
      </c>
      <c r="H995" s="1" t="s">
        <v>186</v>
      </c>
    </row>
    <row r="996" spans="1:8" x14ac:dyDescent="0.35">
      <c r="A996" s="2">
        <v>45135.259722222225</v>
      </c>
      <c r="B996" s="3">
        <v>8.621527777777778E-2</v>
      </c>
      <c r="C996" s="1" t="s">
        <v>14</v>
      </c>
      <c r="D996" s="1" t="s">
        <v>9</v>
      </c>
      <c r="E996" s="1">
        <v>410.64</v>
      </c>
      <c r="F996" s="1">
        <v>1</v>
      </c>
      <c r="G996" s="1">
        <v>410.64</v>
      </c>
      <c r="H996" s="1" t="s">
        <v>377</v>
      </c>
    </row>
    <row r="997" spans="1:8" x14ac:dyDescent="0.35">
      <c r="A997" s="2">
        <v>45312.002083333333</v>
      </c>
      <c r="B997" s="3">
        <v>0.96520833333333333</v>
      </c>
      <c r="C997" s="1" t="s">
        <v>14</v>
      </c>
      <c r="D997" s="1" t="s">
        <v>16</v>
      </c>
      <c r="E997" s="1">
        <v>342.12</v>
      </c>
      <c r="F997" s="1">
        <v>4</v>
      </c>
      <c r="G997" s="1">
        <v>1368.48</v>
      </c>
      <c r="H997" s="1" t="s">
        <v>130</v>
      </c>
    </row>
    <row r="998" spans="1:8" x14ac:dyDescent="0.35">
      <c r="A998" s="2">
        <v>45428.592361111114</v>
      </c>
      <c r="B998" s="3">
        <v>0.61487268518518523</v>
      </c>
      <c r="C998" s="1" t="s">
        <v>11</v>
      </c>
      <c r="D998" s="1" t="s">
        <v>9</v>
      </c>
      <c r="E998" s="1">
        <v>378.24</v>
      </c>
      <c r="F998" s="1">
        <v>3</v>
      </c>
      <c r="G998" s="1">
        <v>1134.72</v>
      </c>
      <c r="H998" s="1" t="s">
        <v>129</v>
      </c>
    </row>
    <row r="999" spans="1:8" x14ac:dyDescent="0.35">
      <c r="A999" s="2">
        <v>45513.38958333333</v>
      </c>
      <c r="B999" s="3">
        <v>0.40364583333333331</v>
      </c>
      <c r="C999" s="1" t="s">
        <v>11</v>
      </c>
      <c r="D999" s="1" t="s">
        <v>9</v>
      </c>
      <c r="E999" s="1">
        <v>395.13</v>
      </c>
      <c r="F999" s="1">
        <v>5</v>
      </c>
      <c r="G999" s="1">
        <v>1975.65</v>
      </c>
      <c r="H999" s="1" t="s">
        <v>123</v>
      </c>
    </row>
    <row r="1000" spans="1:8" x14ac:dyDescent="0.35">
      <c r="A1000" s="2">
        <v>45431.806250000001</v>
      </c>
      <c r="B1000" s="3">
        <v>0.77614583333333342</v>
      </c>
      <c r="C1000" s="1" t="s">
        <v>11</v>
      </c>
      <c r="D1000" s="1" t="s">
        <v>12</v>
      </c>
      <c r="E1000" s="1">
        <v>11.53</v>
      </c>
      <c r="F1000" s="1">
        <v>1</v>
      </c>
      <c r="G1000" s="1">
        <v>11.53</v>
      </c>
      <c r="H1000" s="1" t="s">
        <v>141</v>
      </c>
    </row>
    <row r="1001" spans="1:8" x14ac:dyDescent="0.35">
      <c r="A1001" s="2">
        <v>44977.945833333331</v>
      </c>
      <c r="B1001" s="3">
        <v>0.11730324074074074</v>
      </c>
      <c r="C1001" s="1" t="s">
        <v>14</v>
      </c>
      <c r="D1001" s="1" t="s">
        <v>20</v>
      </c>
      <c r="E1001" s="1">
        <v>214.91</v>
      </c>
      <c r="F1001" s="1">
        <v>2</v>
      </c>
      <c r="G1001" s="1">
        <v>429.82</v>
      </c>
      <c r="H1001" s="1" t="s">
        <v>216</v>
      </c>
    </row>
    <row r="1002" spans="1:8" x14ac:dyDescent="0.35">
      <c r="A1002" s="2">
        <v>45423.49722222222</v>
      </c>
      <c r="B1002" s="3">
        <v>0.88741898148148157</v>
      </c>
      <c r="C1002" s="1" t="s">
        <v>8</v>
      </c>
      <c r="D1002" s="1" t="s">
        <v>16</v>
      </c>
      <c r="E1002" s="1">
        <v>499.9</v>
      </c>
      <c r="F1002" s="1">
        <v>5</v>
      </c>
      <c r="G1002" s="1">
        <v>2499.5</v>
      </c>
      <c r="H1002" s="1" t="s">
        <v>227</v>
      </c>
    </row>
    <row r="1003" spans="1:8" x14ac:dyDescent="0.35">
      <c r="A1003" s="2">
        <v>45084.831944444442</v>
      </c>
      <c r="B1003" s="3">
        <v>0.32915509259259262</v>
      </c>
      <c r="C1003" s="1" t="s">
        <v>14</v>
      </c>
      <c r="D1003" s="1" t="s">
        <v>27</v>
      </c>
      <c r="E1003" s="1">
        <v>444</v>
      </c>
      <c r="F1003" s="1">
        <v>3</v>
      </c>
      <c r="G1003" s="1">
        <v>1332</v>
      </c>
      <c r="H1003" s="1" t="s">
        <v>44</v>
      </c>
    </row>
    <row r="1004" spans="1:8" x14ac:dyDescent="0.35">
      <c r="A1004" s="2">
        <v>45659.081944444442</v>
      </c>
      <c r="B1004" s="3">
        <v>0.7525115740740741</v>
      </c>
      <c r="C1004" s="1" t="s">
        <v>8</v>
      </c>
      <c r="D1004" s="1" t="s">
        <v>20</v>
      </c>
      <c r="E1004" s="1">
        <v>97.8</v>
      </c>
      <c r="F1004" s="1">
        <v>3</v>
      </c>
      <c r="G1004" s="1">
        <v>293.39999999999998</v>
      </c>
      <c r="H1004" s="1" t="s">
        <v>23</v>
      </c>
    </row>
    <row r="1005" spans="1:8" x14ac:dyDescent="0.35">
      <c r="A1005" s="2">
        <v>45295.39166666667</v>
      </c>
      <c r="B1005" s="3">
        <v>0.30209490740740741</v>
      </c>
      <c r="C1005" s="1" t="s">
        <v>11</v>
      </c>
      <c r="D1005" s="1" t="s">
        <v>16</v>
      </c>
      <c r="E1005" s="1">
        <v>339.67</v>
      </c>
      <c r="F1005" s="1">
        <v>3</v>
      </c>
      <c r="G1005" s="1">
        <v>1019.01</v>
      </c>
      <c r="H1005" s="1" t="s">
        <v>317</v>
      </c>
    </row>
    <row r="1006" spans="1:8" x14ac:dyDescent="0.35">
      <c r="A1006" s="2">
        <v>45041.309027777781</v>
      </c>
      <c r="B1006" s="3">
        <v>0.71347222222222229</v>
      </c>
      <c r="C1006" s="1" t="s">
        <v>11</v>
      </c>
      <c r="D1006" s="1" t="s">
        <v>27</v>
      </c>
      <c r="E1006" s="1">
        <v>46.49</v>
      </c>
      <c r="F1006" s="1">
        <v>1</v>
      </c>
      <c r="G1006" s="1">
        <v>46.49</v>
      </c>
      <c r="H1006" s="1" t="s">
        <v>264</v>
      </c>
    </row>
    <row r="1007" spans="1:8" x14ac:dyDescent="0.35">
      <c r="A1007" s="2">
        <v>45612.011111111111</v>
      </c>
      <c r="B1007" s="3">
        <v>0.49285879629629631</v>
      </c>
      <c r="C1007" s="1" t="s">
        <v>8</v>
      </c>
      <c r="D1007" s="1" t="s">
        <v>9</v>
      </c>
      <c r="E1007" s="1">
        <v>103.94</v>
      </c>
      <c r="F1007" s="1">
        <v>5</v>
      </c>
      <c r="G1007" s="1">
        <v>519.70000000000005</v>
      </c>
      <c r="H1007" s="1" t="s">
        <v>69</v>
      </c>
    </row>
    <row r="1008" spans="1:8" x14ac:dyDescent="0.35">
      <c r="A1008" s="2">
        <v>45534.081250000003</v>
      </c>
      <c r="B1008" s="3">
        <v>0.99416666666666664</v>
      </c>
      <c r="C1008" s="1" t="s">
        <v>8</v>
      </c>
      <c r="D1008" s="1" t="s">
        <v>27</v>
      </c>
      <c r="E1008" s="1">
        <v>15.36</v>
      </c>
      <c r="F1008" s="1">
        <v>2</v>
      </c>
      <c r="G1008" s="1">
        <v>30.72</v>
      </c>
      <c r="H1008" s="1" t="s">
        <v>320</v>
      </c>
    </row>
    <row r="1009" spans="1:8" x14ac:dyDescent="0.35">
      <c r="A1009" s="2">
        <v>45234.243055555555</v>
      </c>
      <c r="B1009" s="3">
        <v>0.94836805555555559</v>
      </c>
      <c r="C1009" s="1" t="s">
        <v>14</v>
      </c>
      <c r="D1009" s="1" t="s">
        <v>16</v>
      </c>
      <c r="E1009" s="1">
        <v>35.549999999999997</v>
      </c>
      <c r="F1009" s="1">
        <v>1</v>
      </c>
      <c r="G1009" s="1">
        <v>35.549999999999997</v>
      </c>
      <c r="H1009" s="1" t="s">
        <v>17</v>
      </c>
    </row>
    <row r="1010" spans="1:8" x14ac:dyDescent="0.35">
      <c r="A1010" s="2">
        <v>45619.975694444445</v>
      </c>
      <c r="B1010" s="3">
        <v>0.14528935185185185</v>
      </c>
      <c r="C1010" s="1" t="s">
        <v>8</v>
      </c>
      <c r="D1010" s="1" t="s">
        <v>12</v>
      </c>
      <c r="E1010" s="1">
        <v>304.67</v>
      </c>
      <c r="F1010" s="1">
        <v>1</v>
      </c>
      <c r="G1010" s="1">
        <v>304.67</v>
      </c>
      <c r="H1010" s="1" t="s">
        <v>365</v>
      </c>
    </row>
    <row r="1011" spans="1:8" x14ac:dyDescent="0.35">
      <c r="A1011" s="2">
        <v>45241.855555555558</v>
      </c>
      <c r="B1011" s="3">
        <v>0.25416666666666665</v>
      </c>
      <c r="C1011" s="1" t="s">
        <v>14</v>
      </c>
      <c r="D1011" s="1" t="s">
        <v>16</v>
      </c>
      <c r="E1011" s="1">
        <v>326.66000000000003</v>
      </c>
      <c r="F1011" s="1">
        <v>2</v>
      </c>
      <c r="G1011" s="1">
        <v>653.32000000000005</v>
      </c>
      <c r="H1011" s="1" t="s">
        <v>72</v>
      </c>
    </row>
    <row r="1012" spans="1:8" x14ac:dyDescent="0.35">
      <c r="A1012" s="2">
        <v>45177.788194444445</v>
      </c>
      <c r="B1012" s="3">
        <v>0.10055555555555555</v>
      </c>
      <c r="C1012" s="1" t="s">
        <v>8</v>
      </c>
      <c r="D1012" s="1" t="s">
        <v>12</v>
      </c>
      <c r="E1012" s="1">
        <v>258.60000000000002</v>
      </c>
      <c r="F1012" s="1">
        <v>3</v>
      </c>
      <c r="G1012" s="1">
        <v>775.8</v>
      </c>
      <c r="H1012" s="1" t="s">
        <v>348</v>
      </c>
    </row>
    <row r="1013" spans="1:8" x14ac:dyDescent="0.35">
      <c r="A1013" s="2">
        <v>45183.708333333336</v>
      </c>
      <c r="B1013" s="3">
        <v>0.13439814814814816</v>
      </c>
      <c r="C1013" s="1" t="s">
        <v>14</v>
      </c>
      <c r="D1013" s="1" t="s">
        <v>9</v>
      </c>
      <c r="E1013" s="1">
        <v>38.31</v>
      </c>
      <c r="F1013" s="1">
        <v>3</v>
      </c>
      <c r="G1013" s="1">
        <v>114.93</v>
      </c>
      <c r="H1013" s="1" t="s">
        <v>61</v>
      </c>
    </row>
    <row r="1014" spans="1:8" x14ac:dyDescent="0.35">
      <c r="A1014" s="2">
        <v>45230.488888888889</v>
      </c>
      <c r="B1014" s="3">
        <v>0.1544675925925926</v>
      </c>
      <c r="C1014" s="1" t="s">
        <v>11</v>
      </c>
      <c r="D1014" s="1" t="s">
        <v>16</v>
      </c>
      <c r="E1014" s="1">
        <v>415.19</v>
      </c>
      <c r="F1014" s="1">
        <v>1</v>
      </c>
      <c r="G1014" s="1">
        <v>415.19</v>
      </c>
      <c r="H1014" s="1" t="s">
        <v>153</v>
      </c>
    </row>
    <row r="1015" spans="1:8" x14ac:dyDescent="0.35">
      <c r="A1015" s="2">
        <v>45615.34375</v>
      </c>
      <c r="B1015" s="3">
        <v>0.41122685185185182</v>
      </c>
      <c r="C1015" s="1" t="s">
        <v>11</v>
      </c>
      <c r="D1015" s="1" t="s">
        <v>20</v>
      </c>
      <c r="E1015" s="1">
        <v>121.96</v>
      </c>
      <c r="F1015" s="1">
        <v>1</v>
      </c>
      <c r="G1015" s="1">
        <v>121.96</v>
      </c>
      <c r="H1015" s="1" t="s">
        <v>56</v>
      </c>
    </row>
    <row r="1016" spans="1:8" x14ac:dyDescent="0.35">
      <c r="A1016" s="2">
        <v>45018.895138888889</v>
      </c>
      <c r="B1016" s="3">
        <v>0.33413194444444444</v>
      </c>
      <c r="C1016" s="1" t="s">
        <v>11</v>
      </c>
      <c r="D1016" s="1" t="s">
        <v>12</v>
      </c>
      <c r="E1016" s="1">
        <v>324.69</v>
      </c>
      <c r="F1016" s="1">
        <v>2</v>
      </c>
      <c r="G1016" s="1">
        <v>649.38</v>
      </c>
      <c r="H1016" s="1" t="s">
        <v>378</v>
      </c>
    </row>
    <row r="1017" spans="1:8" x14ac:dyDescent="0.35">
      <c r="A1017" s="2">
        <v>45540.850694444445</v>
      </c>
      <c r="B1017" s="3">
        <v>0.7833796296296297</v>
      </c>
      <c r="C1017" s="1" t="s">
        <v>11</v>
      </c>
      <c r="D1017" s="1" t="s">
        <v>20</v>
      </c>
      <c r="E1017" s="1">
        <v>435.27</v>
      </c>
      <c r="F1017" s="1">
        <v>2</v>
      </c>
      <c r="G1017" s="1">
        <v>870.54</v>
      </c>
      <c r="H1017" s="1" t="s">
        <v>56</v>
      </c>
    </row>
    <row r="1018" spans="1:8" x14ac:dyDescent="0.35">
      <c r="A1018" s="2">
        <v>45019.538888888892</v>
      </c>
      <c r="B1018" s="3">
        <v>0.49134259259259255</v>
      </c>
      <c r="C1018" s="1" t="s">
        <v>11</v>
      </c>
      <c r="D1018" s="1" t="s">
        <v>20</v>
      </c>
      <c r="E1018" s="1">
        <v>463.32</v>
      </c>
      <c r="F1018" s="1">
        <v>2</v>
      </c>
      <c r="G1018" s="1">
        <v>926.64</v>
      </c>
      <c r="H1018" s="1" t="s">
        <v>269</v>
      </c>
    </row>
    <row r="1019" spans="1:8" x14ac:dyDescent="0.35">
      <c r="A1019" s="2">
        <v>45629.166666666664</v>
      </c>
      <c r="B1019" s="3">
        <v>0.93349537037037045</v>
      </c>
      <c r="C1019" s="1" t="s">
        <v>14</v>
      </c>
      <c r="D1019" s="1" t="s">
        <v>27</v>
      </c>
      <c r="E1019" s="1">
        <v>113.97</v>
      </c>
      <c r="F1019" s="1">
        <v>3</v>
      </c>
      <c r="G1019" s="1">
        <v>341.91</v>
      </c>
      <c r="H1019" s="1" t="s">
        <v>124</v>
      </c>
    </row>
    <row r="1020" spans="1:8" x14ac:dyDescent="0.35">
      <c r="A1020" s="2">
        <v>45102.275694444441</v>
      </c>
      <c r="B1020" s="3">
        <v>0.83892361111111102</v>
      </c>
      <c r="C1020" s="1" t="s">
        <v>14</v>
      </c>
      <c r="D1020" s="1" t="s">
        <v>27</v>
      </c>
      <c r="E1020" s="1">
        <v>166.71</v>
      </c>
      <c r="F1020" s="1">
        <v>3</v>
      </c>
      <c r="G1020" s="1">
        <v>500.13</v>
      </c>
      <c r="H1020" s="1" t="s">
        <v>133</v>
      </c>
    </row>
    <row r="1021" spans="1:8" x14ac:dyDescent="0.35">
      <c r="A1021" s="2">
        <v>45393.894444444442</v>
      </c>
      <c r="B1021" s="3">
        <v>0.64988425925925919</v>
      </c>
      <c r="C1021" s="1" t="s">
        <v>8</v>
      </c>
      <c r="D1021" s="1" t="s">
        <v>16</v>
      </c>
      <c r="E1021" s="1">
        <v>135.26</v>
      </c>
      <c r="F1021" s="1">
        <v>5</v>
      </c>
      <c r="G1021" s="1">
        <v>676.3</v>
      </c>
      <c r="H1021" s="1" t="s">
        <v>31</v>
      </c>
    </row>
    <row r="1022" spans="1:8" x14ac:dyDescent="0.35">
      <c r="A1022" s="2">
        <v>45074.867361111108</v>
      </c>
      <c r="B1022" s="3">
        <v>0.16631944444444444</v>
      </c>
      <c r="C1022" s="1" t="s">
        <v>14</v>
      </c>
      <c r="D1022" s="1" t="s">
        <v>27</v>
      </c>
      <c r="E1022" s="1">
        <v>137.13999999999999</v>
      </c>
      <c r="F1022" s="1">
        <v>3</v>
      </c>
      <c r="G1022" s="1">
        <v>411.42</v>
      </c>
      <c r="H1022" s="1" t="s">
        <v>83</v>
      </c>
    </row>
    <row r="1023" spans="1:8" x14ac:dyDescent="0.35">
      <c r="A1023" s="2">
        <v>45527.850694444445</v>
      </c>
      <c r="B1023" s="3">
        <v>0.39890046296296294</v>
      </c>
      <c r="C1023" s="1" t="s">
        <v>8</v>
      </c>
      <c r="D1023" s="1" t="s">
        <v>16</v>
      </c>
      <c r="E1023" s="1">
        <v>459.19</v>
      </c>
      <c r="F1023" s="1">
        <v>5</v>
      </c>
      <c r="G1023" s="1">
        <v>2295.9499999999998</v>
      </c>
      <c r="H1023" s="1" t="s">
        <v>88</v>
      </c>
    </row>
    <row r="1024" spans="1:8" x14ac:dyDescent="0.35">
      <c r="A1024" s="2">
        <v>45400.699305555558</v>
      </c>
      <c r="B1024" s="3">
        <v>0.40789351851851857</v>
      </c>
      <c r="C1024" s="1" t="s">
        <v>8</v>
      </c>
      <c r="D1024" s="1" t="s">
        <v>27</v>
      </c>
      <c r="E1024" s="1">
        <v>344.72</v>
      </c>
      <c r="F1024" s="1">
        <v>5</v>
      </c>
      <c r="G1024" s="1">
        <v>1723.6</v>
      </c>
      <c r="H1024" s="1" t="s">
        <v>103</v>
      </c>
    </row>
    <row r="1025" spans="1:8" x14ac:dyDescent="0.35">
      <c r="A1025" s="2">
        <v>45468.244444444441</v>
      </c>
      <c r="B1025" s="3">
        <v>0.42896990740740737</v>
      </c>
      <c r="C1025" s="1" t="s">
        <v>8</v>
      </c>
      <c r="D1025" s="1" t="s">
        <v>16</v>
      </c>
      <c r="E1025" s="1">
        <v>232.6</v>
      </c>
      <c r="F1025" s="1">
        <v>3</v>
      </c>
      <c r="G1025" s="1">
        <v>697.8</v>
      </c>
      <c r="H1025" s="1" t="s">
        <v>310</v>
      </c>
    </row>
    <row r="1026" spans="1:8" x14ac:dyDescent="0.35">
      <c r="A1026" s="2">
        <v>45301.597916666666</v>
      </c>
      <c r="B1026" s="3">
        <v>0.52488425925925919</v>
      </c>
      <c r="C1026" s="1" t="s">
        <v>14</v>
      </c>
      <c r="D1026" s="1" t="s">
        <v>16</v>
      </c>
      <c r="E1026" s="1">
        <v>357.62</v>
      </c>
      <c r="F1026" s="1">
        <v>2</v>
      </c>
      <c r="G1026" s="1">
        <v>715.24</v>
      </c>
      <c r="H1026" s="1" t="s">
        <v>363</v>
      </c>
    </row>
    <row r="1027" spans="1:8" x14ac:dyDescent="0.35">
      <c r="A1027" s="2">
        <v>45194.921527777777</v>
      </c>
      <c r="B1027" s="3">
        <v>0.91909722222222223</v>
      </c>
      <c r="C1027" s="1" t="s">
        <v>8</v>
      </c>
      <c r="D1027" s="1" t="s">
        <v>20</v>
      </c>
      <c r="E1027" s="1">
        <v>363.39</v>
      </c>
      <c r="F1027" s="1">
        <v>3</v>
      </c>
      <c r="G1027" s="1">
        <v>1090.17</v>
      </c>
      <c r="H1027" s="1" t="s">
        <v>63</v>
      </c>
    </row>
    <row r="1028" spans="1:8" x14ac:dyDescent="0.35">
      <c r="A1028" s="2">
        <v>45030.945138888892</v>
      </c>
      <c r="B1028" s="3">
        <v>0.45956018518518515</v>
      </c>
      <c r="C1028" s="1" t="s">
        <v>8</v>
      </c>
      <c r="D1028" s="1" t="s">
        <v>9</v>
      </c>
      <c r="E1028" s="1">
        <v>91.37</v>
      </c>
      <c r="F1028" s="1">
        <v>1</v>
      </c>
      <c r="G1028" s="1">
        <v>91.37</v>
      </c>
      <c r="H1028" s="1" t="s">
        <v>379</v>
      </c>
    </row>
    <row r="1029" spans="1:8" x14ac:dyDescent="0.35">
      <c r="A1029" s="2">
        <v>45187.077777777777</v>
      </c>
      <c r="B1029" s="3">
        <v>0.97653935185185192</v>
      </c>
      <c r="C1029" s="1" t="s">
        <v>14</v>
      </c>
      <c r="D1029" s="1" t="s">
        <v>12</v>
      </c>
      <c r="E1029" s="1">
        <v>93.75</v>
      </c>
      <c r="F1029" s="1">
        <v>5</v>
      </c>
      <c r="G1029" s="1">
        <v>468.75</v>
      </c>
      <c r="H1029" s="1" t="s">
        <v>115</v>
      </c>
    </row>
    <row r="1030" spans="1:8" x14ac:dyDescent="0.35">
      <c r="A1030" s="2">
        <v>45067.5625</v>
      </c>
      <c r="B1030" s="3">
        <v>7.3865740740740746E-2</v>
      </c>
      <c r="C1030" s="1" t="s">
        <v>11</v>
      </c>
      <c r="D1030" s="1" t="s">
        <v>12</v>
      </c>
      <c r="E1030" s="1">
        <v>424.81</v>
      </c>
      <c r="F1030" s="1">
        <v>2</v>
      </c>
      <c r="G1030" s="1">
        <v>849.62</v>
      </c>
      <c r="H1030" s="1" t="s">
        <v>181</v>
      </c>
    </row>
    <row r="1031" spans="1:8" x14ac:dyDescent="0.35">
      <c r="A1031" s="2">
        <v>45081.209722222222</v>
      </c>
      <c r="B1031" s="3">
        <v>0.31785879629629626</v>
      </c>
      <c r="C1031" s="1" t="s">
        <v>11</v>
      </c>
      <c r="D1031" s="1" t="s">
        <v>12</v>
      </c>
      <c r="E1031" s="1">
        <v>278.31</v>
      </c>
      <c r="F1031" s="1">
        <v>5</v>
      </c>
      <c r="G1031" s="1">
        <v>1391.55</v>
      </c>
      <c r="H1031" s="1" t="s">
        <v>317</v>
      </c>
    </row>
    <row r="1032" spans="1:8" x14ac:dyDescent="0.35">
      <c r="A1032" s="2">
        <v>45368.009027777778</v>
      </c>
      <c r="B1032" s="3">
        <v>0.50905092592592593</v>
      </c>
      <c r="C1032" s="1" t="s">
        <v>8</v>
      </c>
      <c r="D1032" s="1" t="s">
        <v>20</v>
      </c>
      <c r="E1032" s="1">
        <v>90.96</v>
      </c>
      <c r="F1032" s="1">
        <v>2</v>
      </c>
      <c r="G1032" s="1">
        <v>181.92</v>
      </c>
      <c r="H1032" s="1" t="s">
        <v>359</v>
      </c>
    </row>
    <row r="1033" spans="1:8" x14ac:dyDescent="0.35">
      <c r="A1033" s="2">
        <v>45618.9</v>
      </c>
      <c r="B1033" s="3">
        <v>0.87199074074074068</v>
      </c>
      <c r="C1033" s="1" t="s">
        <v>8</v>
      </c>
      <c r="D1033" s="1" t="s">
        <v>27</v>
      </c>
      <c r="E1033" s="1">
        <v>209.9</v>
      </c>
      <c r="F1033" s="1">
        <v>5</v>
      </c>
      <c r="G1033" s="1">
        <v>1049.5</v>
      </c>
      <c r="H1033" s="1" t="s">
        <v>171</v>
      </c>
    </row>
    <row r="1034" spans="1:8" x14ac:dyDescent="0.35">
      <c r="A1034" s="2">
        <v>45324.987500000003</v>
      </c>
      <c r="B1034" s="3">
        <v>0.87040509259259258</v>
      </c>
      <c r="C1034" s="1" t="s">
        <v>14</v>
      </c>
      <c r="D1034" s="1" t="s">
        <v>20</v>
      </c>
      <c r="E1034" s="1">
        <v>454.87</v>
      </c>
      <c r="F1034" s="1">
        <v>4</v>
      </c>
      <c r="G1034" s="1">
        <v>1819.48</v>
      </c>
      <c r="H1034" s="1" t="s">
        <v>380</v>
      </c>
    </row>
    <row r="1035" spans="1:8" x14ac:dyDescent="0.35">
      <c r="A1035" s="2">
        <v>45471.81527777778</v>
      </c>
      <c r="B1035" s="3">
        <v>0.6020833333333333</v>
      </c>
      <c r="C1035" s="1" t="s">
        <v>8</v>
      </c>
      <c r="D1035" s="1" t="s">
        <v>9</v>
      </c>
      <c r="E1035" s="1">
        <v>446.97</v>
      </c>
      <c r="F1035" s="1">
        <v>1</v>
      </c>
      <c r="G1035" s="1">
        <v>446.97</v>
      </c>
      <c r="H1035" s="1" t="s">
        <v>153</v>
      </c>
    </row>
    <row r="1036" spans="1:8" x14ac:dyDescent="0.35">
      <c r="A1036" s="2">
        <v>45583.245833333334</v>
      </c>
      <c r="B1036" s="3">
        <v>0.69488425925925934</v>
      </c>
      <c r="C1036" s="1" t="s">
        <v>14</v>
      </c>
      <c r="D1036" s="1" t="s">
        <v>27</v>
      </c>
      <c r="E1036" s="1">
        <v>352.93</v>
      </c>
      <c r="F1036" s="1">
        <v>5</v>
      </c>
      <c r="G1036" s="1">
        <v>1764.65</v>
      </c>
      <c r="H1036" s="1" t="s">
        <v>276</v>
      </c>
    </row>
    <row r="1037" spans="1:8" x14ac:dyDescent="0.35">
      <c r="A1037" s="2">
        <v>45578.986111111109</v>
      </c>
      <c r="B1037" s="3">
        <v>0.50964120370370369</v>
      </c>
      <c r="C1037" s="1" t="s">
        <v>14</v>
      </c>
      <c r="D1037" s="1" t="s">
        <v>12</v>
      </c>
      <c r="E1037" s="1">
        <v>72.78</v>
      </c>
      <c r="F1037" s="1">
        <v>2</v>
      </c>
      <c r="G1037" s="1">
        <v>145.56</v>
      </c>
      <c r="H1037" s="1" t="s">
        <v>85</v>
      </c>
    </row>
    <row r="1038" spans="1:8" x14ac:dyDescent="0.35">
      <c r="A1038" s="2">
        <v>45584.708333333336</v>
      </c>
      <c r="B1038" s="3">
        <v>0.57280092592592591</v>
      </c>
      <c r="C1038" s="1" t="s">
        <v>8</v>
      </c>
      <c r="D1038" s="1" t="s">
        <v>27</v>
      </c>
      <c r="E1038" s="1">
        <v>322.44</v>
      </c>
      <c r="F1038" s="1">
        <v>2</v>
      </c>
      <c r="G1038" s="1">
        <v>644.88</v>
      </c>
      <c r="H1038" s="1" t="s">
        <v>381</v>
      </c>
    </row>
    <row r="1039" spans="1:8" x14ac:dyDescent="0.35">
      <c r="A1039" s="2">
        <v>45234.474305555559</v>
      </c>
      <c r="B1039" s="3">
        <v>8.997685185185185E-2</v>
      </c>
      <c r="C1039" s="1" t="s">
        <v>14</v>
      </c>
      <c r="D1039" s="1" t="s">
        <v>12</v>
      </c>
      <c r="E1039" s="1">
        <v>148.66999999999999</v>
      </c>
      <c r="F1039" s="1">
        <v>3</v>
      </c>
      <c r="G1039" s="1">
        <v>446.01</v>
      </c>
      <c r="H1039" s="1" t="s">
        <v>161</v>
      </c>
    </row>
    <row r="1040" spans="1:8" x14ac:dyDescent="0.35">
      <c r="A1040" s="2">
        <v>45498.850694444445</v>
      </c>
      <c r="B1040" s="3">
        <v>0.88064814814814818</v>
      </c>
      <c r="C1040" s="1" t="s">
        <v>14</v>
      </c>
      <c r="D1040" s="1" t="s">
        <v>9</v>
      </c>
      <c r="E1040" s="1">
        <v>125.89</v>
      </c>
      <c r="F1040" s="1">
        <v>5</v>
      </c>
      <c r="G1040" s="1">
        <v>629.45000000000005</v>
      </c>
      <c r="H1040" s="1" t="s">
        <v>152</v>
      </c>
    </row>
    <row r="1041" spans="1:8" x14ac:dyDescent="0.35">
      <c r="A1041" s="2">
        <v>45185.247916666667</v>
      </c>
      <c r="B1041" s="3">
        <v>0.19142361111111109</v>
      </c>
      <c r="C1041" s="1" t="s">
        <v>8</v>
      </c>
      <c r="D1041" s="1" t="s">
        <v>16</v>
      </c>
      <c r="E1041" s="1">
        <v>243.29</v>
      </c>
      <c r="F1041" s="1">
        <v>1</v>
      </c>
      <c r="G1041" s="1">
        <v>243.29</v>
      </c>
      <c r="H1041" s="1" t="s">
        <v>200</v>
      </c>
    </row>
    <row r="1042" spans="1:8" x14ac:dyDescent="0.35">
      <c r="A1042" s="2">
        <v>45605.270833333336</v>
      </c>
      <c r="B1042" s="3">
        <v>4.6377314814814809E-2</v>
      </c>
      <c r="C1042" s="1" t="s">
        <v>14</v>
      </c>
      <c r="D1042" s="1" t="s">
        <v>27</v>
      </c>
      <c r="E1042" s="1">
        <v>458.83</v>
      </c>
      <c r="F1042" s="1">
        <v>3</v>
      </c>
      <c r="G1042" s="1">
        <v>1376.49</v>
      </c>
      <c r="H1042" s="1" t="s">
        <v>211</v>
      </c>
    </row>
    <row r="1043" spans="1:8" x14ac:dyDescent="0.35">
      <c r="A1043" s="2">
        <v>45592.670138888891</v>
      </c>
      <c r="B1043" s="3">
        <v>0.805150462962963</v>
      </c>
      <c r="C1043" s="1" t="s">
        <v>11</v>
      </c>
      <c r="D1043" s="1" t="s">
        <v>12</v>
      </c>
      <c r="E1043" s="1">
        <v>454.78</v>
      </c>
      <c r="F1043" s="1">
        <v>4</v>
      </c>
      <c r="G1043" s="1">
        <v>1819.12</v>
      </c>
      <c r="H1043" s="1" t="s">
        <v>34</v>
      </c>
    </row>
    <row r="1044" spans="1:8" x14ac:dyDescent="0.35">
      <c r="A1044" s="2">
        <v>45184.48333333333</v>
      </c>
      <c r="B1044" s="3">
        <v>0.39276620370370369</v>
      </c>
      <c r="C1044" s="1" t="s">
        <v>14</v>
      </c>
      <c r="D1044" s="1" t="s">
        <v>27</v>
      </c>
      <c r="E1044" s="1">
        <v>39.31</v>
      </c>
      <c r="F1044" s="1">
        <v>2</v>
      </c>
      <c r="G1044" s="1">
        <v>78.62</v>
      </c>
      <c r="H1044" s="1" t="s">
        <v>260</v>
      </c>
    </row>
    <row r="1045" spans="1:8" x14ac:dyDescent="0.35">
      <c r="A1045" s="2">
        <v>45230.65347222222</v>
      </c>
      <c r="B1045" s="3">
        <v>0.63643518518518516</v>
      </c>
      <c r="C1045" s="1" t="s">
        <v>8</v>
      </c>
      <c r="D1045" s="1" t="s">
        <v>20</v>
      </c>
      <c r="E1045" s="1">
        <v>303.05</v>
      </c>
      <c r="F1045" s="1">
        <v>2</v>
      </c>
      <c r="G1045" s="1">
        <v>606.1</v>
      </c>
      <c r="H1045" s="1" t="s">
        <v>82</v>
      </c>
    </row>
    <row r="1046" spans="1:8" x14ac:dyDescent="0.35">
      <c r="A1046" s="2">
        <v>45235.040972222225</v>
      </c>
      <c r="B1046" s="3">
        <v>0.98416666666666675</v>
      </c>
      <c r="C1046" s="1" t="s">
        <v>8</v>
      </c>
      <c r="D1046" s="1" t="s">
        <v>16</v>
      </c>
      <c r="E1046" s="1">
        <v>321.01</v>
      </c>
      <c r="F1046" s="1">
        <v>3</v>
      </c>
      <c r="G1046" s="1">
        <v>963.03</v>
      </c>
      <c r="H1046" s="1" t="s">
        <v>56</v>
      </c>
    </row>
    <row r="1047" spans="1:8" x14ac:dyDescent="0.35">
      <c r="A1047" s="2">
        <v>45194.731249999997</v>
      </c>
      <c r="B1047" s="3">
        <v>0.55268518518518517</v>
      </c>
      <c r="C1047" s="1" t="s">
        <v>11</v>
      </c>
      <c r="D1047" s="1" t="s">
        <v>16</v>
      </c>
      <c r="E1047" s="1">
        <v>397.41</v>
      </c>
      <c r="F1047" s="1">
        <v>4</v>
      </c>
      <c r="G1047" s="1">
        <v>1589.64</v>
      </c>
      <c r="H1047" s="1" t="s">
        <v>281</v>
      </c>
    </row>
    <row r="1048" spans="1:8" x14ac:dyDescent="0.35">
      <c r="A1048" s="2">
        <v>45291.384027777778</v>
      </c>
      <c r="B1048" s="3">
        <v>0.59871527777777778</v>
      </c>
      <c r="C1048" s="1" t="s">
        <v>11</v>
      </c>
      <c r="D1048" s="1" t="s">
        <v>20</v>
      </c>
      <c r="E1048" s="1">
        <v>272.64999999999998</v>
      </c>
      <c r="F1048" s="1">
        <v>5</v>
      </c>
      <c r="G1048" s="1">
        <v>1363.25</v>
      </c>
      <c r="H1048" s="1" t="s">
        <v>382</v>
      </c>
    </row>
    <row r="1049" spans="1:8" x14ac:dyDescent="0.35">
      <c r="A1049" s="2">
        <v>45525.216666666667</v>
      </c>
      <c r="B1049" s="3">
        <v>0.75249999999999995</v>
      </c>
      <c r="C1049" s="1" t="s">
        <v>14</v>
      </c>
      <c r="D1049" s="1" t="s">
        <v>16</v>
      </c>
      <c r="E1049" s="1">
        <v>362.4</v>
      </c>
      <c r="F1049" s="1">
        <v>1</v>
      </c>
      <c r="G1049" s="1">
        <v>362.4</v>
      </c>
      <c r="H1049" s="1" t="s">
        <v>215</v>
      </c>
    </row>
    <row r="1050" spans="1:8" x14ac:dyDescent="0.35">
      <c r="A1050" s="2">
        <v>45029.477777777778</v>
      </c>
      <c r="B1050" s="3">
        <v>0.71414351851851843</v>
      </c>
      <c r="C1050" s="1" t="s">
        <v>14</v>
      </c>
      <c r="D1050" s="1" t="s">
        <v>9</v>
      </c>
      <c r="E1050" s="1">
        <v>419.19</v>
      </c>
      <c r="F1050" s="1">
        <v>4</v>
      </c>
      <c r="G1050" s="1">
        <v>1676.76</v>
      </c>
      <c r="H1050" s="1" t="s">
        <v>151</v>
      </c>
    </row>
    <row r="1051" spans="1:8" x14ac:dyDescent="0.35">
      <c r="A1051" s="2">
        <v>45338.811111111114</v>
      </c>
      <c r="B1051" s="3">
        <v>0.2597800925925926</v>
      </c>
      <c r="C1051" s="1" t="s">
        <v>8</v>
      </c>
      <c r="D1051" s="1" t="s">
        <v>27</v>
      </c>
      <c r="E1051" s="1">
        <v>381.84</v>
      </c>
      <c r="F1051" s="1">
        <v>3</v>
      </c>
      <c r="G1051" s="1">
        <v>1145.52</v>
      </c>
      <c r="H1051" s="1" t="s">
        <v>127</v>
      </c>
    </row>
    <row r="1052" spans="1:8" x14ac:dyDescent="0.35">
      <c r="A1052" s="2">
        <v>45499.887499999997</v>
      </c>
      <c r="B1052" s="3">
        <v>0.9565393518518519</v>
      </c>
      <c r="C1052" s="1" t="s">
        <v>11</v>
      </c>
      <c r="D1052" s="1" t="s">
        <v>20</v>
      </c>
      <c r="E1052" s="1">
        <v>496.98</v>
      </c>
      <c r="F1052" s="1">
        <v>4</v>
      </c>
      <c r="G1052" s="1">
        <v>1987.92</v>
      </c>
      <c r="H1052" s="1" t="s">
        <v>192</v>
      </c>
    </row>
    <row r="1053" spans="1:8" x14ac:dyDescent="0.35">
      <c r="A1053" s="2">
        <v>45454.802083333336</v>
      </c>
      <c r="B1053" s="3">
        <v>0.15761574074074072</v>
      </c>
      <c r="C1053" s="1" t="s">
        <v>8</v>
      </c>
      <c r="D1053" s="1" t="s">
        <v>12</v>
      </c>
      <c r="E1053" s="1">
        <v>436.97</v>
      </c>
      <c r="F1053" s="1">
        <v>3</v>
      </c>
      <c r="G1053" s="1">
        <v>1310.91</v>
      </c>
      <c r="H1053" s="1" t="s">
        <v>308</v>
      </c>
    </row>
    <row r="1054" spans="1:8" x14ac:dyDescent="0.35">
      <c r="A1054" s="2">
        <v>45244.176388888889</v>
      </c>
      <c r="B1054" s="3">
        <v>0.4727662037037037</v>
      </c>
      <c r="C1054" s="1" t="s">
        <v>11</v>
      </c>
      <c r="D1054" s="1" t="s">
        <v>16</v>
      </c>
      <c r="E1054" s="1">
        <v>71.83</v>
      </c>
      <c r="F1054" s="1">
        <v>1</v>
      </c>
      <c r="G1054" s="1">
        <v>71.83</v>
      </c>
      <c r="H1054" s="1" t="s">
        <v>157</v>
      </c>
    </row>
    <row r="1055" spans="1:8" x14ac:dyDescent="0.35">
      <c r="A1055" s="2">
        <v>45442.738194444442</v>
      </c>
      <c r="B1055" s="3">
        <v>0.72827546296296297</v>
      </c>
      <c r="C1055" s="1" t="s">
        <v>11</v>
      </c>
      <c r="D1055" s="1" t="s">
        <v>12</v>
      </c>
      <c r="E1055" s="1">
        <v>203.46</v>
      </c>
      <c r="F1055" s="1">
        <v>1</v>
      </c>
      <c r="G1055" s="1">
        <v>203.46</v>
      </c>
      <c r="H1055" s="1" t="s">
        <v>256</v>
      </c>
    </row>
    <row r="1056" spans="1:8" x14ac:dyDescent="0.35">
      <c r="A1056" s="2">
        <v>45387.330555555556</v>
      </c>
      <c r="B1056" s="3">
        <v>0.28343750000000001</v>
      </c>
      <c r="C1056" s="1" t="s">
        <v>8</v>
      </c>
      <c r="D1056" s="1" t="s">
        <v>12</v>
      </c>
      <c r="E1056" s="1">
        <v>282.22000000000003</v>
      </c>
      <c r="F1056" s="1">
        <v>4</v>
      </c>
      <c r="G1056" s="1">
        <v>1128.8800000000001</v>
      </c>
      <c r="H1056" s="1" t="s">
        <v>273</v>
      </c>
    </row>
    <row r="1057" spans="1:8" x14ac:dyDescent="0.35">
      <c r="A1057" s="2">
        <v>45090.916666666664</v>
      </c>
      <c r="B1057" s="3">
        <v>0.18730324074074076</v>
      </c>
      <c r="C1057" s="1" t="s">
        <v>11</v>
      </c>
      <c r="D1057" s="1" t="s">
        <v>12</v>
      </c>
      <c r="E1057" s="1">
        <v>16.420000000000002</v>
      </c>
      <c r="F1057" s="1">
        <v>4</v>
      </c>
      <c r="G1057" s="1">
        <v>65.680000000000007</v>
      </c>
      <c r="H1057" s="1" t="s">
        <v>383</v>
      </c>
    </row>
    <row r="1058" spans="1:8" x14ac:dyDescent="0.35">
      <c r="A1058" s="2">
        <v>45037.041666666664</v>
      </c>
      <c r="B1058" s="3">
        <v>0.54534722222222221</v>
      </c>
      <c r="C1058" s="1" t="s">
        <v>14</v>
      </c>
      <c r="D1058" s="1" t="s">
        <v>20</v>
      </c>
      <c r="E1058" s="1">
        <v>481.02</v>
      </c>
      <c r="F1058" s="1">
        <v>4</v>
      </c>
      <c r="G1058" s="1">
        <v>1924.08</v>
      </c>
      <c r="H1058" s="1" t="s">
        <v>290</v>
      </c>
    </row>
    <row r="1059" spans="1:8" x14ac:dyDescent="0.35">
      <c r="A1059" s="2">
        <v>45156.529166666667</v>
      </c>
      <c r="B1059" s="3">
        <v>0.63504629629629628</v>
      </c>
      <c r="C1059" s="1" t="s">
        <v>11</v>
      </c>
      <c r="D1059" s="1" t="s">
        <v>9</v>
      </c>
      <c r="E1059" s="1">
        <v>486.15</v>
      </c>
      <c r="F1059" s="1">
        <v>2</v>
      </c>
      <c r="G1059" s="1">
        <v>972.3</v>
      </c>
      <c r="H1059" s="1" t="s">
        <v>229</v>
      </c>
    </row>
    <row r="1060" spans="1:8" x14ac:dyDescent="0.35">
      <c r="A1060" s="2">
        <v>45275.193055555559</v>
      </c>
      <c r="B1060" s="3">
        <v>0.83054398148148145</v>
      </c>
      <c r="C1060" s="1" t="s">
        <v>8</v>
      </c>
      <c r="D1060" s="1" t="s">
        <v>27</v>
      </c>
      <c r="E1060" s="1">
        <v>454.2</v>
      </c>
      <c r="F1060" s="1">
        <v>4</v>
      </c>
      <c r="G1060" s="1">
        <v>1816.8</v>
      </c>
      <c r="H1060" s="1" t="s">
        <v>105</v>
      </c>
    </row>
    <row r="1061" spans="1:8" x14ac:dyDescent="0.35">
      <c r="A1061" s="2">
        <v>45246.192361111112</v>
      </c>
      <c r="B1061" s="3">
        <v>0.54266203703703708</v>
      </c>
      <c r="C1061" s="1" t="s">
        <v>8</v>
      </c>
      <c r="D1061" s="1" t="s">
        <v>16</v>
      </c>
      <c r="E1061" s="1">
        <v>424.6</v>
      </c>
      <c r="F1061" s="1">
        <v>2</v>
      </c>
      <c r="G1061" s="1">
        <v>849.2</v>
      </c>
      <c r="H1061" s="1" t="s">
        <v>384</v>
      </c>
    </row>
    <row r="1062" spans="1:8" x14ac:dyDescent="0.35">
      <c r="A1062" s="2">
        <v>45071.275694444441</v>
      </c>
      <c r="B1062" s="3">
        <v>0.16596064814814815</v>
      </c>
      <c r="C1062" s="1" t="s">
        <v>8</v>
      </c>
      <c r="D1062" s="1" t="s">
        <v>16</v>
      </c>
      <c r="E1062" s="1">
        <v>69.83</v>
      </c>
      <c r="F1062" s="1">
        <v>5</v>
      </c>
      <c r="G1062" s="1">
        <v>349.15</v>
      </c>
      <c r="H1062" s="1" t="s">
        <v>155</v>
      </c>
    </row>
    <row r="1063" spans="1:8" x14ac:dyDescent="0.35">
      <c r="A1063" s="2">
        <v>45198.384722222225</v>
      </c>
      <c r="B1063" s="3">
        <v>0.94923611111111106</v>
      </c>
      <c r="C1063" s="1" t="s">
        <v>8</v>
      </c>
      <c r="D1063" s="1" t="s">
        <v>27</v>
      </c>
      <c r="E1063" s="1">
        <v>417.53</v>
      </c>
      <c r="F1063" s="1">
        <v>2</v>
      </c>
      <c r="G1063" s="1">
        <v>835.06</v>
      </c>
      <c r="H1063" s="1" t="s">
        <v>154</v>
      </c>
    </row>
    <row r="1064" spans="1:8" x14ac:dyDescent="0.35">
      <c r="A1064" s="2">
        <v>44928.179166666669</v>
      </c>
      <c r="B1064" s="3">
        <v>0.44434027777777779</v>
      </c>
      <c r="C1064" s="1" t="s">
        <v>11</v>
      </c>
      <c r="D1064" s="1" t="s">
        <v>12</v>
      </c>
      <c r="E1064" s="1">
        <v>84.1</v>
      </c>
      <c r="F1064" s="1">
        <v>1</v>
      </c>
      <c r="G1064" s="1">
        <v>84.1</v>
      </c>
      <c r="H1064" s="1" t="s">
        <v>370</v>
      </c>
    </row>
    <row r="1065" spans="1:8" x14ac:dyDescent="0.35">
      <c r="A1065" s="2">
        <v>45354.754166666666</v>
      </c>
      <c r="B1065" s="3">
        <v>0.73707175925925927</v>
      </c>
      <c r="C1065" s="1" t="s">
        <v>11</v>
      </c>
      <c r="D1065" s="1" t="s">
        <v>9</v>
      </c>
      <c r="E1065" s="1">
        <v>229.59</v>
      </c>
      <c r="F1065" s="1">
        <v>5</v>
      </c>
      <c r="G1065" s="1">
        <v>1147.95</v>
      </c>
      <c r="H1065" s="1" t="s">
        <v>260</v>
      </c>
    </row>
    <row r="1066" spans="1:8" x14ac:dyDescent="0.35">
      <c r="A1066" s="2">
        <v>45581.206250000003</v>
      </c>
      <c r="B1066" s="3">
        <v>0.81673611111111111</v>
      </c>
      <c r="C1066" s="1" t="s">
        <v>11</v>
      </c>
      <c r="D1066" s="1" t="s">
        <v>27</v>
      </c>
      <c r="E1066" s="1">
        <v>215.66</v>
      </c>
      <c r="F1066" s="1">
        <v>4</v>
      </c>
      <c r="G1066" s="1">
        <v>862.64</v>
      </c>
      <c r="H1066" s="1" t="s">
        <v>89</v>
      </c>
    </row>
    <row r="1067" spans="1:8" x14ac:dyDescent="0.35">
      <c r="A1067" s="2">
        <v>44990.381249999999</v>
      </c>
      <c r="B1067" s="3">
        <v>0.54672453703703705</v>
      </c>
      <c r="C1067" s="1" t="s">
        <v>8</v>
      </c>
      <c r="D1067" s="1" t="s">
        <v>12</v>
      </c>
      <c r="E1067" s="1">
        <v>289.02</v>
      </c>
      <c r="F1067" s="1">
        <v>4</v>
      </c>
      <c r="G1067" s="1">
        <v>1156.08</v>
      </c>
      <c r="H1067" s="1" t="s">
        <v>92</v>
      </c>
    </row>
    <row r="1068" spans="1:8" x14ac:dyDescent="0.35">
      <c r="A1068" s="2">
        <v>45579.630555555559</v>
      </c>
      <c r="B1068" s="3">
        <v>0.1779398148148148</v>
      </c>
      <c r="C1068" s="1" t="s">
        <v>11</v>
      </c>
      <c r="D1068" s="1" t="s">
        <v>9</v>
      </c>
      <c r="E1068" s="1">
        <v>292.66000000000003</v>
      </c>
      <c r="F1068" s="1">
        <v>5</v>
      </c>
      <c r="G1068" s="1">
        <v>1463.3</v>
      </c>
      <c r="H1068" s="1" t="s">
        <v>337</v>
      </c>
    </row>
    <row r="1069" spans="1:8" x14ac:dyDescent="0.35">
      <c r="A1069" s="2">
        <v>45365.061111111114</v>
      </c>
      <c r="B1069" s="3">
        <v>0.29354166666666665</v>
      </c>
      <c r="C1069" s="1" t="s">
        <v>14</v>
      </c>
      <c r="D1069" s="1" t="s">
        <v>20</v>
      </c>
      <c r="E1069" s="1">
        <v>254.74</v>
      </c>
      <c r="F1069" s="1">
        <v>3</v>
      </c>
      <c r="G1069" s="1">
        <v>764.22</v>
      </c>
      <c r="H1069" s="1" t="s">
        <v>78</v>
      </c>
    </row>
    <row r="1070" spans="1:8" x14ac:dyDescent="0.35">
      <c r="A1070" s="2">
        <v>45502.376388888886</v>
      </c>
      <c r="B1070" s="3">
        <v>0.88719907407407417</v>
      </c>
      <c r="C1070" s="1" t="s">
        <v>11</v>
      </c>
      <c r="D1070" s="1" t="s">
        <v>20</v>
      </c>
      <c r="E1070" s="1">
        <v>137.94</v>
      </c>
      <c r="F1070" s="1">
        <v>5</v>
      </c>
      <c r="G1070" s="1">
        <v>689.7</v>
      </c>
      <c r="H1070" s="1" t="s">
        <v>361</v>
      </c>
    </row>
    <row r="1071" spans="1:8" x14ac:dyDescent="0.35">
      <c r="A1071" s="2">
        <v>45266.806250000001</v>
      </c>
      <c r="B1071" s="3">
        <v>0.3142361111111111</v>
      </c>
      <c r="C1071" s="1" t="s">
        <v>11</v>
      </c>
      <c r="D1071" s="1" t="s">
        <v>20</v>
      </c>
      <c r="E1071" s="1">
        <v>307.74</v>
      </c>
      <c r="F1071" s="1">
        <v>4</v>
      </c>
      <c r="G1071" s="1">
        <v>1230.96</v>
      </c>
      <c r="H1071" s="1" t="s">
        <v>142</v>
      </c>
    </row>
    <row r="1072" spans="1:8" x14ac:dyDescent="0.35">
      <c r="A1072" s="2">
        <v>45527.652083333334</v>
      </c>
      <c r="B1072" s="3">
        <v>0.64399305555555553</v>
      </c>
      <c r="C1072" s="1" t="s">
        <v>14</v>
      </c>
      <c r="D1072" s="1" t="s">
        <v>12</v>
      </c>
      <c r="E1072" s="1">
        <v>298.72000000000003</v>
      </c>
      <c r="F1072" s="1">
        <v>5</v>
      </c>
      <c r="G1072" s="1">
        <v>1493.6</v>
      </c>
      <c r="H1072" s="1" t="s">
        <v>385</v>
      </c>
    </row>
    <row r="1073" spans="1:8" x14ac:dyDescent="0.35">
      <c r="A1073" s="2">
        <v>45374.645138888889</v>
      </c>
      <c r="B1073" s="3">
        <v>0.20167824074074073</v>
      </c>
      <c r="C1073" s="1" t="s">
        <v>8</v>
      </c>
      <c r="D1073" s="1" t="s">
        <v>27</v>
      </c>
      <c r="E1073" s="1">
        <v>237.81</v>
      </c>
      <c r="F1073" s="1">
        <v>1</v>
      </c>
      <c r="G1073" s="1">
        <v>237.81</v>
      </c>
      <c r="H1073" s="1" t="s">
        <v>159</v>
      </c>
    </row>
    <row r="1074" spans="1:8" x14ac:dyDescent="0.35">
      <c r="A1074" s="2">
        <v>45416.613888888889</v>
      </c>
      <c r="B1074" s="3">
        <v>0.77898148148148139</v>
      </c>
      <c r="C1074" s="1" t="s">
        <v>11</v>
      </c>
      <c r="D1074" s="1" t="s">
        <v>20</v>
      </c>
      <c r="E1074" s="1">
        <v>76.400000000000006</v>
      </c>
      <c r="F1074" s="1">
        <v>1</v>
      </c>
      <c r="G1074" s="1">
        <v>76.400000000000006</v>
      </c>
      <c r="H1074" s="1" t="s">
        <v>82</v>
      </c>
    </row>
    <row r="1075" spans="1:8" x14ac:dyDescent="0.35">
      <c r="A1075" s="2">
        <v>45012.709027777775</v>
      </c>
      <c r="B1075" s="3">
        <v>0.31327546296296299</v>
      </c>
      <c r="C1075" s="1" t="s">
        <v>14</v>
      </c>
      <c r="D1075" s="1" t="s">
        <v>20</v>
      </c>
      <c r="E1075" s="1">
        <v>154.06</v>
      </c>
      <c r="F1075" s="1">
        <v>1</v>
      </c>
      <c r="G1075" s="1">
        <v>154.06</v>
      </c>
      <c r="H1075" s="1" t="s">
        <v>289</v>
      </c>
    </row>
    <row r="1076" spans="1:8" x14ac:dyDescent="0.35">
      <c r="A1076" s="2">
        <v>45361.064583333333</v>
      </c>
      <c r="B1076" s="3">
        <v>0.47267361111111111</v>
      </c>
      <c r="C1076" s="1" t="s">
        <v>14</v>
      </c>
      <c r="D1076" s="1" t="s">
        <v>12</v>
      </c>
      <c r="E1076" s="1">
        <v>75.02</v>
      </c>
      <c r="F1076" s="1">
        <v>5</v>
      </c>
      <c r="G1076" s="1">
        <v>375.1</v>
      </c>
      <c r="H1076" s="1" t="s">
        <v>212</v>
      </c>
    </row>
    <row r="1077" spans="1:8" x14ac:dyDescent="0.35">
      <c r="A1077" s="2">
        <v>45241.715277777781</v>
      </c>
      <c r="B1077" s="3">
        <v>0.11495370370370371</v>
      </c>
      <c r="C1077" s="1" t="s">
        <v>11</v>
      </c>
      <c r="D1077" s="1" t="s">
        <v>27</v>
      </c>
      <c r="E1077" s="1">
        <v>35.51</v>
      </c>
      <c r="F1077" s="1">
        <v>1</v>
      </c>
      <c r="G1077" s="1">
        <v>35.51</v>
      </c>
      <c r="H1077" s="1" t="s">
        <v>292</v>
      </c>
    </row>
    <row r="1078" spans="1:8" x14ac:dyDescent="0.35">
      <c r="A1078" s="2">
        <v>45561.021527777775</v>
      </c>
      <c r="B1078" s="3">
        <v>0.47097222222222218</v>
      </c>
      <c r="C1078" s="1" t="s">
        <v>8</v>
      </c>
      <c r="D1078" s="1" t="s">
        <v>9</v>
      </c>
      <c r="E1078" s="1">
        <v>348.23</v>
      </c>
      <c r="F1078" s="1">
        <v>5</v>
      </c>
      <c r="G1078" s="1">
        <v>1741.15</v>
      </c>
      <c r="H1078" s="1" t="s">
        <v>295</v>
      </c>
    </row>
    <row r="1079" spans="1:8" x14ac:dyDescent="0.35">
      <c r="A1079" s="2">
        <v>45232.03125</v>
      </c>
      <c r="B1079" s="3">
        <v>0.81049768518518517</v>
      </c>
      <c r="C1079" s="1" t="s">
        <v>14</v>
      </c>
      <c r="D1079" s="1" t="s">
        <v>16</v>
      </c>
      <c r="E1079" s="1">
        <v>113.57</v>
      </c>
      <c r="F1079" s="1">
        <v>5</v>
      </c>
      <c r="G1079" s="1">
        <v>567.85</v>
      </c>
      <c r="H1079" s="1" t="s">
        <v>260</v>
      </c>
    </row>
    <row r="1080" spans="1:8" x14ac:dyDescent="0.35">
      <c r="A1080" s="2">
        <v>45164.692361111112</v>
      </c>
      <c r="B1080" s="3">
        <v>0.69222222222222218</v>
      </c>
      <c r="C1080" s="1" t="s">
        <v>8</v>
      </c>
      <c r="D1080" s="1" t="s">
        <v>12</v>
      </c>
      <c r="E1080" s="1">
        <v>360.45</v>
      </c>
      <c r="F1080" s="1">
        <v>3</v>
      </c>
      <c r="G1080" s="1">
        <v>1081.3499999999999</v>
      </c>
      <c r="H1080" s="1" t="s">
        <v>23</v>
      </c>
    </row>
    <row r="1081" spans="1:8" x14ac:dyDescent="0.35">
      <c r="A1081" s="2">
        <v>45415.5625</v>
      </c>
      <c r="B1081" s="3">
        <v>0.99699074074074068</v>
      </c>
      <c r="C1081" s="1" t="s">
        <v>11</v>
      </c>
      <c r="D1081" s="1" t="s">
        <v>27</v>
      </c>
      <c r="E1081" s="1">
        <v>243.92</v>
      </c>
      <c r="F1081" s="1">
        <v>4</v>
      </c>
      <c r="G1081" s="1">
        <v>975.68</v>
      </c>
      <c r="H1081" s="1" t="s">
        <v>232</v>
      </c>
    </row>
    <row r="1082" spans="1:8" x14ac:dyDescent="0.35">
      <c r="A1082" s="2">
        <v>45639.269444444442</v>
      </c>
      <c r="B1082" s="3">
        <v>0.16024305555555554</v>
      </c>
      <c r="C1082" s="1" t="s">
        <v>8</v>
      </c>
      <c r="D1082" s="1" t="s">
        <v>16</v>
      </c>
      <c r="E1082" s="1">
        <v>209.11</v>
      </c>
      <c r="F1082" s="1">
        <v>3</v>
      </c>
      <c r="G1082" s="1">
        <v>627.33000000000004</v>
      </c>
      <c r="H1082" s="1" t="s">
        <v>217</v>
      </c>
    </row>
    <row r="1083" spans="1:8" x14ac:dyDescent="0.35">
      <c r="A1083" s="2">
        <v>45256.163194444445</v>
      </c>
      <c r="B1083" s="3">
        <v>0.87748842592592602</v>
      </c>
      <c r="C1083" s="1" t="s">
        <v>11</v>
      </c>
      <c r="D1083" s="1" t="s">
        <v>16</v>
      </c>
      <c r="E1083" s="1">
        <v>204.57</v>
      </c>
      <c r="F1083" s="1">
        <v>3</v>
      </c>
      <c r="G1083" s="1">
        <v>613.71</v>
      </c>
      <c r="H1083" s="1" t="s">
        <v>140</v>
      </c>
    </row>
    <row r="1084" spans="1:8" x14ac:dyDescent="0.35">
      <c r="A1084" s="2">
        <v>44957.602083333331</v>
      </c>
      <c r="B1084" s="3">
        <v>7.69675925925926E-3</v>
      </c>
      <c r="C1084" s="1" t="s">
        <v>11</v>
      </c>
      <c r="D1084" s="1" t="s">
        <v>20</v>
      </c>
      <c r="E1084" s="1">
        <v>175.6</v>
      </c>
      <c r="F1084" s="1">
        <v>5</v>
      </c>
      <c r="G1084" s="1">
        <v>878</v>
      </c>
      <c r="H1084" s="1" t="s">
        <v>194</v>
      </c>
    </row>
    <row r="1085" spans="1:8" x14ac:dyDescent="0.35">
      <c r="A1085" s="2">
        <v>45272.129861111112</v>
      </c>
      <c r="B1085" s="3">
        <v>0.6072453703703703</v>
      </c>
      <c r="C1085" s="1" t="s">
        <v>11</v>
      </c>
      <c r="D1085" s="1" t="s">
        <v>12</v>
      </c>
      <c r="E1085" s="1">
        <v>39.06</v>
      </c>
      <c r="F1085" s="1">
        <v>2</v>
      </c>
      <c r="G1085" s="1">
        <v>78.12</v>
      </c>
      <c r="H1085" s="1" t="s">
        <v>135</v>
      </c>
    </row>
    <row r="1086" spans="1:8" x14ac:dyDescent="0.35">
      <c r="A1086" s="2">
        <v>44973.583333333336</v>
      </c>
      <c r="B1086" s="3">
        <v>0.40585648148148151</v>
      </c>
      <c r="C1086" s="1" t="s">
        <v>8</v>
      </c>
      <c r="D1086" s="1" t="s">
        <v>16</v>
      </c>
      <c r="E1086" s="1">
        <v>24.19</v>
      </c>
      <c r="F1086" s="1">
        <v>2</v>
      </c>
      <c r="G1086" s="1">
        <v>48.38</v>
      </c>
      <c r="H1086" s="1" t="s">
        <v>203</v>
      </c>
    </row>
    <row r="1087" spans="1:8" x14ac:dyDescent="0.35">
      <c r="A1087" s="2">
        <v>45508.706944444442</v>
      </c>
      <c r="B1087" s="3">
        <v>0.62383101851851852</v>
      </c>
      <c r="C1087" s="1" t="s">
        <v>11</v>
      </c>
      <c r="D1087" s="1" t="s">
        <v>9</v>
      </c>
      <c r="E1087" s="1">
        <v>451.01</v>
      </c>
      <c r="F1087" s="1">
        <v>3</v>
      </c>
      <c r="G1087" s="1">
        <v>1353.03</v>
      </c>
      <c r="H1087" s="1" t="s">
        <v>170</v>
      </c>
    </row>
    <row r="1088" spans="1:8" x14ac:dyDescent="0.35">
      <c r="A1088" s="2">
        <v>45610.520138888889</v>
      </c>
      <c r="B1088" s="3">
        <v>1.6712962962962961E-2</v>
      </c>
      <c r="C1088" s="1" t="s">
        <v>8</v>
      </c>
      <c r="D1088" s="1" t="s">
        <v>16</v>
      </c>
      <c r="E1088" s="1">
        <v>55.27</v>
      </c>
      <c r="F1088" s="1">
        <v>4</v>
      </c>
      <c r="G1088" s="1">
        <v>221.08</v>
      </c>
      <c r="H1088" s="1" t="s">
        <v>169</v>
      </c>
    </row>
    <row r="1089" spans="1:8" x14ac:dyDescent="0.35">
      <c r="A1089" s="2">
        <v>45424.780555555553</v>
      </c>
      <c r="B1089" s="3">
        <v>0.67762731481481486</v>
      </c>
      <c r="C1089" s="1" t="s">
        <v>11</v>
      </c>
      <c r="D1089" s="1" t="s">
        <v>20</v>
      </c>
      <c r="E1089" s="1">
        <v>252.97</v>
      </c>
      <c r="F1089" s="1">
        <v>3</v>
      </c>
      <c r="G1089" s="1">
        <v>758.91</v>
      </c>
      <c r="H1089" s="1" t="s">
        <v>323</v>
      </c>
    </row>
    <row r="1090" spans="1:8" x14ac:dyDescent="0.35">
      <c r="A1090" s="2">
        <v>45387.015277777777</v>
      </c>
      <c r="B1090" s="3">
        <v>0.1642824074074074</v>
      </c>
      <c r="C1090" s="1" t="s">
        <v>11</v>
      </c>
      <c r="D1090" s="1" t="s">
        <v>16</v>
      </c>
      <c r="E1090" s="1">
        <v>92.86</v>
      </c>
      <c r="F1090" s="1">
        <v>5</v>
      </c>
      <c r="G1090" s="1">
        <v>464.3</v>
      </c>
      <c r="H1090" s="1" t="s">
        <v>164</v>
      </c>
    </row>
    <row r="1091" spans="1:8" x14ac:dyDescent="0.35">
      <c r="A1091" s="2">
        <v>45547.386111111111</v>
      </c>
      <c r="B1091" s="3">
        <v>0.14472222222222222</v>
      </c>
      <c r="C1091" s="1" t="s">
        <v>11</v>
      </c>
      <c r="D1091" s="1" t="s">
        <v>16</v>
      </c>
      <c r="E1091" s="1">
        <v>389.7</v>
      </c>
      <c r="F1091" s="1">
        <v>5</v>
      </c>
      <c r="G1091" s="1">
        <v>1948.5</v>
      </c>
      <c r="H1091" s="1" t="s">
        <v>152</v>
      </c>
    </row>
    <row r="1092" spans="1:8" x14ac:dyDescent="0.35">
      <c r="A1092" s="2">
        <v>45179.317361111112</v>
      </c>
      <c r="B1092" s="3">
        <v>0.97271990740740744</v>
      </c>
      <c r="C1092" s="1" t="s">
        <v>14</v>
      </c>
      <c r="D1092" s="1" t="s">
        <v>12</v>
      </c>
      <c r="E1092" s="1">
        <v>166.74</v>
      </c>
      <c r="F1092" s="1">
        <v>4</v>
      </c>
      <c r="G1092" s="1">
        <v>666.96</v>
      </c>
      <c r="H1092" s="1" t="s">
        <v>74</v>
      </c>
    </row>
    <row r="1093" spans="1:8" x14ac:dyDescent="0.35">
      <c r="A1093" s="2">
        <v>45592.456944444442</v>
      </c>
      <c r="B1093" s="3">
        <v>0.86736111111111114</v>
      </c>
      <c r="C1093" s="1" t="s">
        <v>14</v>
      </c>
      <c r="D1093" s="1" t="s">
        <v>27</v>
      </c>
      <c r="E1093" s="1">
        <v>263.95999999999998</v>
      </c>
      <c r="F1093" s="1">
        <v>1</v>
      </c>
      <c r="G1093" s="1">
        <v>263.95999999999998</v>
      </c>
      <c r="H1093" s="1" t="s">
        <v>125</v>
      </c>
    </row>
    <row r="1094" spans="1:8" x14ac:dyDescent="0.35">
      <c r="A1094" s="2">
        <v>45567.152777777781</v>
      </c>
      <c r="B1094" s="3">
        <v>0.50660879629629629</v>
      </c>
      <c r="C1094" s="1" t="s">
        <v>8</v>
      </c>
      <c r="D1094" s="1" t="s">
        <v>20</v>
      </c>
      <c r="E1094" s="1">
        <v>253.91</v>
      </c>
      <c r="F1094" s="1">
        <v>1</v>
      </c>
      <c r="G1094" s="1">
        <v>253.91</v>
      </c>
      <c r="H1094" s="1" t="s">
        <v>102</v>
      </c>
    </row>
    <row r="1095" spans="1:8" x14ac:dyDescent="0.35">
      <c r="A1095" s="2">
        <v>45273.095138888886</v>
      </c>
      <c r="B1095" s="3">
        <v>0.83853009259259259</v>
      </c>
      <c r="C1095" s="1" t="s">
        <v>11</v>
      </c>
      <c r="D1095" s="1" t="s">
        <v>20</v>
      </c>
      <c r="E1095" s="1">
        <v>476.31</v>
      </c>
      <c r="F1095" s="1">
        <v>1</v>
      </c>
      <c r="G1095" s="1">
        <v>476.31</v>
      </c>
      <c r="H1095" s="1" t="s">
        <v>318</v>
      </c>
    </row>
    <row r="1096" spans="1:8" x14ac:dyDescent="0.35">
      <c r="A1096" s="2">
        <v>44958.947222222225</v>
      </c>
      <c r="B1096" s="3">
        <v>0.80688657407407405</v>
      </c>
      <c r="C1096" s="1" t="s">
        <v>11</v>
      </c>
      <c r="D1096" s="1" t="s">
        <v>20</v>
      </c>
      <c r="E1096" s="1">
        <v>75.73</v>
      </c>
      <c r="F1096" s="1">
        <v>4</v>
      </c>
      <c r="G1096" s="1">
        <v>302.92</v>
      </c>
      <c r="H1096" s="1" t="s">
        <v>272</v>
      </c>
    </row>
    <row r="1097" spans="1:8" x14ac:dyDescent="0.35">
      <c r="A1097" s="2">
        <v>44981.550694444442</v>
      </c>
      <c r="B1097" s="3">
        <v>0.8522453703703704</v>
      </c>
      <c r="C1097" s="1" t="s">
        <v>11</v>
      </c>
      <c r="D1097" s="1" t="s">
        <v>16</v>
      </c>
      <c r="E1097" s="1">
        <v>14.31</v>
      </c>
      <c r="F1097" s="1">
        <v>2</v>
      </c>
      <c r="G1097" s="1">
        <v>28.62</v>
      </c>
      <c r="H1097" s="1" t="s">
        <v>121</v>
      </c>
    </row>
    <row r="1098" spans="1:8" x14ac:dyDescent="0.35">
      <c r="A1098" s="2">
        <v>45222.279861111114</v>
      </c>
      <c r="B1098" s="3">
        <v>0.65400462962962969</v>
      </c>
      <c r="C1098" s="1" t="s">
        <v>14</v>
      </c>
      <c r="D1098" s="1" t="s">
        <v>27</v>
      </c>
      <c r="E1098" s="1">
        <v>261.2</v>
      </c>
      <c r="F1098" s="1">
        <v>3</v>
      </c>
      <c r="G1098" s="1">
        <v>783.6</v>
      </c>
      <c r="H1098" s="1" t="s">
        <v>61</v>
      </c>
    </row>
    <row r="1099" spans="1:8" x14ac:dyDescent="0.35">
      <c r="A1099" s="2">
        <v>45044.006944444445</v>
      </c>
      <c r="B1099" s="3">
        <v>0.82596064814814818</v>
      </c>
      <c r="C1099" s="1" t="s">
        <v>8</v>
      </c>
      <c r="D1099" s="1" t="s">
        <v>20</v>
      </c>
      <c r="E1099" s="1">
        <v>42.52</v>
      </c>
      <c r="F1099" s="1">
        <v>2</v>
      </c>
      <c r="G1099" s="1">
        <v>85.04</v>
      </c>
      <c r="H1099" s="1" t="s">
        <v>89</v>
      </c>
    </row>
    <row r="1100" spans="1:8" x14ac:dyDescent="0.35">
      <c r="A1100" s="2">
        <v>45156.71875</v>
      </c>
      <c r="B1100" s="3">
        <v>2.4699074074074078E-2</v>
      </c>
      <c r="C1100" s="1" t="s">
        <v>14</v>
      </c>
      <c r="D1100" s="1" t="s">
        <v>20</v>
      </c>
      <c r="E1100" s="1">
        <v>382.83</v>
      </c>
      <c r="F1100" s="1">
        <v>1</v>
      </c>
      <c r="G1100" s="1">
        <v>382.83</v>
      </c>
      <c r="H1100" s="1" t="s">
        <v>213</v>
      </c>
    </row>
    <row r="1101" spans="1:8" x14ac:dyDescent="0.35">
      <c r="A1101" s="2">
        <v>44954.137499999997</v>
      </c>
      <c r="B1101" s="3">
        <v>0.64466435185185189</v>
      </c>
      <c r="C1101" s="1" t="s">
        <v>14</v>
      </c>
      <c r="D1101" s="1" t="s">
        <v>20</v>
      </c>
      <c r="E1101" s="1">
        <v>187.15</v>
      </c>
      <c r="F1101" s="1">
        <v>4</v>
      </c>
      <c r="G1101" s="1">
        <v>748.6</v>
      </c>
      <c r="H1101" s="1" t="s">
        <v>372</v>
      </c>
    </row>
    <row r="1102" spans="1:8" x14ac:dyDescent="0.35">
      <c r="A1102" s="2">
        <v>45427.893055555556</v>
      </c>
      <c r="B1102" s="3">
        <v>0.31616898148148148</v>
      </c>
      <c r="C1102" s="1" t="s">
        <v>14</v>
      </c>
      <c r="D1102" s="1" t="s">
        <v>20</v>
      </c>
      <c r="E1102" s="1">
        <v>36.35</v>
      </c>
      <c r="F1102" s="1">
        <v>2</v>
      </c>
      <c r="G1102" s="1">
        <v>72.7</v>
      </c>
      <c r="H1102" s="1" t="s">
        <v>312</v>
      </c>
    </row>
    <row r="1103" spans="1:8" x14ac:dyDescent="0.35">
      <c r="A1103" s="2">
        <v>45103.220833333333</v>
      </c>
      <c r="B1103" s="3">
        <v>0.4244560185185185</v>
      </c>
      <c r="C1103" s="1" t="s">
        <v>14</v>
      </c>
      <c r="D1103" s="1" t="s">
        <v>9</v>
      </c>
      <c r="E1103" s="1">
        <v>369.92</v>
      </c>
      <c r="F1103" s="1">
        <v>5</v>
      </c>
      <c r="G1103" s="1">
        <v>1849.6</v>
      </c>
      <c r="H1103" s="1" t="s">
        <v>250</v>
      </c>
    </row>
    <row r="1104" spans="1:8" x14ac:dyDescent="0.35">
      <c r="A1104" s="2">
        <v>44990.114583333336</v>
      </c>
      <c r="B1104" s="3">
        <v>0.15752314814814813</v>
      </c>
      <c r="C1104" s="1" t="s">
        <v>8</v>
      </c>
      <c r="D1104" s="1" t="s">
        <v>27</v>
      </c>
      <c r="E1104" s="1">
        <v>360.06</v>
      </c>
      <c r="F1104" s="1">
        <v>1</v>
      </c>
      <c r="G1104" s="1">
        <v>360.06</v>
      </c>
      <c r="H1104" s="1" t="s">
        <v>179</v>
      </c>
    </row>
    <row r="1105" spans="1:8" x14ac:dyDescent="0.35">
      <c r="A1105" s="2">
        <v>45654.478472222225</v>
      </c>
      <c r="B1105" s="3">
        <v>0.77630787037037041</v>
      </c>
      <c r="C1105" s="1" t="s">
        <v>11</v>
      </c>
      <c r="D1105" s="1" t="s">
        <v>20</v>
      </c>
      <c r="E1105" s="1">
        <v>226.8</v>
      </c>
      <c r="F1105" s="1">
        <v>3</v>
      </c>
      <c r="G1105" s="1">
        <v>680.4</v>
      </c>
      <c r="H1105" s="1" t="s">
        <v>310</v>
      </c>
    </row>
    <row r="1106" spans="1:8" x14ac:dyDescent="0.35">
      <c r="A1106" s="2">
        <v>44977.579861111109</v>
      </c>
      <c r="B1106" s="3">
        <v>0.89369212962962974</v>
      </c>
      <c r="C1106" s="1" t="s">
        <v>14</v>
      </c>
      <c r="D1106" s="1" t="s">
        <v>16</v>
      </c>
      <c r="E1106" s="1">
        <v>414.5</v>
      </c>
      <c r="F1106" s="1">
        <v>4</v>
      </c>
      <c r="G1106" s="1">
        <v>1658</v>
      </c>
      <c r="H1106" s="1" t="s">
        <v>386</v>
      </c>
    </row>
    <row r="1107" spans="1:8" x14ac:dyDescent="0.35">
      <c r="A1107" s="2">
        <v>45381.715277777781</v>
      </c>
      <c r="B1107" s="3">
        <v>0.84167824074074071</v>
      </c>
      <c r="C1107" s="1" t="s">
        <v>11</v>
      </c>
      <c r="D1107" s="1" t="s">
        <v>20</v>
      </c>
      <c r="E1107" s="1">
        <v>481.81</v>
      </c>
      <c r="F1107" s="1">
        <v>3</v>
      </c>
      <c r="G1107" s="1">
        <v>1445.43</v>
      </c>
      <c r="H1107" s="1" t="s">
        <v>225</v>
      </c>
    </row>
    <row r="1108" spans="1:8" x14ac:dyDescent="0.35">
      <c r="A1108" s="2">
        <v>45629.230555555558</v>
      </c>
      <c r="B1108" s="3">
        <v>0.37885416666666666</v>
      </c>
      <c r="C1108" s="1" t="s">
        <v>11</v>
      </c>
      <c r="D1108" s="1" t="s">
        <v>12</v>
      </c>
      <c r="E1108" s="1">
        <v>362.29</v>
      </c>
      <c r="F1108" s="1">
        <v>2</v>
      </c>
      <c r="G1108" s="1">
        <v>724.58</v>
      </c>
      <c r="H1108" s="1" t="s">
        <v>105</v>
      </c>
    </row>
    <row r="1109" spans="1:8" x14ac:dyDescent="0.35">
      <c r="A1109" s="2">
        <v>45513.227083333331</v>
      </c>
      <c r="B1109" s="3">
        <v>0.94335648148148143</v>
      </c>
      <c r="C1109" s="1" t="s">
        <v>11</v>
      </c>
      <c r="D1109" s="1" t="s">
        <v>12</v>
      </c>
      <c r="E1109" s="1">
        <v>247.94</v>
      </c>
      <c r="F1109" s="1">
        <v>2</v>
      </c>
      <c r="G1109" s="1">
        <v>495.88</v>
      </c>
      <c r="H1109" s="1" t="s">
        <v>97</v>
      </c>
    </row>
    <row r="1110" spans="1:8" x14ac:dyDescent="0.35">
      <c r="A1110" s="2">
        <v>45073.96875</v>
      </c>
      <c r="B1110" s="3">
        <v>0.38961805555555556</v>
      </c>
      <c r="C1110" s="1" t="s">
        <v>14</v>
      </c>
      <c r="D1110" s="1" t="s">
        <v>12</v>
      </c>
      <c r="E1110" s="1">
        <v>179</v>
      </c>
      <c r="F1110" s="1">
        <v>5</v>
      </c>
      <c r="G1110" s="1">
        <v>895</v>
      </c>
      <c r="H1110" s="1" t="s">
        <v>360</v>
      </c>
    </row>
    <row r="1111" spans="1:8" x14ac:dyDescent="0.35">
      <c r="A1111" s="2">
        <v>45158.26458333333</v>
      </c>
      <c r="B1111" s="3">
        <v>0.87165509259259266</v>
      </c>
      <c r="C1111" s="1" t="s">
        <v>14</v>
      </c>
      <c r="D1111" s="1" t="s">
        <v>9</v>
      </c>
      <c r="E1111" s="1">
        <v>298.64</v>
      </c>
      <c r="F1111" s="1">
        <v>3</v>
      </c>
      <c r="G1111" s="1">
        <v>895.92</v>
      </c>
      <c r="H1111" s="1" t="s">
        <v>40</v>
      </c>
    </row>
    <row r="1112" spans="1:8" x14ac:dyDescent="0.35">
      <c r="A1112" s="2">
        <v>45619.536805555559</v>
      </c>
      <c r="B1112" s="3">
        <v>0.96483796296296298</v>
      </c>
      <c r="C1112" s="1" t="s">
        <v>11</v>
      </c>
      <c r="D1112" s="1" t="s">
        <v>9</v>
      </c>
      <c r="E1112" s="1">
        <v>101.21</v>
      </c>
      <c r="F1112" s="1">
        <v>3</v>
      </c>
      <c r="G1112" s="1">
        <v>303.63</v>
      </c>
      <c r="H1112" s="1" t="s">
        <v>172</v>
      </c>
    </row>
    <row r="1113" spans="1:8" x14ac:dyDescent="0.35">
      <c r="A1113" s="2">
        <v>45206.005555555559</v>
      </c>
      <c r="B1113" s="3">
        <v>9.9618055555555543E-2</v>
      </c>
      <c r="C1113" s="1" t="s">
        <v>8</v>
      </c>
      <c r="D1113" s="1" t="s">
        <v>12</v>
      </c>
      <c r="E1113" s="1">
        <v>479.58</v>
      </c>
      <c r="F1113" s="1">
        <v>1</v>
      </c>
      <c r="G1113" s="1">
        <v>479.58</v>
      </c>
      <c r="H1113" s="1" t="s">
        <v>296</v>
      </c>
    </row>
    <row r="1114" spans="1:8" x14ac:dyDescent="0.35">
      <c r="A1114" s="2">
        <v>45130.286111111112</v>
      </c>
      <c r="B1114" s="3">
        <v>0.91850694444444436</v>
      </c>
      <c r="C1114" s="1" t="s">
        <v>11</v>
      </c>
      <c r="D1114" s="1" t="s">
        <v>16</v>
      </c>
      <c r="E1114" s="1">
        <v>177.73</v>
      </c>
      <c r="F1114" s="1">
        <v>1</v>
      </c>
      <c r="G1114" s="1">
        <v>177.73</v>
      </c>
      <c r="H1114" s="1" t="s">
        <v>372</v>
      </c>
    </row>
    <row r="1115" spans="1:8" x14ac:dyDescent="0.35">
      <c r="A1115" s="2">
        <v>45490.168055555558</v>
      </c>
      <c r="B1115" s="3">
        <v>1.0856481481481481E-2</v>
      </c>
      <c r="C1115" s="1" t="s">
        <v>11</v>
      </c>
      <c r="D1115" s="1" t="s">
        <v>27</v>
      </c>
      <c r="E1115" s="1">
        <v>59.37</v>
      </c>
      <c r="F1115" s="1">
        <v>4</v>
      </c>
      <c r="G1115" s="1">
        <v>237.48</v>
      </c>
      <c r="H1115" s="1" t="s">
        <v>239</v>
      </c>
    </row>
    <row r="1116" spans="1:8" x14ac:dyDescent="0.35">
      <c r="A1116" s="2">
        <v>45393.785416666666</v>
      </c>
      <c r="B1116" s="3">
        <v>0.6127083333333333</v>
      </c>
      <c r="C1116" s="1" t="s">
        <v>11</v>
      </c>
      <c r="D1116" s="1" t="s">
        <v>20</v>
      </c>
      <c r="E1116" s="1">
        <v>300.45</v>
      </c>
      <c r="F1116" s="1">
        <v>4</v>
      </c>
      <c r="G1116" s="1">
        <v>1201.8</v>
      </c>
      <c r="H1116" s="1" t="s">
        <v>248</v>
      </c>
    </row>
    <row r="1117" spans="1:8" x14ac:dyDescent="0.35">
      <c r="A1117" s="2">
        <v>44989.726388888892</v>
      </c>
      <c r="B1117" s="3">
        <v>0.66690972222222211</v>
      </c>
      <c r="C1117" s="1" t="s">
        <v>11</v>
      </c>
      <c r="D1117" s="1" t="s">
        <v>27</v>
      </c>
      <c r="E1117" s="1">
        <v>69.81</v>
      </c>
      <c r="F1117" s="1">
        <v>4</v>
      </c>
      <c r="G1117" s="1">
        <v>279.24</v>
      </c>
      <c r="H1117" s="1" t="s">
        <v>121</v>
      </c>
    </row>
    <row r="1118" spans="1:8" x14ac:dyDescent="0.35">
      <c r="A1118" s="2">
        <v>45363.379166666666</v>
      </c>
      <c r="B1118" s="3">
        <v>0.26503472222222219</v>
      </c>
      <c r="C1118" s="1" t="s">
        <v>11</v>
      </c>
      <c r="D1118" s="1" t="s">
        <v>12</v>
      </c>
      <c r="E1118" s="1">
        <v>310.81</v>
      </c>
      <c r="F1118" s="1">
        <v>4</v>
      </c>
      <c r="G1118" s="1">
        <v>1243.24</v>
      </c>
      <c r="H1118" s="1" t="s">
        <v>286</v>
      </c>
    </row>
    <row r="1119" spans="1:8" x14ac:dyDescent="0.35">
      <c r="A1119" s="2">
        <v>45459.310416666667</v>
      </c>
      <c r="B1119" s="3">
        <v>0.48700231481481482</v>
      </c>
      <c r="C1119" s="1" t="s">
        <v>14</v>
      </c>
      <c r="D1119" s="1" t="s">
        <v>9</v>
      </c>
      <c r="E1119" s="1">
        <v>69.41</v>
      </c>
      <c r="F1119" s="1">
        <v>5</v>
      </c>
      <c r="G1119" s="1">
        <v>347.05</v>
      </c>
      <c r="H1119" s="1" t="s">
        <v>101</v>
      </c>
    </row>
    <row r="1120" spans="1:8" x14ac:dyDescent="0.35">
      <c r="A1120" s="2">
        <v>45156.840277777781</v>
      </c>
      <c r="B1120" s="3">
        <v>0.82887731481481486</v>
      </c>
      <c r="C1120" s="1" t="s">
        <v>8</v>
      </c>
      <c r="D1120" s="1" t="s">
        <v>12</v>
      </c>
      <c r="E1120" s="1">
        <v>482.69</v>
      </c>
      <c r="F1120" s="1">
        <v>4</v>
      </c>
      <c r="G1120" s="1">
        <v>1930.76</v>
      </c>
      <c r="H1120" s="1" t="s">
        <v>387</v>
      </c>
    </row>
    <row r="1121" spans="1:8" x14ac:dyDescent="0.35">
      <c r="A1121" s="2">
        <v>45486.130555555559</v>
      </c>
      <c r="B1121" s="3">
        <v>0.90425925925925921</v>
      </c>
      <c r="C1121" s="1" t="s">
        <v>11</v>
      </c>
      <c r="D1121" s="1" t="s">
        <v>9</v>
      </c>
      <c r="E1121" s="1">
        <v>86.42</v>
      </c>
      <c r="F1121" s="1">
        <v>2</v>
      </c>
      <c r="G1121" s="1">
        <v>172.84</v>
      </c>
      <c r="H1121" s="1" t="s">
        <v>243</v>
      </c>
    </row>
    <row r="1122" spans="1:8" x14ac:dyDescent="0.35">
      <c r="A1122" s="2">
        <v>45618.681944444441</v>
      </c>
      <c r="B1122" s="3">
        <v>0.96931712962962957</v>
      </c>
      <c r="C1122" s="1" t="s">
        <v>11</v>
      </c>
      <c r="D1122" s="1" t="s">
        <v>27</v>
      </c>
      <c r="E1122" s="1">
        <v>320.68</v>
      </c>
      <c r="F1122" s="1">
        <v>3</v>
      </c>
      <c r="G1122" s="1">
        <v>962.04</v>
      </c>
      <c r="H1122" s="1" t="s">
        <v>315</v>
      </c>
    </row>
    <row r="1123" spans="1:8" x14ac:dyDescent="0.35">
      <c r="A1123" s="2">
        <v>45446.782638888886</v>
      </c>
      <c r="B1123" s="3">
        <v>0.72401620370370379</v>
      </c>
      <c r="C1123" s="1" t="s">
        <v>11</v>
      </c>
      <c r="D1123" s="1" t="s">
        <v>20</v>
      </c>
      <c r="E1123" s="1">
        <v>104.56</v>
      </c>
      <c r="F1123" s="1">
        <v>4</v>
      </c>
      <c r="G1123" s="1">
        <v>418.24</v>
      </c>
      <c r="H1123" s="1" t="s">
        <v>173</v>
      </c>
    </row>
    <row r="1124" spans="1:8" x14ac:dyDescent="0.35">
      <c r="A1124" s="2">
        <v>45190.302777777775</v>
      </c>
      <c r="B1124" s="3">
        <v>0.27568287037037037</v>
      </c>
      <c r="C1124" s="1" t="s">
        <v>8</v>
      </c>
      <c r="D1124" s="1" t="s">
        <v>27</v>
      </c>
      <c r="E1124" s="1">
        <v>326.10000000000002</v>
      </c>
      <c r="F1124" s="1">
        <v>3</v>
      </c>
      <c r="G1124" s="1">
        <v>978.3</v>
      </c>
      <c r="H1124" s="1" t="s">
        <v>23</v>
      </c>
    </row>
    <row r="1125" spans="1:8" x14ac:dyDescent="0.35">
      <c r="A1125" s="2">
        <v>45580.011111111111</v>
      </c>
      <c r="B1125" s="3">
        <v>0.27552083333333333</v>
      </c>
      <c r="C1125" s="1" t="s">
        <v>8</v>
      </c>
      <c r="D1125" s="1" t="s">
        <v>9</v>
      </c>
      <c r="E1125" s="1">
        <v>277.38</v>
      </c>
      <c r="F1125" s="1">
        <v>3</v>
      </c>
      <c r="G1125" s="1">
        <v>832.14</v>
      </c>
      <c r="H1125" s="1" t="s">
        <v>335</v>
      </c>
    </row>
    <row r="1126" spans="1:8" x14ac:dyDescent="0.35">
      <c r="A1126" s="2">
        <v>44995.396527777775</v>
      </c>
      <c r="B1126" s="3">
        <v>0.26060185185185186</v>
      </c>
      <c r="C1126" s="1" t="s">
        <v>11</v>
      </c>
      <c r="D1126" s="1" t="s">
        <v>12</v>
      </c>
      <c r="E1126" s="1">
        <v>417.81</v>
      </c>
      <c r="F1126" s="1">
        <v>3</v>
      </c>
      <c r="G1126" s="1">
        <v>1253.43</v>
      </c>
      <c r="H1126" s="1" t="s">
        <v>187</v>
      </c>
    </row>
    <row r="1127" spans="1:8" x14ac:dyDescent="0.35">
      <c r="A1127" s="2">
        <v>45461.963194444441</v>
      </c>
      <c r="B1127" s="3">
        <v>0.18096064814814816</v>
      </c>
      <c r="C1127" s="1" t="s">
        <v>8</v>
      </c>
      <c r="D1127" s="1" t="s">
        <v>20</v>
      </c>
      <c r="E1127" s="1">
        <v>356.61</v>
      </c>
      <c r="F1127" s="1">
        <v>2</v>
      </c>
      <c r="G1127" s="1">
        <v>713.22</v>
      </c>
      <c r="H1127" s="1" t="s">
        <v>388</v>
      </c>
    </row>
    <row r="1128" spans="1:8" x14ac:dyDescent="0.35">
      <c r="A1128" s="2">
        <v>44940.647916666669</v>
      </c>
      <c r="B1128" s="3">
        <v>0.30715277777777777</v>
      </c>
      <c r="C1128" s="1" t="s">
        <v>11</v>
      </c>
      <c r="D1128" s="1" t="s">
        <v>20</v>
      </c>
      <c r="E1128" s="1">
        <v>361.38</v>
      </c>
      <c r="F1128" s="1">
        <v>3</v>
      </c>
      <c r="G1128" s="1">
        <v>1084.1400000000001</v>
      </c>
      <c r="H1128" s="1" t="s">
        <v>280</v>
      </c>
    </row>
    <row r="1129" spans="1:8" x14ac:dyDescent="0.35">
      <c r="A1129" s="2">
        <v>45257.272222222222</v>
      </c>
      <c r="B1129" s="3">
        <v>0.88936342592592599</v>
      </c>
      <c r="C1129" s="1" t="s">
        <v>8</v>
      </c>
      <c r="D1129" s="1" t="s">
        <v>27</v>
      </c>
      <c r="E1129" s="1">
        <v>84.74</v>
      </c>
      <c r="F1129" s="1">
        <v>1</v>
      </c>
      <c r="G1129" s="1">
        <v>84.74</v>
      </c>
      <c r="H1129" s="1" t="s">
        <v>389</v>
      </c>
    </row>
    <row r="1130" spans="1:8" x14ac:dyDescent="0.35">
      <c r="A1130" s="2">
        <v>44976.904166666667</v>
      </c>
      <c r="B1130" s="3">
        <v>0.9665625000000001</v>
      </c>
      <c r="C1130" s="1" t="s">
        <v>8</v>
      </c>
      <c r="D1130" s="1" t="s">
        <v>27</v>
      </c>
      <c r="E1130" s="1">
        <v>282.45999999999998</v>
      </c>
      <c r="F1130" s="1">
        <v>2</v>
      </c>
      <c r="G1130" s="1">
        <v>564.91999999999996</v>
      </c>
      <c r="H1130" s="1" t="s">
        <v>68</v>
      </c>
    </row>
    <row r="1131" spans="1:8" x14ac:dyDescent="0.35">
      <c r="A1131" s="2">
        <v>44959.336111111108</v>
      </c>
      <c r="B1131" s="3">
        <v>0.3104513888888889</v>
      </c>
      <c r="C1131" s="1" t="s">
        <v>14</v>
      </c>
      <c r="D1131" s="1" t="s">
        <v>12</v>
      </c>
      <c r="E1131" s="1">
        <v>40.07</v>
      </c>
      <c r="F1131" s="1">
        <v>4</v>
      </c>
      <c r="G1131" s="1">
        <v>160.28</v>
      </c>
      <c r="H1131" s="1" t="s">
        <v>262</v>
      </c>
    </row>
    <row r="1132" spans="1:8" x14ac:dyDescent="0.35">
      <c r="A1132" s="2">
        <v>45370.265277777777</v>
      </c>
      <c r="B1132" s="3">
        <v>0.8781944444444445</v>
      </c>
      <c r="C1132" s="1" t="s">
        <v>8</v>
      </c>
      <c r="D1132" s="1" t="s">
        <v>27</v>
      </c>
      <c r="E1132" s="1">
        <v>151.59</v>
      </c>
      <c r="F1132" s="1">
        <v>4</v>
      </c>
      <c r="G1132" s="1">
        <v>606.36</v>
      </c>
      <c r="H1132" s="1" t="s">
        <v>364</v>
      </c>
    </row>
    <row r="1133" spans="1:8" x14ac:dyDescent="0.35">
      <c r="A1133" s="2">
        <v>45259.973611111112</v>
      </c>
      <c r="B1133" s="3">
        <v>0.98315972222222225</v>
      </c>
      <c r="C1133" s="1" t="s">
        <v>11</v>
      </c>
      <c r="D1133" s="1" t="s">
        <v>12</v>
      </c>
      <c r="E1133" s="1">
        <v>182.72</v>
      </c>
      <c r="F1133" s="1">
        <v>4</v>
      </c>
      <c r="G1133" s="1">
        <v>730.88</v>
      </c>
      <c r="H1133" s="1" t="s">
        <v>281</v>
      </c>
    </row>
    <row r="1134" spans="1:8" x14ac:dyDescent="0.35">
      <c r="A1134" s="2">
        <v>44965.488888888889</v>
      </c>
      <c r="B1134" s="3">
        <v>0.32609953703703703</v>
      </c>
      <c r="C1134" s="1" t="s">
        <v>8</v>
      </c>
      <c r="D1134" s="1" t="s">
        <v>9</v>
      </c>
      <c r="E1134" s="1">
        <v>478.03</v>
      </c>
      <c r="F1134" s="1">
        <v>4</v>
      </c>
      <c r="G1134" s="1">
        <v>1912.12</v>
      </c>
      <c r="H1134" s="1" t="s">
        <v>380</v>
      </c>
    </row>
    <row r="1135" spans="1:8" x14ac:dyDescent="0.35">
      <c r="A1135" s="2">
        <v>45628.038194444445</v>
      </c>
      <c r="B1135" s="3">
        <v>0.81344907407407396</v>
      </c>
      <c r="C1135" s="1" t="s">
        <v>11</v>
      </c>
      <c r="D1135" s="1" t="s">
        <v>9</v>
      </c>
      <c r="E1135" s="1">
        <v>331.4</v>
      </c>
      <c r="F1135" s="1">
        <v>4</v>
      </c>
      <c r="G1135" s="1">
        <v>1325.6</v>
      </c>
      <c r="H1135" s="1" t="s">
        <v>39</v>
      </c>
    </row>
    <row r="1136" spans="1:8" x14ac:dyDescent="0.35">
      <c r="A1136" s="2">
        <v>45194.334027777775</v>
      </c>
      <c r="B1136" s="3">
        <v>0.53500000000000003</v>
      </c>
      <c r="C1136" s="1" t="s">
        <v>8</v>
      </c>
      <c r="D1136" s="1" t="s">
        <v>12</v>
      </c>
      <c r="E1136" s="1">
        <v>100.39</v>
      </c>
      <c r="F1136" s="1">
        <v>1</v>
      </c>
      <c r="G1136" s="1">
        <v>100.39</v>
      </c>
      <c r="H1136" s="1" t="s">
        <v>390</v>
      </c>
    </row>
    <row r="1137" spans="1:8" x14ac:dyDescent="0.35">
      <c r="A1137" s="2">
        <v>45218.283333333333</v>
      </c>
      <c r="B1137" s="3">
        <v>0.89341435185185192</v>
      </c>
      <c r="C1137" s="1" t="s">
        <v>8</v>
      </c>
      <c r="D1137" s="1" t="s">
        <v>20</v>
      </c>
      <c r="E1137" s="1">
        <v>251.14</v>
      </c>
      <c r="F1137" s="1">
        <v>5</v>
      </c>
      <c r="G1137" s="1">
        <v>1255.7</v>
      </c>
      <c r="H1137" s="1" t="s">
        <v>168</v>
      </c>
    </row>
    <row r="1138" spans="1:8" x14ac:dyDescent="0.35">
      <c r="A1138" s="2">
        <v>45264.283333333333</v>
      </c>
      <c r="B1138" s="3">
        <v>0.74331018518518521</v>
      </c>
      <c r="C1138" s="1" t="s">
        <v>8</v>
      </c>
      <c r="D1138" s="1" t="s">
        <v>27</v>
      </c>
      <c r="E1138" s="1">
        <v>62.15</v>
      </c>
      <c r="F1138" s="1">
        <v>4</v>
      </c>
      <c r="G1138" s="1">
        <v>248.6</v>
      </c>
      <c r="H1138" s="1" t="s">
        <v>53</v>
      </c>
    </row>
    <row r="1139" spans="1:8" x14ac:dyDescent="0.35">
      <c r="A1139" s="2">
        <v>45469.291666666664</v>
      </c>
      <c r="B1139" s="3">
        <v>0.46430555555555553</v>
      </c>
      <c r="C1139" s="1" t="s">
        <v>8</v>
      </c>
      <c r="D1139" s="1" t="s">
        <v>27</v>
      </c>
      <c r="E1139" s="1">
        <v>28.49</v>
      </c>
      <c r="F1139" s="1">
        <v>5</v>
      </c>
      <c r="G1139" s="1">
        <v>142.44999999999999</v>
      </c>
      <c r="H1139" s="1" t="s">
        <v>375</v>
      </c>
    </row>
    <row r="1140" spans="1:8" x14ac:dyDescent="0.35">
      <c r="A1140" s="2">
        <v>45369.426388888889</v>
      </c>
      <c r="B1140" s="3">
        <v>0.42486111111111113</v>
      </c>
      <c r="C1140" s="1" t="s">
        <v>11</v>
      </c>
      <c r="D1140" s="1" t="s">
        <v>9</v>
      </c>
      <c r="E1140" s="1">
        <v>224.83</v>
      </c>
      <c r="F1140" s="1">
        <v>1</v>
      </c>
      <c r="G1140" s="1">
        <v>224.83</v>
      </c>
      <c r="H1140" s="1" t="s">
        <v>140</v>
      </c>
    </row>
    <row r="1141" spans="1:8" x14ac:dyDescent="0.35">
      <c r="A1141" s="2">
        <v>45552.861111111109</v>
      </c>
      <c r="B1141" s="3">
        <v>0.33277777777777778</v>
      </c>
      <c r="C1141" s="1" t="s">
        <v>8</v>
      </c>
      <c r="D1141" s="1" t="s">
        <v>12</v>
      </c>
      <c r="E1141" s="1">
        <v>354.04</v>
      </c>
      <c r="F1141" s="1">
        <v>3</v>
      </c>
      <c r="G1141" s="1">
        <v>1062.1199999999999</v>
      </c>
      <c r="H1141" s="1" t="s">
        <v>56</v>
      </c>
    </row>
    <row r="1142" spans="1:8" x14ac:dyDescent="0.35">
      <c r="A1142" s="2">
        <v>45659.106249999997</v>
      </c>
      <c r="B1142" s="3">
        <v>0.2402199074074074</v>
      </c>
      <c r="C1142" s="1" t="s">
        <v>14</v>
      </c>
      <c r="D1142" s="1" t="s">
        <v>20</v>
      </c>
      <c r="E1142" s="1">
        <v>457.77</v>
      </c>
      <c r="F1142" s="1">
        <v>5</v>
      </c>
      <c r="G1142" s="1">
        <v>2288.85</v>
      </c>
      <c r="H1142" s="1" t="s">
        <v>174</v>
      </c>
    </row>
    <row r="1143" spans="1:8" x14ac:dyDescent="0.35">
      <c r="A1143" s="2">
        <v>45591.890277777777</v>
      </c>
      <c r="B1143" s="3">
        <v>3.3680555555555554E-2</v>
      </c>
      <c r="C1143" s="1" t="s">
        <v>14</v>
      </c>
      <c r="D1143" s="1" t="s">
        <v>9</v>
      </c>
      <c r="E1143" s="1">
        <v>54.2</v>
      </c>
      <c r="F1143" s="1">
        <v>4</v>
      </c>
      <c r="G1143" s="1">
        <v>216.8</v>
      </c>
      <c r="H1143" s="1" t="s">
        <v>224</v>
      </c>
    </row>
    <row r="1144" spans="1:8" x14ac:dyDescent="0.35">
      <c r="A1144" s="2">
        <v>45074.875</v>
      </c>
      <c r="B1144" s="3">
        <v>0.70922453703703703</v>
      </c>
      <c r="C1144" s="1" t="s">
        <v>14</v>
      </c>
      <c r="D1144" s="1" t="s">
        <v>20</v>
      </c>
      <c r="E1144" s="1">
        <v>479.93</v>
      </c>
      <c r="F1144" s="1">
        <v>5</v>
      </c>
      <c r="G1144" s="1">
        <v>2399.65</v>
      </c>
      <c r="H1144" s="1" t="s">
        <v>377</v>
      </c>
    </row>
    <row r="1145" spans="1:8" x14ac:dyDescent="0.35">
      <c r="A1145" s="2">
        <v>45062.209027777775</v>
      </c>
      <c r="B1145" s="3">
        <v>0.41541666666666671</v>
      </c>
      <c r="C1145" s="1" t="s">
        <v>11</v>
      </c>
      <c r="D1145" s="1" t="s">
        <v>20</v>
      </c>
      <c r="E1145" s="1">
        <v>304.57</v>
      </c>
      <c r="F1145" s="1">
        <v>5</v>
      </c>
      <c r="G1145" s="1">
        <v>1522.85</v>
      </c>
      <c r="H1145" s="1" t="s">
        <v>329</v>
      </c>
    </row>
    <row r="1146" spans="1:8" x14ac:dyDescent="0.35">
      <c r="A1146" s="2">
        <v>44956.999305555553</v>
      </c>
      <c r="B1146" s="3">
        <v>0.44483796296296302</v>
      </c>
      <c r="C1146" s="1" t="s">
        <v>8</v>
      </c>
      <c r="D1146" s="1" t="s">
        <v>27</v>
      </c>
      <c r="E1146" s="1">
        <v>280.29000000000002</v>
      </c>
      <c r="F1146" s="1">
        <v>2</v>
      </c>
      <c r="G1146" s="1">
        <v>560.58000000000004</v>
      </c>
      <c r="H1146" s="1" t="s">
        <v>375</v>
      </c>
    </row>
    <row r="1147" spans="1:8" x14ac:dyDescent="0.35">
      <c r="A1147" s="2">
        <v>45181.361111111109</v>
      </c>
      <c r="B1147" s="3">
        <v>0.65917824074074072</v>
      </c>
      <c r="C1147" s="1" t="s">
        <v>11</v>
      </c>
      <c r="D1147" s="1" t="s">
        <v>20</v>
      </c>
      <c r="E1147" s="1">
        <v>379.54</v>
      </c>
      <c r="F1147" s="1">
        <v>2</v>
      </c>
      <c r="G1147" s="1">
        <v>759.08</v>
      </c>
      <c r="H1147" s="1" t="s">
        <v>283</v>
      </c>
    </row>
    <row r="1148" spans="1:8" x14ac:dyDescent="0.35">
      <c r="A1148" s="2">
        <v>45629.565972222219</v>
      </c>
      <c r="B1148" s="3">
        <v>0.82006944444444441</v>
      </c>
      <c r="C1148" s="1" t="s">
        <v>11</v>
      </c>
      <c r="D1148" s="1" t="s">
        <v>20</v>
      </c>
      <c r="E1148" s="1">
        <v>96.64</v>
      </c>
      <c r="F1148" s="1">
        <v>3</v>
      </c>
      <c r="G1148" s="1">
        <v>289.92</v>
      </c>
      <c r="H1148" s="1" t="s">
        <v>170</v>
      </c>
    </row>
    <row r="1149" spans="1:8" x14ac:dyDescent="0.35">
      <c r="A1149" s="2">
        <v>44929.109722222223</v>
      </c>
      <c r="B1149" s="3">
        <v>0.1431712962962963</v>
      </c>
      <c r="C1149" s="1" t="s">
        <v>11</v>
      </c>
      <c r="D1149" s="1" t="s">
        <v>20</v>
      </c>
      <c r="E1149" s="1">
        <v>487.31</v>
      </c>
      <c r="F1149" s="1">
        <v>4</v>
      </c>
      <c r="G1149" s="1">
        <v>1949.24</v>
      </c>
      <c r="H1149" s="1" t="s">
        <v>41</v>
      </c>
    </row>
    <row r="1150" spans="1:8" x14ac:dyDescent="0.35">
      <c r="A1150" s="2">
        <v>45012.449305555558</v>
      </c>
      <c r="B1150" s="3">
        <v>0.2194675925925926</v>
      </c>
      <c r="C1150" s="1" t="s">
        <v>8</v>
      </c>
      <c r="D1150" s="1" t="s">
        <v>12</v>
      </c>
      <c r="E1150" s="1">
        <v>379.41</v>
      </c>
      <c r="F1150" s="1">
        <v>5</v>
      </c>
      <c r="G1150" s="1">
        <v>1897.05</v>
      </c>
      <c r="H1150" s="1" t="s">
        <v>340</v>
      </c>
    </row>
    <row r="1151" spans="1:8" x14ac:dyDescent="0.35">
      <c r="A1151" s="2">
        <v>45177.772916666669</v>
      </c>
      <c r="B1151" s="3">
        <v>0.25559027777777776</v>
      </c>
      <c r="C1151" s="1" t="s">
        <v>8</v>
      </c>
      <c r="D1151" s="1" t="s">
        <v>9</v>
      </c>
      <c r="E1151" s="1">
        <v>263.32</v>
      </c>
      <c r="F1151" s="1">
        <v>4</v>
      </c>
      <c r="G1151" s="1">
        <v>1053.28</v>
      </c>
      <c r="H1151" s="1" t="s">
        <v>274</v>
      </c>
    </row>
    <row r="1152" spans="1:8" x14ac:dyDescent="0.35">
      <c r="A1152" s="2">
        <v>45607.723611111112</v>
      </c>
      <c r="B1152" s="3">
        <v>0.52590277777777772</v>
      </c>
      <c r="C1152" s="1" t="s">
        <v>8</v>
      </c>
      <c r="D1152" s="1" t="s">
        <v>9</v>
      </c>
      <c r="E1152" s="1">
        <v>206.52</v>
      </c>
      <c r="F1152" s="1">
        <v>5</v>
      </c>
      <c r="G1152" s="1">
        <v>1032.5999999999999</v>
      </c>
      <c r="H1152" s="1" t="s">
        <v>102</v>
      </c>
    </row>
    <row r="1153" spans="1:8" x14ac:dyDescent="0.35">
      <c r="A1153" s="2">
        <v>45278.155555555553</v>
      </c>
      <c r="B1153" s="3">
        <v>0.97612268518518519</v>
      </c>
      <c r="C1153" s="1" t="s">
        <v>11</v>
      </c>
      <c r="D1153" s="1" t="s">
        <v>27</v>
      </c>
      <c r="E1153" s="1">
        <v>342.59</v>
      </c>
      <c r="F1153" s="1">
        <v>3</v>
      </c>
      <c r="G1153" s="1">
        <v>1027.77</v>
      </c>
      <c r="H1153" s="1" t="s">
        <v>271</v>
      </c>
    </row>
    <row r="1154" spans="1:8" x14ac:dyDescent="0.35">
      <c r="A1154" s="2">
        <v>45160.186111111114</v>
      </c>
      <c r="B1154" s="3">
        <v>0.22062499999999999</v>
      </c>
      <c r="C1154" s="1" t="s">
        <v>8</v>
      </c>
      <c r="D1154" s="1" t="s">
        <v>27</v>
      </c>
      <c r="E1154" s="1">
        <v>203.22</v>
      </c>
      <c r="F1154" s="1">
        <v>1</v>
      </c>
      <c r="G1154" s="1">
        <v>203.22</v>
      </c>
      <c r="H1154" s="1" t="s">
        <v>237</v>
      </c>
    </row>
    <row r="1155" spans="1:8" x14ac:dyDescent="0.35">
      <c r="A1155" s="2">
        <v>45110.003472222219</v>
      </c>
      <c r="B1155" s="3">
        <v>0.43431712962962959</v>
      </c>
      <c r="C1155" s="1" t="s">
        <v>14</v>
      </c>
      <c r="D1155" s="1" t="s">
        <v>27</v>
      </c>
      <c r="E1155" s="1">
        <v>169.42</v>
      </c>
      <c r="F1155" s="1">
        <v>5</v>
      </c>
      <c r="G1155" s="1">
        <v>847.1</v>
      </c>
      <c r="H1155" s="1" t="s">
        <v>310</v>
      </c>
    </row>
    <row r="1156" spans="1:8" x14ac:dyDescent="0.35">
      <c r="A1156" s="2">
        <v>45304.746527777781</v>
      </c>
      <c r="B1156" s="3">
        <v>0.8507407407407408</v>
      </c>
      <c r="C1156" s="1" t="s">
        <v>14</v>
      </c>
      <c r="D1156" s="1" t="s">
        <v>27</v>
      </c>
      <c r="E1156" s="1">
        <v>214.17</v>
      </c>
      <c r="F1156" s="1">
        <v>1</v>
      </c>
      <c r="G1156" s="1">
        <v>214.17</v>
      </c>
      <c r="H1156" s="1" t="s">
        <v>70</v>
      </c>
    </row>
    <row r="1157" spans="1:8" x14ac:dyDescent="0.35">
      <c r="A1157" s="2">
        <v>45172.367361111108</v>
      </c>
      <c r="B1157" s="3">
        <v>0.68140046296296297</v>
      </c>
      <c r="C1157" s="1" t="s">
        <v>14</v>
      </c>
      <c r="D1157" s="1" t="s">
        <v>16</v>
      </c>
      <c r="E1157" s="1">
        <v>485.3</v>
      </c>
      <c r="F1157" s="1">
        <v>3</v>
      </c>
      <c r="G1157" s="1">
        <v>1455.9</v>
      </c>
      <c r="H1157" s="1" t="s">
        <v>121</v>
      </c>
    </row>
    <row r="1158" spans="1:8" x14ac:dyDescent="0.35">
      <c r="A1158" s="2">
        <v>45047.214583333334</v>
      </c>
      <c r="B1158" s="3">
        <v>4.2222222222222223E-2</v>
      </c>
      <c r="C1158" s="1" t="s">
        <v>11</v>
      </c>
      <c r="D1158" s="1" t="s">
        <v>16</v>
      </c>
      <c r="E1158" s="1">
        <v>430.49</v>
      </c>
      <c r="F1158" s="1">
        <v>4</v>
      </c>
      <c r="G1158" s="1">
        <v>1721.96</v>
      </c>
      <c r="H1158" s="1" t="s">
        <v>45</v>
      </c>
    </row>
    <row r="1159" spans="1:8" x14ac:dyDescent="0.35">
      <c r="A1159" s="2">
        <v>45227.956250000003</v>
      </c>
      <c r="B1159" s="3">
        <v>7.7939814814814809E-2</v>
      </c>
      <c r="C1159" s="1" t="s">
        <v>11</v>
      </c>
      <c r="D1159" s="1" t="s">
        <v>16</v>
      </c>
      <c r="E1159" s="1">
        <v>372.85</v>
      </c>
      <c r="F1159" s="1">
        <v>1</v>
      </c>
      <c r="G1159" s="1">
        <v>372.85</v>
      </c>
      <c r="H1159" s="1" t="s">
        <v>368</v>
      </c>
    </row>
    <row r="1160" spans="1:8" x14ac:dyDescent="0.35">
      <c r="A1160" s="2">
        <v>44980.518750000003</v>
      </c>
      <c r="B1160" s="3">
        <v>0.24592592592592591</v>
      </c>
      <c r="C1160" s="1" t="s">
        <v>11</v>
      </c>
      <c r="D1160" s="1" t="s">
        <v>16</v>
      </c>
      <c r="E1160" s="1">
        <v>455.44</v>
      </c>
      <c r="F1160" s="1">
        <v>5</v>
      </c>
      <c r="G1160" s="1">
        <v>2277.1999999999998</v>
      </c>
      <c r="H1160" s="1" t="s">
        <v>306</v>
      </c>
    </row>
    <row r="1161" spans="1:8" x14ac:dyDescent="0.35">
      <c r="A1161" s="2">
        <v>45377.238194444442</v>
      </c>
      <c r="B1161" s="3">
        <v>0.50954861111111105</v>
      </c>
      <c r="C1161" s="1" t="s">
        <v>11</v>
      </c>
      <c r="D1161" s="1" t="s">
        <v>16</v>
      </c>
      <c r="E1161" s="1">
        <v>384.76</v>
      </c>
      <c r="F1161" s="1">
        <v>4</v>
      </c>
      <c r="G1161" s="1">
        <v>1539.04</v>
      </c>
      <c r="H1161" s="1" t="s">
        <v>375</v>
      </c>
    </row>
    <row r="1162" spans="1:8" x14ac:dyDescent="0.35">
      <c r="A1162" s="2">
        <v>45344.166666666664</v>
      </c>
      <c r="B1162" s="3">
        <v>0.99353009259259262</v>
      </c>
      <c r="C1162" s="1" t="s">
        <v>11</v>
      </c>
      <c r="D1162" s="1" t="s">
        <v>9</v>
      </c>
      <c r="E1162" s="1">
        <v>82.14</v>
      </c>
      <c r="F1162" s="1">
        <v>4</v>
      </c>
      <c r="G1162" s="1">
        <v>328.56</v>
      </c>
      <c r="H1162" s="1" t="s">
        <v>316</v>
      </c>
    </row>
    <row r="1163" spans="1:8" x14ac:dyDescent="0.35">
      <c r="A1163" s="2">
        <v>45455.944444444445</v>
      </c>
      <c r="B1163" s="3">
        <v>0.45037037037037037</v>
      </c>
      <c r="C1163" s="1" t="s">
        <v>8</v>
      </c>
      <c r="D1163" s="1" t="s">
        <v>16</v>
      </c>
      <c r="E1163" s="1">
        <v>372.16</v>
      </c>
      <c r="F1163" s="1">
        <v>1</v>
      </c>
      <c r="G1163" s="1">
        <v>372.16</v>
      </c>
      <c r="H1163" s="1" t="s">
        <v>132</v>
      </c>
    </row>
    <row r="1164" spans="1:8" x14ac:dyDescent="0.35">
      <c r="A1164" s="2">
        <v>45639.502083333333</v>
      </c>
      <c r="B1164" s="3">
        <v>0.44976851851851851</v>
      </c>
      <c r="C1164" s="1" t="s">
        <v>11</v>
      </c>
      <c r="D1164" s="1" t="s">
        <v>27</v>
      </c>
      <c r="E1164" s="1">
        <v>254.82</v>
      </c>
      <c r="F1164" s="1">
        <v>2</v>
      </c>
      <c r="G1164" s="1">
        <v>509.64</v>
      </c>
      <c r="H1164" s="1" t="s">
        <v>278</v>
      </c>
    </row>
    <row r="1165" spans="1:8" x14ac:dyDescent="0.35">
      <c r="A1165" s="2">
        <v>45424.948611111111</v>
      </c>
      <c r="B1165" s="3">
        <v>0.77098379629629632</v>
      </c>
      <c r="C1165" s="1" t="s">
        <v>14</v>
      </c>
      <c r="D1165" s="1" t="s">
        <v>16</v>
      </c>
      <c r="E1165" s="1">
        <v>42.19</v>
      </c>
      <c r="F1165" s="1">
        <v>5</v>
      </c>
      <c r="G1165" s="1">
        <v>210.95</v>
      </c>
      <c r="H1165" s="1" t="s">
        <v>363</v>
      </c>
    </row>
    <row r="1166" spans="1:8" x14ac:dyDescent="0.35">
      <c r="A1166" s="2">
        <v>45418.220138888886</v>
      </c>
      <c r="B1166" s="3">
        <v>0.88836805555555554</v>
      </c>
      <c r="C1166" s="1" t="s">
        <v>11</v>
      </c>
      <c r="D1166" s="1" t="s">
        <v>20</v>
      </c>
      <c r="E1166" s="1">
        <v>176.08</v>
      </c>
      <c r="F1166" s="1">
        <v>1</v>
      </c>
      <c r="G1166" s="1">
        <v>176.08</v>
      </c>
      <c r="H1166" s="1" t="s">
        <v>252</v>
      </c>
    </row>
    <row r="1167" spans="1:8" x14ac:dyDescent="0.35">
      <c r="A1167" s="2">
        <v>44979.477777777778</v>
      </c>
      <c r="B1167" s="3">
        <v>0.55628472222222225</v>
      </c>
      <c r="C1167" s="1" t="s">
        <v>11</v>
      </c>
      <c r="D1167" s="1" t="s">
        <v>12</v>
      </c>
      <c r="E1167" s="1">
        <v>344.54</v>
      </c>
      <c r="F1167" s="1">
        <v>3</v>
      </c>
      <c r="G1167" s="1">
        <v>1033.6199999999999</v>
      </c>
      <c r="H1167" s="1" t="s">
        <v>241</v>
      </c>
    </row>
    <row r="1168" spans="1:8" x14ac:dyDescent="0.35">
      <c r="A1168" s="2">
        <v>45617.355555555558</v>
      </c>
      <c r="B1168" s="3">
        <v>0.82525462962962959</v>
      </c>
      <c r="C1168" s="1" t="s">
        <v>11</v>
      </c>
      <c r="D1168" s="1" t="s">
        <v>16</v>
      </c>
      <c r="E1168" s="1">
        <v>189.4</v>
      </c>
      <c r="F1168" s="1">
        <v>2</v>
      </c>
      <c r="G1168" s="1">
        <v>378.8</v>
      </c>
      <c r="H1168" s="1" t="s">
        <v>90</v>
      </c>
    </row>
    <row r="1169" spans="1:8" x14ac:dyDescent="0.35">
      <c r="A1169" s="2">
        <v>45478.724305555559</v>
      </c>
      <c r="B1169" s="3">
        <v>0.52890046296296289</v>
      </c>
      <c r="C1169" s="1" t="s">
        <v>11</v>
      </c>
      <c r="D1169" s="1" t="s">
        <v>16</v>
      </c>
      <c r="E1169" s="1">
        <v>442.6</v>
      </c>
      <c r="F1169" s="1">
        <v>1</v>
      </c>
      <c r="G1169" s="1">
        <v>442.6</v>
      </c>
      <c r="H1169" s="1" t="s">
        <v>104</v>
      </c>
    </row>
    <row r="1170" spans="1:8" x14ac:dyDescent="0.35">
      <c r="A1170" s="2">
        <v>45212.536111111112</v>
      </c>
      <c r="B1170" s="3">
        <v>0.18547453703703706</v>
      </c>
      <c r="C1170" s="1" t="s">
        <v>14</v>
      </c>
      <c r="D1170" s="1" t="s">
        <v>12</v>
      </c>
      <c r="E1170" s="1">
        <v>413.75</v>
      </c>
      <c r="F1170" s="1">
        <v>1</v>
      </c>
      <c r="G1170" s="1">
        <v>413.75</v>
      </c>
      <c r="H1170" s="1" t="s">
        <v>182</v>
      </c>
    </row>
    <row r="1171" spans="1:8" x14ac:dyDescent="0.35">
      <c r="A1171" s="2">
        <v>45379.436805555553</v>
      </c>
      <c r="B1171" s="3">
        <v>0.42212962962962958</v>
      </c>
      <c r="C1171" s="1" t="s">
        <v>14</v>
      </c>
      <c r="D1171" s="1" t="s">
        <v>12</v>
      </c>
      <c r="E1171" s="1">
        <v>129.86000000000001</v>
      </c>
      <c r="F1171" s="1">
        <v>3</v>
      </c>
      <c r="G1171" s="1">
        <v>389.58</v>
      </c>
      <c r="H1171" s="1" t="s">
        <v>158</v>
      </c>
    </row>
    <row r="1172" spans="1:8" x14ac:dyDescent="0.35">
      <c r="A1172" s="2">
        <v>45582.320138888892</v>
      </c>
      <c r="B1172" s="3">
        <v>0.77653935185185186</v>
      </c>
      <c r="C1172" s="1" t="s">
        <v>14</v>
      </c>
      <c r="D1172" s="1" t="s">
        <v>9</v>
      </c>
      <c r="E1172" s="1">
        <v>142.91999999999999</v>
      </c>
      <c r="F1172" s="1">
        <v>4</v>
      </c>
      <c r="G1172" s="1">
        <v>571.67999999999995</v>
      </c>
      <c r="H1172" s="1" t="s">
        <v>118</v>
      </c>
    </row>
    <row r="1173" spans="1:8" x14ac:dyDescent="0.35">
      <c r="A1173" s="2">
        <v>45148.541666666664</v>
      </c>
      <c r="B1173" s="3">
        <v>0.20269675925925926</v>
      </c>
      <c r="C1173" s="1" t="s">
        <v>11</v>
      </c>
      <c r="D1173" s="1" t="s">
        <v>9</v>
      </c>
      <c r="E1173" s="1">
        <v>499.03</v>
      </c>
      <c r="F1173" s="1">
        <v>2</v>
      </c>
      <c r="G1173" s="1">
        <v>998.06</v>
      </c>
      <c r="H1173" s="1" t="s">
        <v>66</v>
      </c>
    </row>
    <row r="1174" spans="1:8" x14ac:dyDescent="0.35">
      <c r="A1174" s="2">
        <v>45456.379166666666</v>
      </c>
      <c r="B1174" s="3">
        <v>0.13746527777777778</v>
      </c>
      <c r="C1174" s="1" t="s">
        <v>8</v>
      </c>
      <c r="D1174" s="1" t="s">
        <v>9</v>
      </c>
      <c r="E1174" s="1">
        <v>491.81</v>
      </c>
      <c r="F1174" s="1">
        <v>3</v>
      </c>
      <c r="G1174" s="1">
        <v>1475.43</v>
      </c>
      <c r="H1174" s="1" t="s">
        <v>111</v>
      </c>
    </row>
    <row r="1175" spans="1:8" x14ac:dyDescent="0.35">
      <c r="A1175" s="2">
        <v>45064.258333333331</v>
      </c>
      <c r="B1175" s="3">
        <v>0.6555671296296296</v>
      </c>
      <c r="C1175" s="1" t="s">
        <v>8</v>
      </c>
      <c r="D1175" s="1" t="s">
        <v>16</v>
      </c>
      <c r="E1175" s="1">
        <v>183.51</v>
      </c>
      <c r="F1175" s="1">
        <v>3</v>
      </c>
      <c r="G1175" s="1">
        <v>550.53</v>
      </c>
      <c r="H1175" s="1" t="s">
        <v>79</v>
      </c>
    </row>
    <row r="1176" spans="1:8" x14ac:dyDescent="0.35">
      <c r="A1176" s="2">
        <v>45365.361111111109</v>
      </c>
      <c r="B1176" s="3">
        <v>0.55476851851851849</v>
      </c>
      <c r="C1176" s="1" t="s">
        <v>14</v>
      </c>
      <c r="D1176" s="1" t="s">
        <v>27</v>
      </c>
      <c r="E1176" s="1">
        <v>187.35</v>
      </c>
      <c r="F1176" s="1">
        <v>1</v>
      </c>
      <c r="G1176" s="1">
        <v>187.35</v>
      </c>
      <c r="H1176" s="1" t="s">
        <v>255</v>
      </c>
    </row>
    <row r="1177" spans="1:8" x14ac:dyDescent="0.35">
      <c r="A1177" s="2">
        <v>44989.314583333333</v>
      </c>
      <c r="B1177" s="3">
        <v>0.54031249999999997</v>
      </c>
      <c r="C1177" s="1" t="s">
        <v>8</v>
      </c>
      <c r="D1177" s="1" t="s">
        <v>16</v>
      </c>
      <c r="E1177" s="1">
        <v>126.75</v>
      </c>
      <c r="F1177" s="1">
        <v>2</v>
      </c>
      <c r="G1177" s="1">
        <v>253.5</v>
      </c>
      <c r="H1177" s="1" t="s">
        <v>385</v>
      </c>
    </row>
    <row r="1178" spans="1:8" x14ac:dyDescent="0.35">
      <c r="A1178" s="2">
        <v>45251.535416666666</v>
      </c>
      <c r="B1178" s="3">
        <v>0.33692129629629625</v>
      </c>
      <c r="C1178" s="1" t="s">
        <v>8</v>
      </c>
      <c r="D1178" s="1" t="s">
        <v>27</v>
      </c>
      <c r="E1178" s="1">
        <v>128.30000000000001</v>
      </c>
      <c r="F1178" s="1">
        <v>4</v>
      </c>
      <c r="G1178" s="1">
        <v>513.20000000000005</v>
      </c>
      <c r="H1178" s="1" t="s">
        <v>391</v>
      </c>
    </row>
    <row r="1179" spans="1:8" x14ac:dyDescent="0.35">
      <c r="A1179" s="2">
        <v>45161.13958333333</v>
      </c>
      <c r="B1179" s="3">
        <v>0.62800925925925932</v>
      </c>
      <c r="C1179" s="1" t="s">
        <v>11</v>
      </c>
      <c r="D1179" s="1" t="s">
        <v>27</v>
      </c>
      <c r="E1179" s="1">
        <v>190.11</v>
      </c>
      <c r="F1179" s="1">
        <v>2</v>
      </c>
      <c r="G1179" s="1">
        <v>380.22</v>
      </c>
      <c r="H1179" s="1" t="s">
        <v>224</v>
      </c>
    </row>
    <row r="1180" spans="1:8" x14ac:dyDescent="0.35">
      <c r="A1180" s="2">
        <v>45216.831944444442</v>
      </c>
      <c r="B1180" s="3">
        <v>0.4572222222222222</v>
      </c>
      <c r="C1180" s="1" t="s">
        <v>8</v>
      </c>
      <c r="D1180" s="1" t="s">
        <v>9</v>
      </c>
      <c r="E1180" s="1">
        <v>13.91</v>
      </c>
      <c r="F1180" s="1">
        <v>4</v>
      </c>
      <c r="G1180" s="1">
        <v>55.64</v>
      </c>
      <c r="H1180" s="1" t="s">
        <v>82</v>
      </c>
    </row>
    <row r="1181" spans="1:8" x14ac:dyDescent="0.35">
      <c r="A1181" s="2">
        <v>44950.726388888892</v>
      </c>
      <c r="B1181" s="3">
        <v>0.70611111111111102</v>
      </c>
      <c r="C1181" s="1" t="s">
        <v>11</v>
      </c>
      <c r="D1181" s="1" t="s">
        <v>12</v>
      </c>
      <c r="E1181" s="1">
        <v>89.12</v>
      </c>
      <c r="F1181" s="1">
        <v>4</v>
      </c>
      <c r="G1181" s="1">
        <v>356.48</v>
      </c>
      <c r="H1181" s="1" t="s">
        <v>335</v>
      </c>
    </row>
    <row r="1182" spans="1:8" x14ac:dyDescent="0.35">
      <c r="A1182" s="2">
        <v>45087.432638888888</v>
      </c>
      <c r="B1182" s="3">
        <v>0.42160879629629627</v>
      </c>
      <c r="C1182" s="1" t="s">
        <v>8</v>
      </c>
      <c r="D1182" s="1" t="s">
        <v>16</v>
      </c>
      <c r="E1182" s="1">
        <v>416.65</v>
      </c>
      <c r="F1182" s="1">
        <v>4</v>
      </c>
      <c r="G1182" s="1">
        <v>1666.6</v>
      </c>
      <c r="H1182" s="1" t="s">
        <v>18</v>
      </c>
    </row>
    <row r="1183" spans="1:8" x14ac:dyDescent="0.35">
      <c r="A1183" s="2">
        <v>44928.126388888886</v>
      </c>
      <c r="B1183" s="3">
        <v>0.93297453703703714</v>
      </c>
      <c r="C1183" s="1" t="s">
        <v>8</v>
      </c>
      <c r="D1183" s="1" t="s">
        <v>16</v>
      </c>
      <c r="E1183" s="1">
        <v>282.33</v>
      </c>
      <c r="F1183" s="1">
        <v>5</v>
      </c>
      <c r="G1183" s="1">
        <v>1411.65</v>
      </c>
      <c r="H1183" s="1" t="s">
        <v>42</v>
      </c>
    </row>
    <row r="1184" spans="1:8" x14ac:dyDescent="0.35">
      <c r="A1184" s="2">
        <v>45431.011111111111</v>
      </c>
      <c r="B1184" s="3">
        <v>0.54018518518518521</v>
      </c>
      <c r="C1184" s="1" t="s">
        <v>8</v>
      </c>
      <c r="D1184" s="1" t="s">
        <v>12</v>
      </c>
      <c r="E1184" s="1">
        <v>495.95</v>
      </c>
      <c r="F1184" s="1">
        <v>2</v>
      </c>
      <c r="G1184" s="1">
        <v>991.9</v>
      </c>
      <c r="H1184" s="1" t="s">
        <v>290</v>
      </c>
    </row>
    <row r="1185" spans="1:8" x14ac:dyDescent="0.35">
      <c r="A1185" s="2">
        <v>45321.245138888888</v>
      </c>
      <c r="B1185" s="3">
        <v>0.54246527777777775</v>
      </c>
      <c r="C1185" s="1" t="s">
        <v>14</v>
      </c>
      <c r="D1185" s="1" t="s">
        <v>9</v>
      </c>
      <c r="E1185" s="1">
        <v>350.13</v>
      </c>
      <c r="F1185" s="1">
        <v>3</v>
      </c>
      <c r="G1185" s="1">
        <v>1050.3900000000001</v>
      </c>
      <c r="H1185" s="1" t="s">
        <v>325</v>
      </c>
    </row>
    <row r="1186" spans="1:8" x14ac:dyDescent="0.35">
      <c r="A1186" s="2">
        <v>45591.540277777778</v>
      </c>
      <c r="B1186" s="3">
        <v>0.42344907407407412</v>
      </c>
      <c r="C1186" s="1" t="s">
        <v>8</v>
      </c>
      <c r="D1186" s="1" t="s">
        <v>12</v>
      </c>
      <c r="E1186" s="1">
        <v>204.76</v>
      </c>
      <c r="F1186" s="1">
        <v>4</v>
      </c>
      <c r="G1186" s="1">
        <v>819.04</v>
      </c>
      <c r="H1186" s="1" t="s">
        <v>166</v>
      </c>
    </row>
    <row r="1187" spans="1:8" x14ac:dyDescent="0.35">
      <c r="A1187" s="2">
        <v>45192.366666666669</v>
      </c>
      <c r="B1187" s="3">
        <v>0.6569328703703704</v>
      </c>
      <c r="C1187" s="1" t="s">
        <v>8</v>
      </c>
      <c r="D1187" s="1" t="s">
        <v>20</v>
      </c>
      <c r="E1187" s="1">
        <v>165.65</v>
      </c>
      <c r="F1187" s="1">
        <v>3</v>
      </c>
      <c r="G1187" s="1">
        <v>496.95</v>
      </c>
      <c r="H1187" s="1" t="s">
        <v>13</v>
      </c>
    </row>
    <row r="1188" spans="1:8" x14ac:dyDescent="0.35">
      <c r="A1188" s="2">
        <v>45467.32916666667</v>
      </c>
      <c r="B1188" s="3">
        <v>0.22362268518518516</v>
      </c>
      <c r="C1188" s="1" t="s">
        <v>11</v>
      </c>
      <c r="D1188" s="1" t="s">
        <v>9</v>
      </c>
      <c r="E1188" s="1">
        <v>150.80000000000001</v>
      </c>
      <c r="F1188" s="1">
        <v>5</v>
      </c>
      <c r="G1188" s="1">
        <v>754</v>
      </c>
      <c r="H1188" s="1" t="s">
        <v>137</v>
      </c>
    </row>
    <row r="1189" spans="1:8" x14ac:dyDescent="0.35">
      <c r="A1189" s="2">
        <v>45497.75</v>
      </c>
      <c r="B1189" s="3">
        <v>0.1655439814814815</v>
      </c>
      <c r="C1189" s="1" t="s">
        <v>14</v>
      </c>
      <c r="D1189" s="1" t="s">
        <v>9</v>
      </c>
      <c r="E1189" s="1">
        <v>424.32</v>
      </c>
      <c r="F1189" s="1">
        <v>1</v>
      </c>
      <c r="G1189" s="1">
        <v>424.32</v>
      </c>
      <c r="H1189" s="1" t="s">
        <v>262</v>
      </c>
    </row>
    <row r="1190" spans="1:8" x14ac:dyDescent="0.35">
      <c r="A1190" s="2">
        <v>45362.925694444442</v>
      </c>
      <c r="B1190" s="3">
        <v>0.32188657407407406</v>
      </c>
      <c r="C1190" s="1" t="s">
        <v>11</v>
      </c>
      <c r="D1190" s="1" t="s">
        <v>27</v>
      </c>
      <c r="E1190" s="1">
        <v>16.100000000000001</v>
      </c>
      <c r="F1190" s="1">
        <v>5</v>
      </c>
      <c r="G1190" s="1">
        <v>80.5</v>
      </c>
      <c r="H1190" s="1" t="s">
        <v>313</v>
      </c>
    </row>
    <row r="1191" spans="1:8" x14ac:dyDescent="0.35">
      <c r="A1191" s="2">
        <v>44996.86041666667</v>
      </c>
      <c r="B1191" s="3">
        <v>0.50856481481481486</v>
      </c>
      <c r="C1191" s="1" t="s">
        <v>11</v>
      </c>
      <c r="D1191" s="1" t="s">
        <v>27</v>
      </c>
      <c r="E1191" s="1">
        <v>358.63</v>
      </c>
      <c r="F1191" s="1">
        <v>4</v>
      </c>
      <c r="G1191" s="1">
        <v>1434.52</v>
      </c>
      <c r="H1191" s="1" t="s">
        <v>382</v>
      </c>
    </row>
    <row r="1192" spans="1:8" x14ac:dyDescent="0.35">
      <c r="A1192" s="2">
        <v>45203.378472222219</v>
      </c>
      <c r="B1192" s="3">
        <v>3.3576388888888892E-2</v>
      </c>
      <c r="C1192" s="1" t="s">
        <v>8</v>
      </c>
      <c r="D1192" s="1" t="s">
        <v>12</v>
      </c>
      <c r="E1192" s="1">
        <v>45.72</v>
      </c>
      <c r="F1192" s="1">
        <v>3</v>
      </c>
      <c r="G1192" s="1">
        <v>137.16</v>
      </c>
      <c r="H1192" s="1" t="s">
        <v>178</v>
      </c>
    </row>
    <row r="1193" spans="1:8" x14ac:dyDescent="0.35">
      <c r="A1193" s="2">
        <v>45527.928472222222</v>
      </c>
      <c r="B1193" s="3">
        <v>0.84331018518518519</v>
      </c>
      <c r="C1193" s="1" t="s">
        <v>8</v>
      </c>
      <c r="D1193" s="1" t="s">
        <v>27</v>
      </c>
      <c r="E1193" s="1">
        <v>35.409999999999997</v>
      </c>
      <c r="F1193" s="1">
        <v>1</v>
      </c>
      <c r="G1193" s="1">
        <v>35.409999999999997</v>
      </c>
      <c r="H1193" s="1" t="s">
        <v>323</v>
      </c>
    </row>
    <row r="1194" spans="1:8" x14ac:dyDescent="0.35">
      <c r="A1194" s="2">
        <v>45587.229861111111</v>
      </c>
      <c r="B1194" s="3">
        <v>4.3425925925925923E-2</v>
      </c>
      <c r="C1194" s="1" t="s">
        <v>11</v>
      </c>
      <c r="D1194" s="1" t="s">
        <v>9</v>
      </c>
      <c r="E1194" s="1">
        <v>144.29</v>
      </c>
      <c r="F1194" s="1">
        <v>4</v>
      </c>
      <c r="G1194" s="1">
        <v>577.16</v>
      </c>
      <c r="H1194" s="1" t="s">
        <v>360</v>
      </c>
    </row>
    <row r="1195" spans="1:8" x14ac:dyDescent="0.35">
      <c r="A1195" s="2">
        <v>45349.521527777775</v>
      </c>
      <c r="B1195" s="3">
        <v>0.72862268518518514</v>
      </c>
      <c r="C1195" s="1" t="s">
        <v>11</v>
      </c>
      <c r="D1195" s="1" t="s">
        <v>12</v>
      </c>
      <c r="E1195" s="1">
        <v>149.55000000000001</v>
      </c>
      <c r="F1195" s="1">
        <v>5</v>
      </c>
      <c r="G1195" s="1">
        <v>747.75</v>
      </c>
      <c r="H1195" s="1" t="s">
        <v>94</v>
      </c>
    </row>
    <row r="1196" spans="1:8" x14ac:dyDescent="0.35">
      <c r="A1196" s="2">
        <v>45014.525694444441</v>
      </c>
      <c r="B1196" s="3">
        <v>0.68145833333333339</v>
      </c>
      <c r="C1196" s="1" t="s">
        <v>8</v>
      </c>
      <c r="D1196" s="1" t="s">
        <v>16</v>
      </c>
      <c r="E1196" s="1">
        <v>197.37</v>
      </c>
      <c r="F1196" s="1">
        <v>3</v>
      </c>
      <c r="G1196" s="1">
        <v>592.11</v>
      </c>
      <c r="H1196" s="1" t="s">
        <v>269</v>
      </c>
    </row>
    <row r="1197" spans="1:8" x14ac:dyDescent="0.35">
      <c r="A1197" s="2">
        <v>45320.784722222219</v>
      </c>
      <c r="B1197" s="3">
        <v>0.51493055555555556</v>
      </c>
      <c r="C1197" s="1" t="s">
        <v>11</v>
      </c>
      <c r="D1197" s="1" t="s">
        <v>9</v>
      </c>
      <c r="E1197" s="1">
        <v>345.58</v>
      </c>
      <c r="F1197" s="1">
        <v>5</v>
      </c>
      <c r="G1197" s="1">
        <v>1727.9</v>
      </c>
      <c r="H1197" s="1" t="s">
        <v>353</v>
      </c>
    </row>
    <row r="1198" spans="1:8" x14ac:dyDescent="0.35">
      <c r="A1198" s="2">
        <v>44976.436111111114</v>
      </c>
      <c r="B1198" s="3">
        <v>0.1645486111111111</v>
      </c>
      <c r="C1198" s="1" t="s">
        <v>11</v>
      </c>
      <c r="D1198" s="1" t="s">
        <v>12</v>
      </c>
      <c r="E1198" s="1">
        <v>36.090000000000003</v>
      </c>
      <c r="F1198" s="1">
        <v>4</v>
      </c>
      <c r="G1198" s="1">
        <v>144.36000000000001</v>
      </c>
      <c r="H1198" s="1" t="s">
        <v>391</v>
      </c>
    </row>
    <row r="1199" spans="1:8" x14ac:dyDescent="0.35">
      <c r="A1199" s="2">
        <v>45652.622916666667</v>
      </c>
      <c r="B1199" s="3">
        <v>0.41292824074074069</v>
      </c>
      <c r="C1199" s="1" t="s">
        <v>11</v>
      </c>
      <c r="D1199" s="1" t="s">
        <v>9</v>
      </c>
      <c r="E1199" s="1">
        <v>139.75</v>
      </c>
      <c r="F1199" s="1">
        <v>3</v>
      </c>
      <c r="G1199" s="1">
        <v>419.25</v>
      </c>
      <c r="H1199" s="1" t="s">
        <v>186</v>
      </c>
    </row>
    <row r="1200" spans="1:8" x14ac:dyDescent="0.35">
      <c r="A1200" s="2">
        <v>45180.318055555559</v>
      </c>
      <c r="B1200" s="3">
        <v>0.95697916666666671</v>
      </c>
      <c r="C1200" s="1" t="s">
        <v>8</v>
      </c>
      <c r="D1200" s="1" t="s">
        <v>12</v>
      </c>
      <c r="E1200" s="1">
        <v>356.64</v>
      </c>
      <c r="F1200" s="1">
        <v>3</v>
      </c>
      <c r="G1200" s="1">
        <v>1069.92</v>
      </c>
      <c r="H1200" s="1" t="s">
        <v>183</v>
      </c>
    </row>
    <row r="1201" spans="1:8" x14ac:dyDescent="0.35">
      <c r="A1201" s="2">
        <v>45073.456250000003</v>
      </c>
      <c r="B1201" s="3">
        <v>0.71391203703703709</v>
      </c>
      <c r="C1201" s="1" t="s">
        <v>8</v>
      </c>
      <c r="D1201" s="1" t="s">
        <v>20</v>
      </c>
      <c r="E1201" s="1">
        <v>477.42</v>
      </c>
      <c r="F1201" s="1">
        <v>5</v>
      </c>
      <c r="G1201" s="1">
        <v>2387.1</v>
      </c>
      <c r="H1201" s="1" t="s">
        <v>334</v>
      </c>
    </row>
    <row r="1202" spans="1:8" x14ac:dyDescent="0.35">
      <c r="A1202" s="2">
        <v>45588.269444444442</v>
      </c>
      <c r="B1202" s="3">
        <v>0.22262731481481482</v>
      </c>
      <c r="C1202" s="1" t="s">
        <v>11</v>
      </c>
      <c r="D1202" s="1" t="s">
        <v>27</v>
      </c>
      <c r="E1202" s="1">
        <v>97.9</v>
      </c>
      <c r="F1202" s="1">
        <v>4</v>
      </c>
      <c r="G1202" s="1">
        <v>391.6</v>
      </c>
      <c r="H1202" s="1" t="s">
        <v>224</v>
      </c>
    </row>
    <row r="1203" spans="1:8" x14ac:dyDescent="0.35">
      <c r="A1203" s="2">
        <v>45033.711111111108</v>
      </c>
      <c r="B1203" s="3">
        <v>0.71542824074074074</v>
      </c>
      <c r="C1203" s="1" t="s">
        <v>14</v>
      </c>
      <c r="D1203" s="1" t="s">
        <v>9</v>
      </c>
      <c r="E1203" s="1">
        <v>168.05</v>
      </c>
      <c r="F1203" s="1">
        <v>2</v>
      </c>
      <c r="G1203" s="1">
        <v>336.1</v>
      </c>
      <c r="H1203" s="1" t="s">
        <v>269</v>
      </c>
    </row>
    <row r="1204" spans="1:8" x14ac:dyDescent="0.35">
      <c r="A1204" s="2">
        <v>45580.702777777777</v>
      </c>
      <c r="B1204" s="3">
        <v>0.71697916666666661</v>
      </c>
      <c r="C1204" s="1" t="s">
        <v>14</v>
      </c>
      <c r="D1204" s="1" t="s">
        <v>9</v>
      </c>
      <c r="E1204" s="1">
        <v>369.94</v>
      </c>
      <c r="F1204" s="1">
        <v>5</v>
      </c>
      <c r="G1204" s="1">
        <v>1849.7</v>
      </c>
      <c r="H1204" s="1" t="s">
        <v>392</v>
      </c>
    </row>
    <row r="1205" spans="1:8" x14ac:dyDescent="0.35">
      <c r="A1205" s="2">
        <v>45336.197222222225</v>
      </c>
      <c r="B1205" s="3">
        <v>0.33591435185185187</v>
      </c>
      <c r="C1205" s="1" t="s">
        <v>11</v>
      </c>
      <c r="D1205" s="1" t="s">
        <v>20</v>
      </c>
      <c r="E1205" s="1">
        <v>131.52000000000001</v>
      </c>
      <c r="F1205" s="1">
        <v>2</v>
      </c>
      <c r="G1205" s="1">
        <v>263.04000000000002</v>
      </c>
      <c r="H1205" s="1" t="s">
        <v>368</v>
      </c>
    </row>
    <row r="1206" spans="1:8" x14ac:dyDescent="0.35">
      <c r="A1206" s="2">
        <v>45226.895833333336</v>
      </c>
      <c r="B1206" s="3">
        <v>0.57745370370370364</v>
      </c>
      <c r="C1206" s="1" t="s">
        <v>14</v>
      </c>
      <c r="D1206" s="1" t="s">
        <v>9</v>
      </c>
      <c r="E1206" s="1">
        <v>487.29</v>
      </c>
      <c r="F1206" s="1">
        <v>3</v>
      </c>
      <c r="G1206" s="1">
        <v>1461.87</v>
      </c>
      <c r="H1206" s="1" t="s">
        <v>393</v>
      </c>
    </row>
    <row r="1207" spans="1:8" x14ac:dyDescent="0.35">
      <c r="A1207" s="2">
        <v>45021.813194444447</v>
      </c>
      <c r="B1207" s="3">
        <v>0.6244791666666667</v>
      </c>
      <c r="C1207" s="1" t="s">
        <v>11</v>
      </c>
      <c r="D1207" s="1" t="s">
        <v>27</v>
      </c>
      <c r="E1207" s="1">
        <v>112.08</v>
      </c>
      <c r="F1207" s="1">
        <v>3</v>
      </c>
      <c r="G1207" s="1">
        <v>336.24</v>
      </c>
      <c r="H1207" s="1" t="s">
        <v>47</v>
      </c>
    </row>
    <row r="1208" spans="1:8" x14ac:dyDescent="0.35">
      <c r="A1208" s="2">
        <v>45266.511805555558</v>
      </c>
      <c r="B1208" s="3">
        <v>0.37864583333333335</v>
      </c>
      <c r="C1208" s="1" t="s">
        <v>8</v>
      </c>
      <c r="D1208" s="1" t="s">
        <v>9</v>
      </c>
      <c r="E1208" s="1">
        <v>57.86</v>
      </c>
      <c r="F1208" s="1">
        <v>3</v>
      </c>
      <c r="G1208" s="1">
        <v>173.58</v>
      </c>
      <c r="H1208" s="1" t="s">
        <v>379</v>
      </c>
    </row>
    <row r="1209" spans="1:8" x14ac:dyDescent="0.35">
      <c r="A1209" s="2">
        <v>45032.488888888889</v>
      </c>
      <c r="B1209" s="3">
        <v>0.53388888888888886</v>
      </c>
      <c r="C1209" s="1" t="s">
        <v>14</v>
      </c>
      <c r="D1209" s="1" t="s">
        <v>16</v>
      </c>
      <c r="E1209" s="1">
        <v>374.95</v>
      </c>
      <c r="F1209" s="1">
        <v>1</v>
      </c>
      <c r="G1209" s="1">
        <v>374.95</v>
      </c>
      <c r="H1209" s="1" t="s">
        <v>36</v>
      </c>
    </row>
    <row r="1210" spans="1:8" x14ac:dyDescent="0.35">
      <c r="A1210" s="2">
        <v>45313.091666666667</v>
      </c>
      <c r="B1210" s="3">
        <v>0.78008101851851863</v>
      </c>
      <c r="C1210" s="1" t="s">
        <v>14</v>
      </c>
      <c r="D1210" s="1" t="s">
        <v>12</v>
      </c>
      <c r="E1210" s="1">
        <v>217.43</v>
      </c>
      <c r="F1210" s="1">
        <v>3</v>
      </c>
      <c r="G1210" s="1">
        <v>652.29</v>
      </c>
      <c r="H1210" s="1" t="s">
        <v>276</v>
      </c>
    </row>
    <row r="1211" spans="1:8" x14ac:dyDescent="0.35">
      <c r="A1211" s="2">
        <v>45004.617361111108</v>
      </c>
      <c r="B1211" s="3">
        <v>9.1041666666666674E-2</v>
      </c>
      <c r="C1211" s="1" t="s">
        <v>11</v>
      </c>
      <c r="D1211" s="1" t="s">
        <v>16</v>
      </c>
      <c r="E1211" s="1">
        <v>95.34</v>
      </c>
      <c r="F1211" s="1">
        <v>1</v>
      </c>
      <c r="G1211" s="1">
        <v>95.34</v>
      </c>
      <c r="H1211" s="1" t="s">
        <v>74</v>
      </c>
    </row>
    <row r="1212" spans="1:8" x14ac:dyDescent="0.35">
      <c r="A1212" s="2">
        <v>45314.989583333336</v>
      </c>
      <c r="B1212" s="3">
        <v>0.26043981481481482</v>
      </c>
      <c r="C1212" s="1" t="s">
        <v>14</v>
      </c>
      <c r="D1212" s="1" t="s">
        <v>16</v>
      </c>
      <c r="E1212" s="1">
        <v>24.96</v>
      </c>
      <c r="F1212" s="1">
        <v>4</v>
      </c>
      <c r="G1212" s="1">
        <v>99.84</v>
      </c>
      <c r="H1212" s="1" t="s">
        <v>394</v>
      </c>
    </row>
    <row r="1213" spans="1:8" x14ac:dyDescent="0.35">
      <c r="A1213" s="2">
        <v>45588.1</v>
      </c>
      <c r="B1213" s="3">
        <v>0.54415509259259254</v>
      </c>
      <c r="C1213" s="1" t="s">
        <v>8</v>
      </c>
      <c r="D1213" s="1" t="s">
        <v>16</v>
      </c>
      <c r="E1213" s="1">
        <v>32.299999999999997</v>
      </c>
      <c r="F1213" s="1">
        <v>4</v>
      </c>
      <c r="G1213" s="1">
        <v>129.19999999999999</v>
      </c>
      <c r="H1213" s="1" t="s">
        <v>22</v>
      </c>
    </row>
    <row r="1214" spans="1:8" x14ac:dyDescent="0.35">
      <c r="A1214" s="2">
        <v>44945.286805555559</v>
      </c>
      <c r="B1214" s="3">
        <v>0.57619212962962962</v>
      </c>
      <c r="C1214" s="1" t="s">
        <v>11</v>
      </c>
      <c r="D1214" s="1" t="s">
        <v>20</v>
      </c>
      <c r="E1214" s="1">
        <v>211.34</v>
      </c>
      <c r="F1214" s="1">
        <v>4</v>
      </c>
      <c r="G1214" s="1">
        <v>845.36</v>
      </c>
      <c r="H1214" s="1" t="s">
        <v>190</v>
      </c>
    </row>
    <row r="1215" spans="1:8" x14ac:dyDescent="0.35">
      <c r="A1215" s="2">
        <v>45267.675694444442</v>
      </c>
      <c r="B1215" s="3">
        <v>0.63215277777777779</v>
      </c>
      <c r="C1215" s="1" t="s">
        <v>8</v>
      </c>
      <c r="D1215" s="1" t="s">
        <v>16</v>
      </c>
      <c r="E1215" s="1">
        <v>314.8</v>
      </c>
      <c r="F1215" s="1">
        <v>1</v>
      </c>
      <c r="G1215" s="1">
        <v>314.8</v>
      </c>
      <c r="H1215" s="1" t="s">
        <v>75</v>
      </c>
    </row>
    <row r="1216" spans="1:8" x14ac:dyDescent="0.35">
      <c r="A1216" s="2">
        <v>44953.07916666667</v>
      </c>
      <c r="B1216" s="3">
        <v>0.91365740740740742</v>
      </c>
      <c r="C1216" s="1" t="s">
        <v>14</v>
      </c>
      <c r="D1216" s="1" t="s">
        <v>9</v>
      </c>
      <c r="E1216" s="1">
        <v>439.48</v>
      </c>
      <c r="F1216" s="1">
        <v>3</v>
      </c>
      <c r="G1216" s="1">
        <v>1318.44</v>
      </c>
      <c r="H1216" s="1" t="s">
        <v>206</v>
      </c>
    </row>
    <row r="1217" spans="1:8" x14ac:dyDescent="0.35">
      <c r="A1217" s="2">
        <v>45505.541666666664</v>
      </c>
      <c r="B1217" s="3">
        <v>0.76278935185185182</v>
      </c>
      <c r="C1217" s="1" t="s">
        <v>14</v>
      </c>
      <c r="D1217" s="1" t="s">
        <v>9</v>
      </c>
      <c r="E1217" s="1">
        <v>213.91</v>
      </c>
      <c r="F1217" s="1">
        <v>1</v>
      </c>
      <c r="G1217" s="1">
        <v>213.91</v>
      </c>
      <c r="H1217" s="1" t="s">
        <v>196</v>
      </c>
    </row>
    <row r="1218" spans="1:8" x14ac:dyDescent="0.35">
      <c r="A1218" s="2">
        <v>45196.53402777778</v>
      </c>
      <c r="B1218" s="3">
        <v>0.43344907407407413</v>
      </c>
      <c r="C1218" s="1" t="s">
        <v>14</v>
      </c>
      <c r="D1218" s="1" t="s">
        <v>9</v>
      </c>
      <c r="E1218" s="1">
        <v>204.9</v>
      </c>
      <c r="F1218" s="1">
        <v>1</v>
      </c>
      <c r="G1218" s="1">
        <v>204.9</v>
      </c>
      <c r="H1218" s="1" t="s">
        <v>170</v>
      </c>
    </row>
    <row r="1219" spans="1:8" x14ac:dyDescent="0.35">
      <c r="A1219" s="2">
        <v>45024.972916666666</v>
      </c>
      <c r="B1219" s="3">
        <v>0.19854166666666664</v>
      </c>
      <c r="C1219" s="1" t="s">
        <v>14</v>
      </c>
      <c r="D1219" s="1" t="s">
        <v>27</v>
      </c>
      <c r="E1219" s="1">
        <v>471.7</v>
      </c>
      <c r="F1219" s="1">
        <v>5</v>
      </c>
      <c r="G1219" s="1">
        <v>2358.5</v>
      </c>
      <c r="H1219" s="1" t="s">
        <v>77</v>
      </c>
    </row>
    <row r="1220" spans="1:8" x14ac:dyDescent="0.35">
      <c r="A1220" s="2">
        <v>45109.106249999997</v>
      </c>
      <c r="B1220" s="3">
        <v>0.22186342592592592</v>
      </c>
      <c r="C1220" s="1" t="s">
        <v>11</v>
      </c>
      <c r="D1220" s="1" t="s">
        <v>12</v>
      </c>
      <c r="E1220" s="1">
        <v>280.99</v>
      </c>
      <c r="F1220" s="1">
        <v>3</v>
      </c>
      <c r="G1220" s="1">
        <v>842.97</v>
      </c>
      <c r="H1220" s="1" t="s">
        <v>395</v>
      </c>
    </row>
    <row r="1221" spans="1:8" x14ac:dyDescent="0.35">
      <c r="A1221" s="2">
        <v>45160.204861111109</v>
      </c>
      <c r="B1221" s="3">
        <v>0.48025462962962967</v>
      </c>
      <c r="C1221" s="1" t="s">
        <v>8</v>
      </c>
      <c r="D1221" s="1" t="s">
        <v>27</v>
      </c>
      <c r="E1221" s="1">
        <v>383.34</v>
      </c>
      <c r="F1221" s="1">
        <v>2</v>
      </c>
      <c r="G1221" s="1">
        <v>766.68</v>
      </c>
      <c r="H1221" s="1" t="s">
        <v>29</v>
      </c>
    </row>
    <row r="1222" spans="1:8" x14ac:dyDescent="0.35">
      <c r="A1222" s="2">
        <v>45413.090277777781</v>
      </c>
      <c r="B1222" s="3">
        <v>0.85837962962962966</v>
      </c>
      <c r="C1222" s="1" t="s">
        <v>14</v>
      </c>
      <c r="D1222" s="1" t="s">
        <v>12</v>
      </c>
      <c r="E1222" s="1">
        <v>281.58999999999997</v>
      </c>
      <c r="F1222" s="1">
        <v>5</v>
      </c>
      <c r="G1222" s="1">
        <v>1407.95</v>
      </c>
      <c r="H1222" s="1" t="s">
        <v>180</v>
      </c>
    </row>
    <row r="1223" spans="1:8" x14ac:dyDescent="0.35">
      <c r="A1223" s="2">
        <v>45543.810416666667</v>
      </c>
      <c r="B1223" s="3">
        <v>0.85146990740740736</v>
      </c>
      <c r="C1223" s="1" t="s">
        <v>14</v>
      </c>
      <c r="D1223" s="1" t="s">
        <v>9</v>
      </c>
      <c r="E1223" s="1">
        <v>445.66</v>
      </c>
      <c r="F1223" s="1">
        <v>1</v>
      </c>
      <c r="G1223" s="1">
        <v>445.66</v>
      </c>
      <c r="H1223" s="1" t="s">
        <v>286</v>
      </c>
    </row>
    <row r="1224" spans="1:8" x14ac:dyDescent="0.35">
      <c r="A1224" s="2">
        <v>45426.847916666666</v>
      </c>
      <c r="B1224" s="3">
        <v>4.9826388888888885E-2</v>
      </c>
      <c r="C1224" s="1" t="s">
        <v>11</v>
      </c>
      <c r="D1224" s="1" t="s">
        <v>16</v>
      </c>
      <c r="E1224" s="1">
        <v>90.16</v>
      </c>
      <c r="F1224" s="1">
        <v>1</v>
      </c>
      <c r="G1224" s="1">
        <v>90.16</v>
      </c>
      <c r="H1224" s="1" t="s">
        <v>115</v>
      </c>
    </row>
    <row r="1225" spans="1:8" x14ac:dyDescent="0.35">
      <c r="A1225" s="2">
        <v>44992.237500000003</v>
      </c>
      <c r="B1225" s="3">
        <v>8.3217592592592593E-2</v>
      </c>
      <c r="C1225" s="1" t="s">
        <v>11</v>
      </c>
      <c r="D1225" s="1" t="s">
        <v>20</v>
      </c>
      <c r="E1225" s="1">
        <v>350.76</v>
      </c>
      <c r="F1225" s="1">
        <v>2</v>
      </c>
      <c r="G1225" s="1">
        <v>701.52</v>
      </c>
      <c r="H1225" s="1" t="s">
        <v>390</v>
      </c>
    </row>
    <row r="1226" spans="1:8" x14ac:dyDescent="0.35">
      <c r="A1226" s="2">
        <v>45514.252083333333</v>
      </c>
      <c r="B1226" s="3">
        <v>9.7152777777777768E-2</v>
      </c>
      <c r="C1226" s="1" t="s">
        <v>11</v>
      </c>
      <c r="D1226" s="1" t="s">
        <v>9</v>
      </c>
      <c r="E1226" s="1">
        <v>129.07</v>
      </c>
      <c r="F1226" s="1">
        <v>1</v>
      </c>
      <c r="G1226" s="1">
        <v>129.07</v>
      </c>
      <c r="H1226" s="1" t="s">
        <v>34</v>
      </c>
    </row>
    <row r="1227" spans="1:8" x14ac:dyDescent="0.35">
      <c r="A1227" s="2">
        <v>45524.288194444445</v>
      </c>
      <c r="B1227" s="3">
        <v>0.85658564814814808</v>
      </c>
      <c r="C1227" s="1" t="s">
        <v>11</v>
      </c>
      <c r="D1227" s="1" t="s">
        <v>20</v>
      </c>
      <c r="E1227" s="1">
        <v>17.57</v>
      </c>
      <c r="F1227" s="1">
        <v>1</v>
      </c>
      <c r="G1227" s="1">
        <v>17.57</v>
      </c>
      <c r="H1227" s="1" t="s">
        <v>220</v>
      </c>
    </row>
    <row r="1228" spans="1:8" x14ac:dyDescent="0.35">
      <c r="A1228" s="2">
        <v>45277.542361111111</v>
      </c>
      <c r="B1228" s="3">
        <v>0.30300925925925926</v>
      </c>
      <c r="C1228" s="1" t="s">
        <v>8</v>
      </c>
      <c r="D1228" s="1" t="s">
        <v>9</v>
      </c>
      <c r="E1228" s="1">
        <v>454.56</v>
      </c>
      <c r="F1228" s="1">
        <v>3</v>
      </c>
      <c r="G1228" s="1">
        <v>1363.68</v>
      </c>
      <c r="H1228" s="1" t="s">
        <v>66</v>
      </c>
    </row>
    <row r="1229" spans="1:8" x14ac:dyDescent="0.35">
      <c r="A1229" s="2">
        <v>45603.677083333336</v>
      </c>
      <c r="B1229" s="3">
        <v>0.25443287037037038</v>
      </c>
      <c r="C1229" s="1" t="s">
        <v>11</v>
      </c>
      <c r="D1229" s="1" t="s">
        <v>16</v>
      </c>
      <c r="E1229" s="1">
        <v>199.27</v>
      </c>
      <c r="F1229" s="1">
        <v>4</v>
      </c>
      <c r="G1229" s="1">
        <v>797.08</v>
      </c>
      <c r="H1229" s="1" t="s">
        <v>134</v>
      </c>
    </row>
    <row r="1230" spans="1:8" x14ac:dyDescent="0.35">
      <c r="A1230" s="2">
        <v>45134.381944444445</v>
      </c>
      <c r="B1230" s="3">
        <v>7.4340277777777783E-2</v>
      </c>
      <c r="C1230" s="1" t="s">
        <v>8</v>
      </c>
      <c r="D1230" s="1" t="s">
        <v>27</v>
      </c>
      <c r="E1230" s="1">
        <v>399.72</v>
      </c>
      <c r="F1230" s="1">
        <v>3</v>
      </c>
      <c r="G1230" s="1">
        <v>1199.1600000000001</v>
      </c>
      <c r="H1230" s="1" t="s">
        <v>220</v>
      </c>
    </row>
    <row r="1231" spans="1:8" x14ac:dyDescent="0.35">
      <c r="A1231" s="2">
        <v>45595.55972222222</v>
      </c>
      <c r="B1231" s="3">
        <v>0.93672453703703706</v>
      </c>
      <c r="C1231" s="1" t="s">
        <v>8</v>
      </c>
      <c r="D1231" s="1" t="s">
        <v>16</v>
      </c>
      <c r="E1231" s="1">
        <v>84.98</v>
      </c>
      <c r="F1231" s="1">
        <v>5</v>
      </c>
      <c r="G1231" s="1">
        <v>424.9</v>
      </c>
      <c r="H1231" s="1" t="s">
        <v>157</v>
      </c>
    </row>
    <row r="1232" spans="1:8" x14ac:dyDescent="0.35">
      <c r="A1232" s="2">
        <v>44932.885416666664</v>
      </c>
      <c r="B1232" s="3">
        <v>0.91385416666666675</v>
      </c>
      <c r="C1232" s="1" t="s">
        <v>11</v>
      </c>
      <c r="D1232" s="1" t="s">
        <v>20</v>
      </c>
      <c r="E1232" s="1">
        <v>447.85</v>
      </c>
      <c r="F1232" s="1">
        <v>5</v>
      </c>
      <c r="G1232" s="1">
        <v>2239.25</v>
      </c>
      <c r="H1232" s="1" t="s">
        <v>396</v>
      </c>
    </row>
    <row r="1233" spans="1:8" x14ac:dyDescent="0.35">
      <c r="A1233" s="2">
        <v>45473.152777777781</v>
      </c>
      <c r="B1233" s="3">
        <v>0.36090277777777779</v>
      </c>
      <c r="C1233" s="1" t="s">
        <v>14</v>
      </c>
      <c r="D1233" s="1" t="s">
        <v>16</v>
      </c>
      <c r="E1233" s="1">
        <v>65.319999999999993</v>
      </c>
      <c r="F1233" s="1">
        <v>3</v>
      </c>
      <c r="G1233" s="1">
        <v>195.96</v>
      </c>
      <c r="H1233" s="1" t="s">
        <v>302</v>
      </c>
    </row>
    <row r="1234" spans="1:8" x14ac:dyDescent="0.35">
      <c r="A1234" s="2">
        <v>45448.692361111112</v>
      </c>
      <c r="B1234" s="3">
        <v>0.3294212962962963</v>
      </c>
      <c r="C1234" s="1" t="s">
        <v>8</v>
      </c>
      <c r="D1234" s="1" t="s">
        <v>9</v>
      </c>
      <c r="E1234" s="1">
        <v>165.52</v>
      </c>
      <c r="F1234" s="1">
        <v>5</v>
      </c>
      <c r="G1234" s="1">
        <v>827.6</v>
      </c>
      <c r="H1234" s="1" t="s">
        <v>141</v>
      </c>
    </row>
    <row r="1235" spans="1:8" x14ac:dyDescent="0.35">
      <c r="A1235" s="2">
        <v>45092.552083333336</v>
      </c>
      <c r="B1235" s="3">
        <v>0.9339467592592593</v>
      </c>
      <c r="C1235" s="1" t="s">
        <v>8</v>
      </c>
      <c r="D1235" s="1" t="s">
        <v>12</v>
      </c>
      <c r="E1235" s="1">
        <v>407.01</v>
      </c>
      <c r="F1235" s="1">
        <v>3</v>
      </c>
      <c r="G1235" s="1">
        <v>1221.03</v>
      </c>
      <c r="H1235" s="1" t="s">
        <v>342</v>
      </c>
    </row>
    <row r="1236" spans="1:8" x14ac:dyDescent="0.35">
      <c r="A1236" s="2">
        <v>45549.72152777778</v>
      </c>
      <c r="B1236" s="3">
        <v>0.22351851851851853</v>
      </c>
      <c r="C1236" s="1" t="s">
        <v>8</v>
      </c>
      <c r="D1236" s="1" t="s">
        <v>12</v>
      </c>
      <c r="E1236" s="1">
        <v>345.91</v>
      </c>
      <c r="F1236" s="1">
        <v>2</v>
      </c>
      <c r="G1236" s="1">
        <v>691.82</v>
      </c>
      <c r="H1236" s="1" t="s">
        <v>61</v>
      </c>
    </row>
    <row r="1237" spans="1:8" x14ac:dyDescent="0.35">
      <c r="A1237" s="2">
        <v>45267.960416666669</v>
      </c>
      <c r="B1237" s="3">
        <v>0.41572916666666665</v>
      </c>
      <c r="C1237" s="1" t="s">
        <v>14</v>
      </c>
      <c r="D1237" s="1" t="s">
        <v>12</v>
      </c>
      <c r="E1237" s="1">
        <v>116.87</v>
      </c>
      <c r="F1237" s="1">
        <v>4</v>
      </c>
      <c r="G1237" s="1">
        <v>467.48</v>
      </c>
      <c r="H1237" s="1" t="s">
        <v>271</v>
      </c>
    </row>
    <row r="1238" spans="1:8" x14ac:dyDescent="0.35">
      <c r="A1238" s="2">
        <v>45441.324999999997</v>
      </c>
      <c r="B1238" s="3">
        <v>0.74982638888888886</v>
      </c>
      <c r="C1238" s="1" t="s">
        <v>8</v>
      </c>
      <c r="D1238" s="1" t="s">
        <v>20</v>
      </c>
      <c r="E1238" s="1">
        <v>100.83</v>
      </c>
      <c r="F1238" s="1">
        <v>2</v>
      </c>
      <c r="G1238" s="1">
        <v>201.66</v>
      </c>
      <c r="H1238" s="1" t="s">
        <v>319</v>
      </c>
    </row>
    <row r="1239" spans="1:8" x14ac:dyDescent="0.35">
      <c r="A1239" s="2">
        <v>45146.15347222222</v>
      </c>
      <c r="B1239" s="3">
        <v>0.70792824074074068</v>
      </c>
      <c r="C1239" s="1" t="s">
        <v>8</v>
      </c>
      <c r="D1239" s="1" t="s">
        <v>20</v>
      </c>
      <c r="E1239" s="1">
        <v>298.51</v>
      </c>
      <c r="F1239" s="1">
        <v>2</v>
      </c>
      <c r="G1239" s="1">
        <v>597.02</v>
      </c>
      <c r="H1239" s="1" t="s">
        <v>23</v>
      </c>
    </row>
    <row r="1240" spans="1:8" x14ac:dyDescent="0.35">
      <c r="A1240" s="2">
        <v>45636.255555555559</v>
      </c>
      <c r="B1240" s="3">
        <v>0.15517361111111111</v>
      </c>
      <c r="C1240" s="1" t="s">
        <v>11</v>
      </c>
      <c r="D1240" s="1" t="s">
        <v>9</v>
      </c>
      <c r="E1240" s="1">
        <v>337.07</v>
      </c>
      <c r="F1240" s="1">
        <v>4</v>
      </c>
      <c r="G1240" s="1">
        <v>1348.28</v>
      </c>
      <c r="H1240" s="1" t="s">
        <v>208</v>
      </c>
    </row>
    <row r="1241" spans="1:8" x14ac:dyDescent="0.35">
      <c r="A1241" s="2">
        <v>45164.648611111108</v>
      </c>
      <c r="B1241" s="3">
        <v>0.5064467592592593</v>
      </c>
      <c r="C1241" s="1" t="s">
        <v>11</v>
      </c>
      <c r="D1241" s="1" t="s">
        <v>12</v>
      </c>
      <c r="E1241" s="1">
        <v>259.47000000000003</v>
      </c>
      <c r="F1241" s="1">
        <v>2</v>
      </c>
      <c r="G1241" s="1">
        <v>518.94000000000005</v>
      </c>
      <c r="H1241" s="1" t="s">
        <v>275</v>
      </c>
    </row>
    <row r="1242" spans="1:8" x14ac:dyDescent="0.35">
      <c r="A1242" s="2">
        <v>44937.535416666666</v>
      </c>
      <c r="B1242" s="3">
        <v>0.71273148148148147</v>
      </c>
      <c r="C1242" s="1" t="s">
        <v>8</v>
      </c>
      <c r="D1242" s="1" t="s">
        <v>9</v>
      </c>
      <c r="E1242" s="1">
        <v>411.77</v>
      </c>
      <c r="F1242" s="1">
        <v>1</v>
      </c>
      <c r="G1242" s="1">
        <v>411.77</v>
      </c>
      <c r="H1242" s="1" t="s">
        <v>326</v>
      </c>
    </row>
    <row r="1243" spans="1:8" x14ac:dyDescent="0.35">
      <c r="A1243" s="2">
        <v>45183.827777777777</v>
      </c>
      <c r="B1243" s="3">
        <v>0.33949074074074076</v>
      </c>
      <c r="C1243" s="1" t="s">
        <v>8</v>
      </c>
      <c r="D1243" s="1" t="s">
        <v>27</v>
      </c>
      <c r="E1243" s="1">
        <v>212.28</v>
      </c>
      <c r="F1243" s="1">
        <v>3</v>
      </c>
      <c r="G1243" s="1">
        <v>636.84</v>
      </c>
      <c r="H1243" s="1" t="s">
        <v>380</v>
      </c>
    </row>
    <row r="1244" spans="1:8" x14ac:dyDescent="0.35">
      <c r="A1244" s="2">
        <v>45588.871527777781</v>
      </c>
      <c r="B1244" s="3">
        <v>0.88623842592592583</v>
      </c>
      <c r="C1244" s="1" t="s">
        <v>14</v>
      </c>
      <c r="D1244" s="1" t="s">
        <v>20</v>
      </c>
      <c r="E1244" s="1">
        <v>59.69</v>
      </c>
      <c r="F1244" s="1">
        <v>4</v>
      </c>
      <c r="G1244" s="1">
        <v>238.76</v>
      </c>
      <c r="H1244" s="1" t="s">
        <v>220</v>
      </c>
    </row>
    <row r="1245" spans="1:8" x14ac:dyDescent="0.35">
      <c r="A1245" s="2">
        <v>45535.308333333334</v>
      </c>
      <c r="B1245" s="3">
        <v>0.72677083333333325</v>
      </c>
      <c r="C1245" s="1" t="s">
        <v>14</v>
      </c>
      <c r="D1245" s="1" t="s">
        <v>20</v>
      </c>
      <c r="E1245" s="1">
        <v>450.92</v>
      </c>
      <c r="F1245" s="1">
        <v>2</v>
      </c>
      <c r="G1245" s="1">
        <v>901.84</v>
      </c>
      <c r="H1245" s="1" t="s">
        <v>163</v>
      </c>
    </row>
    <row r="1246" spans="1:8" x14ac:dyDescent="0.35">
      <c r="A1246" s="2">
        <v>45638.524305555555</v>
      </c>
      <c r="B1246" s="3">
        <v>0.41107638888888887</v>
      </c>
      <c r="C1246" s="1" t="s">
        <v>8</v>
      </c>
      <c r="D1246" s="1" t="s">
        <v>9</v>
      </c>
      <c r="E1246" s="1">
        <v>147.05000000000001</v>
      </c>
      <c r="F1246" s="1">
        <v>1</v>
      </c>
      <c r="G1246" s="1">
        <v>147.05000000000001</v>
      </c>
      <c r="H1246" s="1" t="s">
        <v>387</v>
      </c>
    </row>
    <row r="1247" spans="1:8" x14ac:dyDescent="0.35">
      <c r="A1247" s="2">
        <v>44948.350694444445</v>
      </c>
      <c r="B1247" s="3">
        <v>0.62989583333333332</v>
      </c>
      <c r="C1247" s="1" t="s">
        <v>8</v>
      </c>
      <c r="D1247" s="1" t="s">
        <v>20</v>
      </c>
      <c r="E1247" s="1">
        <v>429.77</v>
      </c>
      <c r="F1247" s="1">
        <v>1</v>
      </c>
      <c r="G1247" s="1">
        <v>429.77</v>
      </c>
      <c r="H1247" s="1" t="s">
        <v>397</v>
      </c>
    </row>
    <row r="1248" spans="1:8" x14ac:dyDescent="0.35">
      <c r="A1248" s="2">
        <v>45384.830555555556</v>
      </c>
      <c r="B1248" s="3">
        <v>0.83269675925925923</v>
      </c>
      <c r="C1248" s="1" t="s">
        <v>8</v>
      </c>
      <c r="D1248" s="1" t="s">
        <v>20</v>
      </c>
      <c r="E1248" s="1">
        <v>202.83</v>
      </c>
      <c r="F1248" s="1">
        <v>3</v>
      </c>
      <c r="G1248" s="1">
        <v>608.49</v>
      </c>
      <c r="H1248" s="1" t="s">
        <v>161</v>
      </c>
    </row>
    <row r="1249" spans="1:8" x14ac:dyDescent="0.35">
      <c r="A1249" s="2">
        <v>45088.545138888891</v>
      </c>
      <c r="B1249" s="3">
        <v>0.42531249999999998</v>
      </c>
      <c r="C1249" s="1" t="s">
        <v>8</v>
      </c>
      <c r="D1249" s="1" t="s">
        <v>12</v>
      </c>
      <c r="E1249" s="1">
        <v>423.31</v>
      </c>
      <c r="F1249" s="1">
        <v>1</v>
      </c>
      <c r="G1249" s="1">
        <v>423.31</v>
      </c>
      <c r="H1249" s="1" t="s">
        <v>91</v>
      </c>
    </row>
    <row r="1250" spans="1:8" x14ac:dyDescent="0.35">
      <c r="A1250" s="2">
        <v>45527.188888888886</v>
      </c>
      <c r="B1250" s="3">
        <v>0.56020833333333331</v>
      </c>
      <c r="C1250" s="1" t="s">
        <v>11</v>
      </c>
      <c r="D1250" s="1" t="s">
        <v>16</v>
      </c>
      <c r="E1250" s="1">
        <v>263.54000000000002</v>
      </c>
      <c r="F1250" s="1">
        <v>2</v>
      </c>
      <c r="G1250" s="1">
        <v>527.08000000000004</v>
      </c>
      <c r="H1250" s="1" t="s">
        <v>206</v>
      </c>
    </row>
    <row r="1251" spans="1:8" x14ac:dyDescent="0.35">
      <c r="A1251" s="2">
        <v>45394.853472222225</v>
      </c>
      <c r="B1251" s="3">
        <v>0.11008101851851852</v>
      </c>
      <c r="C1251" s="1" t="s">
        <v>11</v>
      </c>
      <c r="D1251" s="1" t="s">
        <v>20</v>
      </c>
      <c r="E1251" s="1">
        <v>50.54</v>
      </c>
      <c r="F1251" s="1">
        <v>2</v>
      </c>
      <c r="G1251" s="1">
        <v>101.08</v>
      </c>
      <c r="H1251" s="1" t="s">
        <v>19</v>
      </c>
    </row>
    <row r="1252" spans="1:8" x14ac:dyDescent="0.35">
      <c r="A1252" s="2">
        <v>45167.679861111108</v>
      </c>
      <c r="B1252" s="3">
        <v>0.24924768518518517</v>
      </c>
      <c r="C1252" s="1" t="s">
        <v>8</v>
      </c>
      <c r="D1252" s="1" t="s">
        <v>20</v>
      </c>
      <c r="E1252" s="1">
        <v>49.25</v>
      </c>
      <c r="F1252" s="1">
        <v>2</v>
      </c>
      <c r="G1252" s="1">
        <v>98.5</v>
      </c>
      <c r="H1252" s="1" t="s">
        <v>123</v>
      </c>
    </row>
    <row r="1253" spans="1:8" x14ac:dyDescent="0.35">
      <c r="A1253" s="2">
        <v>45451.85833333333</v>
      </c>
      <c r="B1253" s="3">
        <v>0.84408564814814813</v>
      </c>
      <c r="C1253" s="1" t="s">
        <v>8</v>
      </c>
      <c r="D1253" s="1" t="s">
        <v>16</v>
      </c>
      <c r="E1253" s="1">
        <v>82.96</v>
      </c>
      <c r="F1253" s="1">
        <v>5</v>
      </c>
      <c r="G1253" s="1">
        <v>414.8</v>
      </c>
      <c r="H1253" s="1" t="s">
        <v>72</v>
      </c>
    </row>
    <row r="1254" spans="1:8" x14ac:dyDescent="0.35">
      <c r="A1254" s="2">
        <v>45207.918749999997</v>
      </c>
      <c r="B1254" s="3">
        <v>0.11431712962962963</v>
      </c>
      <c r="C1254" s="1" t="s">
        <v>11</v>
      </c>
      <c r="D1254" s="1" t="s">
        <v>20</v>
      </c>
      <c r="E1254" s="1">
        <v>361.34</v>
      </c>
      <c r="F1254" s="1">
        <v>1</v>
      </c>
      <c r="G1254" s="1">
        <v>361.34</v>
      </c>
      <c r="H1254" s="1" t="s">
        <v>75</v>
      </c>
    </row>
    <row r="1255" spans="1:8" x14ac:dyDescent="0.35">
      <c r="A1255" s="2">
        <v>45583.580555555556</v>
      </c>
      <c r="B1255" s="3">
        <v>0.76108796296296299</v>
      </c>
      <c r="C1255" s="1" t="s">
        <v>14</v>
      </c>
      <c r="D1255" s="1" t="s">
        <v>27</v>
      </c>
      <c r="E1255" s="1">
        <v>302.5</v>
      </c>
      <c r="F1255" s="1">
        <v>1</v>
      </c>
      <c r="G1255" s="1">
        <v>302.5</v>
      </c>
      <c r="H1255" s="1" t="s">
        <v>157</v>
      </c>
    </row>
    <row r="1256" spans="1:8" x14ac:dyDescent="0.35">
      <c r="A1256" s="2">
        <v>45527.370138888888</v>
      </c>
      <c r="B1256" s="3">
        <v>0.49334490740740744</v>
      </c>
      <c r="C1256" s="1" t="s">
        <v>8</v>
      </c>
      <c r="D1256" s="1" t="s">
        <v>9</v>
      </c>
      <c r="E1256" s="1">
        <v>297.60000000000002</v>
      </c>
      <c r="F1256" s="1">
        <v>4</v>
      </c>
      <c r="G1256" s="1">
        <v>1190.4000000000001</v>
      </c>
      <c r="H1256" s="1" t="s">
        <v>61</v>
      </c>
    </row>
    <row r="1257" spans="1:8" x14ac:dyDescent="0.35">
      <c r="A1257" s="2">
        <v>45476.004861111112</v>
      </c>
      <c r="B1257" s="3">
        <v>0.70351851851851854</v>
      </c>
      <c r="C1257" s="1" t="s">
        <v>14</v>
      </c>
      <c r="D1257" s="1" t="s">
        <v>16</v>
      </c>
      <c r="E1257" s="1">
        <v>21.14</v>
      </c>
      <c r="F1257" s="1">
        <v>5</v>
      </c>
      <c r="G1257" s="1">
        <v>105.7</v>
      </c>
      <c r="H1257" s="1" t="s">
        <v>390</v>
      </c>
    </row>
    <row r="1258" spans="1:8" x14ac:dyDescent="0.35">
      <c r="A1258" s="2">
        <v>45425.648611111108</v>
      </c>
      <c r="B1258" s="3">
        <v>0.24505787037037038</v>
      </c>
      <c r="C1258" s="1" t="s">
        <v>14</v>
      </c>
      <c r="D1258" s="1" t="s">
        <v>20</v>
      </c>
      <c r="E1258" s="1">
        <v>382.53</v>
      </c>
      <c r="F1258" s="1">
        <v>1</v>
      </c>
      <c r="G1258" s="1">
        <v>382.53</v>
      </c>
      <c r="H1258" s="1" t="s">
        <v>385</v>
      </c>
    </row>
    <row r="1259" spans="1:8" x14ac:dyDescent="0.35">
      <c r="A1259" s="2">
        <v>45180.972222222219</v>
      </c>
      <c r="B1259" s="3">
        <v>0.16917824074074073</v>
      </c>
      <c r="C1259" s="1" t="s">
        <v>11</v>
      </c>
      <c r="D1259" s="1" t="s">
        <v>16</v>
      </c>
      <c r="E1259" s="1">
        <v>385.96</v>
      </c>
      <c r="F1259" s="1">
        <v>4</v>
      </c>
      <c r="G1259" s="1">
        <v>1543.84</v>
      </c>
      <c r="H1259" s="1" t="s">
        <v>328</v>
      </c>
    </row>
    <row r="1260" spans="1:8" x14ac:dyDescent="0.35">
      <c r="A1260" s="2">
        <v>45230.495138888888</v>
      </c>
      <c r="B1260" s="3">
        <v>0.24409722222222222</v>
      </c>
      <c r="C1260" s="1" t="s">
        <v>8</v>
      </c>
      <c r="D1260" s="1" t="s">
        <v>27</v>
      </c>
      <c r="E1260" s="1">
        <v>371.5</v>
      </c>
      <c r="F1260" s="1">
        <v>1</v>
      </c>
      <c r="G1260" s="1">
        <v>371.5</v>
      </c>
      <c r="H1260" s="1" t="s">
        <v>121</v>
      </c>
    </row>
    <row r="1261" spans="1:8" x14ac:dyDescent="0.35">
      <c r="A1261" s="2">
        <v>45278.154166666667</v>
      </c>
      <c r="B1261" s="3">
        <v>0.29607638888888888</v>
      </c>
      <c r="C1261" s="1" t="s">
        <v>11</v>
      </c>
      <c r="D1261" s="1" t="s">
        <v>27</v>
      </c>
      <c r="E1261" s="1">
        <v>21.4</v>
      </c>
      <c r="F1261" s="1">
        <v>1</v>
      </c>
      <c r="G1261" s="1">
        <v>21.4</v>
      </c>
      <c r="H1261" s="1" t="s">
        <v>17</v>
      </c>
    </row>
    <row r="1262" spans="1:8" x14ac:dyDescent="0.35">
      <c r="A1262" s="2">
        <v>44953.155555555553</v>
      </c>
      <c r="B1262" s="3">
        <v>0.8830324074074074</v>
      </c>
      <c r="C1262" s="1" t="s">
        <v>11</v>
      </c>
      <c r="D1262" s="1" t="s">
        <v>9</v>
      </c>
      <c r="E1262" s="1">
        <v>232.86</v>
      </c>
      <c r="F1262" s="1">
        <v>3</v>
      </c>
      <c r="G1262" s="1">
        <v>698.58</v>
      </c>
      <c r="H1262" s="1" t="s">
        <v>396</v>
      </c>
    </row>
    <row r="1263" spans="1:8" x14ac:dyDescent="0.35">
      <c r="A1263" s="2">
        <v>45350.77847222222</v>
      </c>
      <c r="B1263" s="3">
        <v>0.84781249999999997</v>
      </c>
      <c r="C1263" s="1" t="s">
        <v>14</v>
      </c>
      <c r="D1263" s="1" t="s">
        <v>16</v>
      </c>
      <c r="E1263" s="1">
        <v>240.91</v>
      </c>
      <c r="F1263" s="1">
        <v>5</v>
      </c>
      <c r="G1263" s="1">
        <v>1204.55</v>
      </c>
      <c r="H1263" s="1" t="s">
        <v>338</v>
      </c>
    </row>
    <row r="1264" spans="1:8" x14ac:dyDescent="0.35">
      <c r="A1264" s="2">
        <v>45359.831250000003</v>
      </c>
      <c r="B1264" s="3">
        <v>0.20008101851851853</v>
      </c>
      <c r="C1264" s="1" t="s">
        <v>11</v>
      </c>
      <c r="D1264" s="1" t="s">
        <v>20</v>
      </c>
      <c r="E1264" s="1">
        <v>354.5</v>
      </c>
      <c r="F1264" s="1">
        <v>4</v>
      </c>
      <c r="G1264" s="1">
        <v>1418</v>
      </c>
      <c r="H1264" s="1" t="s">
        <v>328</v>
      </c>
    </row>
    <row r="1265" spans="1:8" x14ac:dyDescent="0.35">
      <c r="A1265" s="2">
        <v>45364.447916666664</v>
      </c>
      <c r="B1265" s="3">
        <v>0.22741898148148146</v>
      </c>
      <c r="C1265" s="1" t="s">
        <v>14</v>
      </c>
      <c r="D1265" s="1" t="s">
        <v>9</v>
      </c>
      <c r="E1265" s="1">
        <v>386.36</v>
      </c>
      <c r="F1265" s="1">
        <v>2</v>
      </c>
      <c r="G1265" s="1">
        <v>772.72</v>
      </c>
      <c r="H1265" s="1" t="s">
        <v>40</v>
      </c>
    </row>
    <row r="1266" spans="1:8" x14ac:dyDescent="0.35">
      <c r="A1266" s="2">
        <v>45181.459027777775</v>
      </c>
      <c r="B1266" s="3">
        <v>0.61917824074074079</v>
      </c>
      <c r="C1266" s="1" t="s">
        <v>8</v>
      </c>
      <c r="D1266" s="1" t="s">
        <v>9</v>
      </c>
      <c r="E1266" s="1">
        <v>209.87</v>
      </c>
      <c r="F1266" s="1">
        <v>2</v>
      </c>
      <c r="G1266" s="1">
        <v>419.74</v>
      </c>
      <c r="H1266" s="1" t="s">
        <v>157</v>
      </c>
    </row>
    <row r="1267" spans="1:8" x14ac:dyDescent="0.35">
      <c r="A1267" s="2">
        <v>45443.734027777777</v>
      </c>
      <c r="B1267" s="3">
        <v>0.80942129629629633</v>
      </c>
      <c r="C1267" s="1" t="s">
        <v>8</v>
      </c>
      <c r="D1267" s="1" t="s">
        <v>27</v>
      </c>
      <c r="E1267" s="1">
        <v>92.96</v>
      </c>
      <c r="F1267" s="1">
        <v>4</v>
      </c>
      <c r="G1267" s="1">
        <v>371.84</v>
      </c>
      <c r="H1267" s="1" t="s">
        <v>204</v>
      </c>
    </row>
    <row r="1268" spans="1:8" x14ac:dyDescent="0.35">
      <c r="A1268" s="2">
        <v>45147.40347222222</v>
      </c>
      <c r="B1268" s="3">
        <v>0.27417824074074076</v>
      </c>
      <c r="C1268" s="1" t="s">
        <v>11</v>
      </c>
      <c r="D1268" s="1" t="s">
        <v>20</v>
      </c>
      <c r="E1268" s="1">
        <v>246.6</v>
      </c>
      <c r="F1268" s="1">
        <v>2</v>
      </c>
      <c r="G1268" s="1">
        <v>493.2</v>
      </c>
      <c r="H1268" s="1" t="s">
        <v>380</v>
      </c>
    </row>
    <row r="1269" spans="1:8" x14ac:dyDescent="0.35">
      <c r="A1269" s="2">
        <v>45025.086111111108</v>
      </c>
      <c r="B1269" s="3">
        <v>0.1693402777777778</v>
      </c>
      <c r="C1269" s="1" t="s">
        <v>11</v>
      </c>
      <c r="D1269" s="1" t="s">
        <v>9</v>
      </c>
      <c r="E1269" s="1">
        <v>248.44</v>
      </c>
      <c r="F1269" s="1">
        <v>2</v>
      </c>
      <c r="G1269" s="1">
        <v>496.88</v>
      </c>
      <c r="H1269" s="1" t="s">
        <v>363</v>
      </c>
    </row>
    <row r="1270" spans="1:8" x14ac:dyDescent="0.35">
      <c r="A1270" s="2">
        <v>45208.152777777781</v>
      </c>
      <c r="B1270" s="3">
        <v>0.46579861111111115</v>
      </c>
      <c r="C1270" s="1" t="s">
        <v>14</v>
      </c>
      <c r="D1270" s="1" t="s">
        <v>20</v>
      </c>
      <c r="E1270" s="1">
        <v>258.93</v>
      </c>
      <c r="F1270" s="1">
        <v>4</v>
      </c>
      <c r="G1270" s="1">
        <v>1035.72</v>
      </c>
      <c r="H1270" s="1" t="s">
        <v>98</v>
      </c>
    </row>
    <row r="1271" spans="1:8" x14ac:dyDescent="0.35">
      <c r="A1271" s="2">
        <v>45192.163194444445</v>
      </c>
      <c r="B1271" s="3">
        <v>0.55723379629629632</v>
      </c>
      <c r="C1271" s="1" t="s">
        <v>8</v>
      </c>
      <c r="D1271" s="1" t="s">
        <v>12</v>
      </c>
      <c r="E1271" s="1">
        <v>235.12</v>
      </c>
      <c r="F1271" s="1">
        <v>5</v>
      </c>
      <c r="G1271" s="1">
        <v>1175.5999999999999</v>
      </c>
      <c r="H1271" s="1" t="s">
        <v>341</v>
      </c>
    </row>
    <row r="1272" spans="1:8" x14ac:dyDescent="0.35">
      <c r="A1272" s="2">
        <v>45156.500694444447</v>
      </c>
      <c r="B1272" s="3">
        <v>5.8993055555555556E-2</v>
      </c>
      <c r="C1272" s="1" t="s">
        <v>11</v>
      </c>
      <c r="D1272" s="1" t="s">
        <v>27</v>
      </c>
      <c r="E1272" s="1">
        <v>13.07</v>
      </c>
      <c r="F1272" s="1">
        <v>5</v>
      </c>
      <c r="G1272" s="1">
        <v>65.349999999999994</v>
      </c>
      <c r="H1272" s="1" t="s">
        <v>337</v>
      </c>
    </row>
    <row r="1273" spans="1:8" x14ac:dyDescent="0.35">
      <c r="A1273" s="2">
        <v>44938.681944444441</v>
      </c>
      <c r="B1273" s="3">
        <v>0.59844907407407411</v>
      </c>
      <c r="C1273" s="1" t="s">
        <v>8</v>
      </c>
      <c r="D1273" s="1" t="s">
        <v>27</v>
      </c>
      <c r="E1273" s="1">
        <v>256.01</v>
      </c>
      <c r="F1273" s="1">
        <v>5</v>
      </c>
      <c r="G1273" s="1">
        <v>1280.05</v>
      </c>
      <c r="H1273" s="1" t="s">
        <v>73</v>
      </c>
    </row>
    <row r="1274" spans="1:8" x14ac:dyDescent="0.35">
      <c r="A1274" s="2">
        <v>45638.800694444442</v>
      </c>
      <c r="B1274" s="3">
        <v>0.98490740740740745</v>
      </c>
      <c r="C1274" s="1" t="s">
        <v>8</v>
      </c>
      <c r="D1274" s="1" t="s">
        <v>12</v>
      </c>
      <c r="E1274" s="1">
        <v>410.82</v>
      </c>
      <c r="F1274" s="1">
        <v>4</v>
      </c>
      <c r="G1274" s="1">
        <v>1643.28</v>
      </c>
      <c r="H1274" s="1" t="s">
        <v>37</v>
      </c>
    </row>
    <row r="1275" spans="1:8" x14ac:dyDescent="0.35">
      <c r="A1275" s="2">
        <v>45662.301388888889</v>
      </c>
      <c r="B1275" s="3">
        <v>0.98181712962962964</v>
      </c>
      <c r="C1275" s="1" t="s">
        <v>8</v>
      </c>
      <c r="D1275" s="1" t="s">
        <v>9</v>
      </c>
      <c r="E1275" s="1">
        <v>244.99</v>
      </c>
      <c r="F1275" s="1">
        <v>5</v>
      </c>
      <c r="G1275" s="1">
        <v>1224.95</v>
      </c>
      <c r="H1275" s="1" t="s">
        <v>229</v>
      </c>
    </row>
    <row r="1276" spans="1:8" x14ac:dyDescent="0.35">
      <c r="A1276" s="2">
        <v>45004.738888888889</v>
      </c>
      <c r="B1276" s="3">
        <v>0.76973379629629635</v>
      </c>
      <c r="C1276" s="1" t="s">
        <v>14</v>
      </c>
      <c r="D1276" s="1" t="s">
        <v>27</v>
      </c>
      <c r="E1276" s="1">
        <v>190.96</v>
      </c>
      <c r="F1276" s="1">
        <v>5</v>
      </c>
      <c r="G1276" s="1">
        <v>954.8</v>
      </c>
      <c r="H1276" s="1" t="s">
        <v>398</v>
      </c>
    </row>
    <row r="1277" spans="1:8" x14ac:dyDescent="0.35">
      <c r="A1277" s="2">
        <v>45362.856944444444</v>
      </c>
      <c r="B1277" s="3">
        <v>0.65388888888888885</v>
      </c>
      <c r="C1277" s="1" t="s">
        <v>11</v>
      </c>
      <c r="D1277" s="1" t="s">
        <v>27</v>
      </c>
      <c r="E1277" s="1">
        <v>42.15</v>
      </c>
      <c r="F1277" s="1">
        <v>1</v>
      </c>
      <c r="G1277" s="1">
        <v>42.15</v>
      </c>
      <c r="H1277" s="1" t="s">
        <v>99</v>
      </c>
    </row>
    <row r="1278" spans="1:8" x14ac:dyDescent="0.35">
      <c r="A1278" s="2">
        <v>45264.456944444442</v>
      </c>
      <c r="B1278" s="3">
        <v>0.13280092592592593</v>
      </c>
      <c r="C1278" s="1" t="s">
        <v>11</v>
      </c>
      <c r="D1278" s="1" t="s">
        <v>20</v>
      </c>
      <c r="E1278" s="1">
        <v>167.99</v>
      </c>
      <c r="F1278" s="1">
        <v>5</v>
      </c>
      <c r="G1278" s="1">
        <v>839.95</v>
      </c>
      <c r="H1278" s="1" t="s">
        <v>397</v>
      </c>
    </row>
    <row r="1279" spans="1:8" x14ac:dyDescent="0.35">
      <c r="A1279" s="2">
        <v>45209.05972222222</v>
      </c>
      <c r="B1279" s="3">
        <v>0.53921296296296295</v>
      </c>
      <c r="C1279" s="1" t="s">
        <v>8</v>
      </c>
      <c r="D1279" s="1" t="s">
        <v>27</v>
      </c>
      <c r="E1279" s="1">
        <v>343.1</v>
      </c>
      <c r="F1279" s="1">
        <v>3</v>
      </c>
      <c r="G1279" s="1">
        <v>1029.3</v>
      </c>
      <c r="H1279" s="1" t="s">
        <v>394</v>
      </c>
    </row>
    <row r="1280" spans="1:8" x14ac:dyDescent="0.35">
      <c r="A1280" s="2">
        <v>45570.919444444444</v>
      </c>
      <c r="B1280" s="3">
        <v>0.24519675925925924</v>
      </c>
      <c r="C1280" s="1" t="s">
        <v>11</v>
      </c>
      <c r="D1280" s="1" t="s">
        <v>27</v>
      </c>
      <c r="E1280" s="1">
        <v>468.11</v>
      </c>
      <c r="F1280" s="1">
        <v>3</v>
      </c>
      <c r="G1280" s="1">
        <v>1404.33</v>
      </c>
      <c r="H1280" s="1" t="s">
        <v>140</v>
      </c>
    </row>
    <row r="1281" spans="1:8" x14ac:dyDescent="0.35">
      <c r="A1281" s="2">
        <v>45365.469444444447</v>
      </c>
      <c r="B1281" s="3">
        <v>0.49842592592592588</v>
      </c>
      <c r="C1281" s="1" t="s">
        <v>14</v>
      </c>
      <c r="D1281" s="1" t="s">
        <v>12</v>
      </c>
      <c r="E1281" s="1">
        <v>422.41</v>
      </c>
      <c r="F1281" s="1">
        <v>1</v>
      </c>
      <c r="G1281" s="1">
        <v>422.41</v>
      </c>
      <c r="H1281" s="1" t="s">
        <v>15</v>
      </c>
    </row>
    <row r="1282" spans="1:8" x14ac:dyDescent="0.35">
      <c r="A1282" s="2">
        <v>45001.752083333333</v>
      </c>
      <c r="B1282" s="3">
        <v>0.88920138888888889</v>
      </c>
      <c r="C1282" s="1" t="s">
        <v>11</v>
      </c>
      <c r="D1282" s="1" t="s">
        <v>20</v>
      </c>
      <c r="E1282" s="1">
        <v>279.89</v>
      </c>
      <c r="F1282" s="1">
        <v>5</v>
      </c>
      <c r="G1282" s="1">
        <v>1399.45</v>
      </c>
      <c r="H1282" s="1" t="s">
        <v>399</v>
      </c>
    </row>
    <row r="1283" spans="1:8" x14ac:dyDescent="0.35">
      <c r="A1283" s="2">
        <v>45112.333333333336</v>
      </c>
      <c r="B1283" s="3">
        <v>0.90175925925925926</v>
      </c>
      <c r="C1283" s="1" t="s">
        <v>8</v>
      </c>
      <c r="D1283" s="1" t="s">
        <v>12</v>
      </c>
      <c r="E1283" s="1">
        <v>415.34</v>
      </c>
      <c r="F1283" s="1">
        <v>1</v>
      </c>
      <c r="G1283" s="1">
        <v>415.34</v>
      </c>
      <c r="H1283" s="1" t="s">
        <v>32</v>
      </c>
    </row>
    <row r="1284" spans="1:8" x14ac:dyDescent="0.35">
      <c r="A1284" s="2">
        <v>45352.364583333336</v>
      </c>
      <c r="B1284" s="3">
        <v>0.65112268518518512</v>
      </c>
      <c r="C1284" s="1" t="s">
        <v>14</v>
      </c>
      <c r="D1284" s="1" t="s">
        <v>12</v>
      </c>
      <c r="E1284" s="1">
        <v>265.24</v>
      </c>
      <c r="F1284" s="1">
        <v>4</v>
      </c>
      <c r="G1284" s="1">
        <v>1060.96</v>
      </c>
      <c r="H1284" s="1" t="s">
        <v>400</v>
      </c>
    </row>
    <row r="1285" spans="1:8" x14ac:dyDescent="0.35">
      <c r="A1285" s="2">
        <v>45251.347222222219</v>
      </c>
      <c r="B1285" s="3">
        <v>0.32500000000000001</v>
      </c>
      <c r="C1285" s="1" t="s">
        <v>14</v>
      </c>
      <c r="D1285" s="1" t="s">
        <v>27</v>
      </c>
      <c r="E1285" s="1">
        <v>152.85</v>
      </c>
      <c r="F1285" s="1">
        <v>4</v>
      </c>
      <c r="G1285" s="1">
        <v>611.4</v>
      </c>
      <c r="H1285" s="1" t="s">
        <v>391</v>
      </c>
    </row>
    <row r="1286" spans="1:8" x14ac:dyDescent="0.35">
      <c r="A1286" s="2">
        <v>45075.161111111112</v>
      </c>
      <c r="B1286" s="3">
        <v>4.3599537037037034E-2</v>
      </c>
      <c r="C1286" s="1" t="s">
        <v>8</v>
      </c>
      <c r="D1286" s="1" t="s">
        <v>20</v>
      </c>
      <c r="E1286" s="1">
        <v>398.41</v>
      </c>
      <c r="F1286" s="1">
        <v>1</v>
      </c>
      <c r="G1286" s="1">
        <v>398.41</v>
      </c>
      <c r="H1286" s="1" t="s">
        <v>213</v>
      </c>
    </row>
    <row r="1287" spans="1:8" x14ac:dyDescent="0.35">
      <c r="A1287" s="2">
        <v>45360.238888888889</v>
      </c>
      <c r="B1287" s="3">
        <v>6.6736111111111107E-2</v>
      </c>
      <c r="C1287" s="1" t="s">
        <v>8</v>
      </c>
      <c r="D1287" s="1" t="s">
        <v>16</v>
      </c>
      <c r="E1287" s="1">
        <v>157.38999999999999</v>
      </c>
      <c r="F1287" s="1">
        <v>1</v>
      </c>
      <c r="G1287" s="1">
        <v>157.38999999999999</v>
      </c>
      <c r="H1287" s="1" t="s">
        <v>325</v>
      </c>
    </row>
    <row r="1288" spans="1:8" x14ac:dyDescent="0.35">
      <c r="A1288" s="2">
        <v>45493.433333333334</v>
      </c>
      <c r="B1288" s="3">
        <v>0.75894675925925925</v>
      </c>
      <c r="C1288" s="1" t="s">
        <v>11</v>
      </c>
      <c r="D1288" s="1" t="s">
        <v>9</v>
      </c>
      <c r="E1288" s="1">
        <v>363.54</v>
      </c>
      <c r="F1288" s="1">
        <v>5</v>
      </c>
      <c r="G1288" s="1">
        <v>1817.7</v>
      </c>
      <c r="H1288" s="1" t="s">
        <v>381</v>
      </c>
    </row>
    <row r="1289" spans="1:8" x14ac:dyDescent="0.35">
      <c r="A1289" s="2">
        <v>45054.113194444442</v>
      </c>
      <c r="B1289" s="3">
        <v>8.5254629629629639E-2</v>
      </c>
      <c r="C1289" s="1" t="s">
        <v>8</v>
      </c>
      <c r="D1289" s="1" t="s">
        <v>20</v>
      </c>
      <c r="E1289" s="1">
        <v>86.99</v>
      </c>
      <c r="F1289" s="1">
        <v>3</v>
      </c>
      <c r="G1289" s="1">
        <v>260.97000000000003</v>
      </c>
      <c r="H1289" s="1" t="s">
        <v>172</v>
      </c>
    </row>
    <row r="1290" spans="1:8" x14ac:dyDescent="0.35">
      <c r="A1290" s="2">
        <v>45166.52847222222</v>
      </c>
      <c r="B1290" s="3">
        <v>0.8497337962962962</v>
      </c>
      <c r="C1290" s="1" t="s">
        <v>14</v>
      </c>
      <c r="D1290" s="1" t="s">
        <v>20</v>
      </c>
      <c r="E1290" s="1">
        <v>320.72000000000003</v>
      </c>
      <c r="F1290" s="1">
        <v>3</v>
      </c>
      <c r="G1290" s="1">
        <v>962.16</v>
      </c>
      <c r="H1290" s="1" t="s">
        <v>141</v>
      </c>
    </row>
    <row r="1291" spans="1:8" x14ac:dyDescent="0.35">
      <c r="A1291" s="2">
        <v>45141.291666666664</v>
      </c>
      <c r="B1291" s="3">
        <v>1.3773148148148147E-3</v>
      </c>
      <c r="C1291" s="1" t="s">
        <v>8</v>
      </c>
      <c r="D1291" s="1" t="s">
        <v>9</v>
      </c>
      <c r="E1291" s="1">
        <v>444.04</v>
      </c>
      <c r="F1291" s="1">
        <v>4</v>
      </c>
      <c r="G1291" s="1">
        <v>1776.16</v>
      </c>
      <c r="H1291" s="1" t="s">
        <v>41</v>
      </c>
    </row>
    <row r="1292" spans="1:8" x14ac:dyDescent="0.35">
      <c r="A1292" s="2">
        <v>45565.915277777778</v>
      </c>
      <c r="B1292" s="3">
        <v>0.87159722222222225</v>
      </c>
      <c r="C1292" s="1" t="s">
        <v>8</v>
      </c>
      <c r="D1292" s="1" t="s">
        <v>9</v>
      </c>
      <c r="E1292" s="1">
        <v>166.6</v>
      </c>
      <c r="F1292" s="1">
        <v>2</v>
      </c>
      <c r="G1292" s="1">
        <v>333.2</v>
      </c>
      <c r="H1292" s="1" t="s">
        <v>114</v>
      </c>
    </row>
    <row r="1293" spans="1:8" x14ac:dyDescent="0.35">
      <c r="A1293" s="2">
        <v>45141.967361111114</v>
      </c>
      <c r="B1293" s="3">
        <v>0.33974537037037034</v>
      </c>
      <c r="C1293" s="1" t="s">
        <v>14</v>
      </c>
      <c r="D1293" s="1" t="s">
        <v>9</v>
      </c>
      <c r="E1293" s="1">
        <v>204.21</v>
      </c>
      <c r="F1293" s="1">
        <v>4</v>
      </c>
      <c r="G1293" s="1">
        <v>816.84</v>
      </c>
      <c r="H1293" s="1" t="s">
        <v>111</v>
      </c>
    </row>
    <row r="1294" spans="1:8" x14ac:dyDescent="0.35">
      <c r="A1294" s="2">
        <v>45526.665277777778</v>
      </c>
      <c r="B1294" s="3">
        <v>0.75387731481481479</v>
      </c>
      <c r="C1294" s="1" t="s">
        <v>11</v>
      </c>
      <c r="D1294" s="1" t="s">
        <v>12</v>
      </c>
      <c r="E1294" s="1">
        <v>269.35000000000002</v>
      </c>
      <c r="F1294" s="1">
        <v>5</v>
      </c>
      <c r="G1294" s="1">
        <v>1346.75</v>
      </c>
      <c r="H1294" s="1" t="s">
        <v>265</v>
      </c>
    </row>
    <row r="1295" spans="1:8" x14ac:dyDescent="0.35">
      <c r="A1295" s="2">
        <v>45468.790277777778</v>
      </c>
      <c r="B1295" s="3">
        <v>0.68649305555555562</v>
      </c>
      <c r="C1295" s="1" t="s">
        <v>11</v>
      </c>
      <c r="D1295" s="1" t="s">
        <v>20</v>
      </c>
      <c r="E1295" s="1">
        <v>305.93</v>
      </c>
      <c r="F1295" s="1">
        <v>2</v>
      </c>
      <c r="G1295" s="1">
        <v>611.86</v>
      </c>
      <c r="H1295" s="1" t="s">
        <v>111</v>
      </c>
    </row>
    <row r="1296" spans="1:8" x14ac:dyDescent="0.35">
      <c r="A1296" s="2">
        <v>45137.263194444444</v>
      </c>
      <c r="B1296" s="3">
        <v>0.37821759259259258</v>
      </c>
      <c r="C1296" s="1" t="s">
        <v>8</v>
      </c>
      <c r="D1296" s="1" t="s">
        <v>20</v>
      </c>
      <c r="E1296" s="1">
        <v>346.14</v>
      </c>
      <c r="F1296" s="1">
        <v>5</v>
      </c>
      <c r="G1296" s="1">
        <v>1730.7</v>
      </c>
      <c r="H1296" s="1" t="s">
        <v>100</v>
      </c>
    </row>
    <row r="1297" spans="1:8" x14ac:dyDescent="0.35">
      <c r="A1297" s="2">
        <v>45581.791666666664</v>
      </c>
      <c r="B1297" s="3">
        <v>0.24143518518518517</v>
      </c>
      <c r="C1297" s="1" t="s">
        <v>8</v>
      </c>
      <c r="D1297" s="1" t="s">
        <v>27</v>
      </c>
      <c r="E1297" s="1">
        <v>326.33999999999997</v>
      </c>
      <c r="F1297" s="1">
        <v>5</v>
      </c>
      <c r="G1297" s="1">
        <v>1631.7</v>
      </c>
      <c r="H1297" s="1" t="s">
        <v>370</v>
      </c>
    </row>
    <row r="1298" spans="1:8" x14ac:dyDescent="0.35">
      <c r="A1298" s="2">
        <v>45046.748611111114</v>
      </c>
      <c r="B1298" s="3">
        <v>0.94578703703703704</v>
      </c>
      <c r="C1298" s="1" t="s">
        <v>8</v>
      </c>
      <c r="D1298" s="1" t="s">
        <v>27</v>
      </c>
      <c r="E1298" s="1">
        <v>128.91</v>
      </c>
      <c r="F1298" s="1">
        <v>4</v>
      </c>
      <c r="G1298" s="1">
        <v>515.64</v>
      </c>
      <c r="H1298" s="1" t="s">
        <v>277</v>
      </c>
    </row>
    <row r="1299" spans="1:8" x14ac:dyDescent="0.35">
      <c r="A1299" s="2">
        <v>45540.447222222225</v>
      </c>
      <c r="B1299" s="3">
        <v>0.82209490740740743</v>
      </c>
      <c r="C1299" s="1" t="s">
        <v>14</v>
      </c>
      <c r="D1299" s="1" t="s">
        <v>16</v>
      </c>
      <c r="E1299" s="1">
        <v>131.06</v>
      </c>
      <c r="F1299" s="1">
        <v>5</v>
      </c>
      <c r="G1299" s="1">
        <v>655.29999999999995</v>
      </c>
      <c r="H1299" s="1" t="s">
        <v>47</v>
      </c>
    </row>
    <row r="1300" spans="1:8" x14ac:dyDescent="0.35">
      <c r="A1300" s="2">
        <v>45099.594444444447</v>
      </c>
      <c r="B1300" s="3">
        <v>0.1734259259259259</v>
      </c>
      <c r="C1300" s="1" t="s">
        <v>14</v>
      </c>
      <c r="D1300" s="1" t="s">
        <v>27</v>
      </c>
      <c r="E1300" s="1">
        <v>93.18</v>
      </c>
      <c r="F1300" s="1">
        <v>2</v>
      </c>
      <c r="G1300" s="1">
        <v>186.36</v>
      </c>
      <c r="H1300" s="1" t="s">
        <v>179</v>
      </c>
    </row>
    <row r="1301" spans="1:8" x14ac:dyDescent="0.35">
      <c r="A1301" s="2">
        <v>45397.449305555558</v>
      </c>
      <c r="B1301" s="3">
        <v>0.64011574074074074</v>
      </c>
      <c r="C1301" s="1" t="s">
        <v>11</v>
      </c>
      <c r="D1301" s="1" t="s">
        <v>12</v>
      </c>
      <c r="E1301" s="1">
        <v>314.54000000000002</v>
      </c>
      <c r="F1301" s="1">
        <v>4</v>
      </c>
      <c r="G1301" s="1">
        <v>1258.1600000000001</v>
      </c>
      <c r="H1301" s="1" t="s">
        <v>401</v>
      </c>
    </row>
    <row r="1302" spans="1:8" x14ac:dyDescent="0.35">
      <c r="A1302" s="2">
        <v>45270.869444444441</v>
      </c>
      <c r="B1302" s="3">
        <v>0.8604398148148148</v>
      </c>
      <c r="C1302" s="1" t="s">
        <v>11</v>
      </c>
      <c r="D1302" s="1" t="s">
        <v>12</v>
      </c>
      <c r="E1302" s="1">
        <v>145.44999999999999</v>
      </c>
      <c r="F1302" s="1">
        <v>4</v>
      </c>
      <c r="G1302" s="1">
        <v>581.79999999999995</v>
      </c>
      <c r="H1302" s="1" t="s">
        <v>368</v>
      </c>
    </row>
    <row r="1303" spans="1:8" x14ac:dyDescent="0.35">
      <c r="A1303" s="2">
        <v>44975.557638888888</v>
      </c>
      <c r="B1303" s="3">
        <v>0.25744212962962965</v>
      </c>
      <c r="C1303" s="1" t="s">
        <v>14</v>
      </c>
      <c r="D1303" s="1" t="s">
        <v>12</v>
      </c>
      <c r="E1303" s="1">
        <v>153.19</v>
      </c>
      <c r="F1303" s="1">
        <v>2</v>
      </c>
      <c r="G1303" s="1">
        <v>306.38</v>
      </c>
      <c r="H1303" s="1" t="s">
        <v>40</v>
      </c>
    </row>
    <row r="1304" spans="1:8" x14ac:dyDescent="0.35">
      <c r="A1304" s="2">
        <v>45180.526388888888</v>
      </c>
      <c r="B1304" s="3">
        <v>1.8310185185185186E-2</v>
      </c>
      <c r="C1304" s="1" t="s">
        <v>11</v>
      </c>
      <c r="D1304" s="1" t="s">
        <v>27</v>
      </c>
      <c r="E1304" s="1">
        <v>342.5</v>
      </c>
      <c r="F1304" s="1">
        <v>4</v>
      </c>
      <c r="G1304" s="1">
        <v>1370</v>
      </c>
      <c r="H1304" s="1" t="s">
        <v>209</v>
      </c>
    </row>
    <row r="1305" spans="1:8" x14ac:dyDescent="0.35">
      <c r="A1305" s="2">
        <v>45657.111111111109</v>
      </c>
      <c r="B1305" s="3">
        <v>0.34151620370370367</v>
      </c>
      <c r="C1305" s="1" t="s">
        <v>11</v>
      </c>
      <c r="D1305" s="1" t="s">
        <v>12</v>
      </c>
      <c r="E1305" s="1">
        <v>278.3</v>
      </c>
      <c r="F1305" s="1">
        <v>2</v>
      </c>
      <c r="G1305" s="1">
        <v>556.6</v>
      </c>
      <c r="H1305" s="1" t="s">
        <v>402</v>
      </c>
    </row>
    <row r="1306" spans="1:8" x14ac:dyDescent="0.35">
      <c r="A1306" s="2">
        <v>45291.429166666669</v>
      </c>
      <c r="B1306" s="3">
        <v>0.42834490740740744</v>
      </c>
      <c r="C1306" s="1" t="s">
        <v>11</v>
      </c>
      <c r="D1306" s="1" t="s">
        <v>12</v>
      </c>
      <c r="E1306" s="1">
        <v>181.18</v>
      </c>
      <c r="F1306" s="1">
        <v>5</v>
      </c>
      <c r="G1306" s="1">
        <v>905.9</v>
      </c>
      <c r="H1306" s="1" t="s">
        <v>179</v>
      </c>
    </row>
    <row r="1307" spans="1:8" x14ac:dyDescent="0.35">
      <c r="A1307" s="2">
        <v>45274.781944444447</v>
      </c>
      <c r="B1307" s="3">
        <v>0.74137731481481473</v>
      </c>
      <c r="C1307" s="1" t="s">
        <v>8</v>
      </c>
      <c r="D1307" s="1" t="s">
        <v>20</v>
      </c>
      <c r="E1307" s="1">
        <v>454.71</v>
      </c>
      <c r="F1307" s="1">
        <v>5</v>
      </c>
      <c r="G1307" s="1">
        <v>2273.5500000000002</v>
      </c>
      <c r="H1307" s="1" t="s">
        <v>155</v>
      </c>
    </row>
    <row r="1308" spans="1:8" x14ac:dyDescent="0.35">
      <c r="A1308" s="2">
        <v>45454.854166666664</v>
      </c>
      <c r="B1308" s="3">
        <v>0.99123842592592604</v>
      </c>
      <c r="C1308" s="1" t="s">
        <v>11</v>
      </c>
      <c r="D1308" s="1" t="s">
        <v>16</v>
      </c>
      <c r="E1308" s="1">
        <v>153.4</v>
      </c>
      <c r="F1308" s="1">
        <v>1</v>
      </c>
      <c r="G1308" s="1">
        <v>153.4</v>
      </c>
      <c r="H1308" s="1" t="s">
        <v>263</v>
      </c>
    </row>
    <row r="1309" spans="1:8" x14ac:dyDescent="0.35">
      <c r="A1309" s="2">
        <v>45033.531944444447</v>
      </c>
      <c r="B1309" s="3">
        <v>0.57876157407407403</v>
      </c>
      <c r="C1309" s="1" t="s">
        <v>14</v>
      </c>
      <c r="D1309" s="1" t="s">
        <v>9</v>
      </c>
      <c r="E1309" s="1">
        <v>354.88</v>
      </c>
      <c r="F1309" s="1">
        <v>2</v>
      </c>
      <c r="G1309" s="1">
        <v>709.76</v>
      </c>
      <c r="H1309" s="1" t="s">
        <v>117</v>
      </c>
    </row>
    <row r="1310" spans="1:8" x14ac:dyDescent="0.35">
      <c r="A1310" s="2">
        <v>44970.69027777778</v>
      </c>
      <c r="B1310" s="3">
        <v>0.97872685185185182</v>
      </c>
      <c r="C1310" s="1" t="s">
        <v>14</v>
      </c>
      <c r="D1310" s="1" t="s">
        <v>20</v>
      </c>
      <c r="E1310" s="1">
        <v>80.55</v>
      </c>
      <c r="F1310" s="1">
        <v>4</v>
      </c>
      <c r="G1310" s="1">
        <v>322.2</v>
      </c>
      <c r="H1310" s="1" t="s">
        <v>96</v>
      </c>
    </row>
    <row r="1311" spans="1:8" x14ac:dyDescent="0.35">
      <c r="A1311" s="2">
        <v>45094.838194444441</v>
      </c>
      <c r="B1311" s="3">
        <v>0.61334490740740744</v>
      </c>
      <c r="C1311" s="1" t="s">
        <v>14</v>
      </c>
      <c r="D1311" s="1" t="s">
        <v>9</v>
      </c>
      <c r="E1311" s="1">
        <v>26.77</v>
      </c>
      <c r="F1311" s="1">
        <v>5</v>
      </c>
      <c r="G1311" s="1">
        <v>133.85</v>
      </c>
      <c r="H1311" s="1" t="s">
        <v>392</v>
      </c>
    </row>
    <row r="1312" spans="1:8" x14ac:dyDescent="0.35">
      <c r="A1312" s="2">
        <v>45362.663194444445</v>
      </c>
      <c r="B1312" s="3">
        <v>0.46259259259259261</v>
      </c>
      <c r="C1312" s="1" t="s">
        <v>8</v>
      </c>
      <c r="D1312" s="1" t="s">
        <v>9</v>
      </c>
      <c r="E1312" s="1">
        <v>434.94</v>
      </c>
      <c r="F1312" s="1">
        <v>5</v>
      </c>
      <c r="G1312" s="1">
        <v>2174.6999999999998</v>
      </c>
      <c r="H1312" s="1" t="s">
        <v>173</v>
      </c>
    </row>
    <row r="1313" spans="1:8" x14ac:dyDescent="0.35">
      <c r="A1313" s="2">
        <v>45162.634722222225</v>
      </c>
      <c r="B1313" s="3">
        <v>0.30765046296296295</v>
      </c>
      <c r="C1313" s="1" t="s">
        <v>14</v>
      </c>
      <c r="D1313" s="1" t="s">
        <v>20</v>
      </c>
      <c r="E1313" s="1">
        <v>14.83</v>
      </c>
      <c r="F1313" s="1">
        <v>2</v>
      </c>
      <c r="G1313" s="1">
        <v>29.66</v>
      </c>
      <c r="H1313" s="1" t="s">
        <v>187</v>
      </c>
    </row>
    <row r="1314" spans="1:8" x14ac:dyDescent="0.35">
      <c r="A1314" s="2">
        <v>45075.786805555559</v>
      </c>
      <c r="B1314" s="3">
        <v>6.2094907407407411E-2</v>
      </c>
      <c r="C1314" s="1" t="s">
        <v>8</v>
      </c>
      <c r="D1314" s="1" t="s">
        <v>12</v>
      </c>
      <c r="E1314" s="1">
        <v>81.12</v>
      </c>
      <c r="F1314" s="1">
        <v>5</v>
      </c>
      <c r="G1314" s="1">
        <v>405.6</v>
      </c>
      <c r="H1314" s="1" t="s">
        <v>24</v>
      </c>
    </row>
    <row r="1315" spans="1:8" x14ac:dyDescent="0.35">
      <c r="A1315" s="2">
        <v>44935.547222222223</v>
      </c>
      <c r="B1315" s="3">
        <v>0.60972222222222217</v>
      </c>
      <c r="C1315" s="1" t="s">
        <v>8</v>
      </c>
      <c r="D1315" s="1" t="s">
        <v>9</v>
      </c>
      <c r="E1315" s="1">
        <v>396.61</v>
      </c>
      <c r="F1315" s="1">
        <v>3</v>
      </c>
      <c r="G1315" s="1">
        <v>1189.83</v>
      </c>
      <c r="H1315" s="1" t="s">
        <v>185</v>
      </c>
    </row>
    <row r="1316" spans="1:8" x14ac:dyDescent="0.35">
      <c r="A1316" s="2">
        <v>45330.709722222222</v>
      </c>
      <c r="B1316" s="3">
        <v>0.31124999999999997</v>
      </c>
      <c r="C1316" s="1" t="s">
        <v>14</v>
      </c>
      <c r="D1316" s="1" t="s">
        <v>20</v>
      </c>
      <c r="E1316" s="1">
        <v>138.11000000000001</v>
      </c>
      <c r="F1316" s="1">
        <v>2</v>
      </c>
      <c r="G1316" s="1">
        <v>276.22000000000003</v>
      </c>
      <c r="H1316" s="1" t="s">
        <v>221</v>
      </c>
    </row>
    <row r="1317" spans="1:8" x14ac:dyDescent="0.35">
      <c r="A1317" s="2">
        <v>45610.178472222222</v>
      </c>
      <c r="B1317" s="3">
        <v>0.90506944444444448</v>
      </c>
      <c r="C1317" s="1" t="s">
        <v>14</v>
      </c>
      <c r="D1317" s="1" t="s">
        <v>9</v>
      </c>
      <c r="E1317" s="1">
        <v>196.66</v>
      </c>
      <c r="F1317" s="1">
        <v>2</v>
      </c>
      <c r="G1317" s="1">
        <v>393.32</v>
      </c>
      <c r="H1317" s="1" t="s">
        <v>403</v>
      </c>
    </row>
    <row r="1318" spans="1:8" x14ac:dyDescent="0.35">
      <c r="A1318" s="2">
        <v>45411.262499999997</v>
      </c>
      <c r="B1318" s="3">
        <v>1.7870370370370373E-2</v>
      </c>
      <c r="C1318" s="1" t="s">
        <v>11</v>
      </c>
      <c r="D1318" s="1" t="s">
        <v>9</v>
      </c>
      <c r="E1318" s="1">
        <v>398.97</v>
      </c>
      <c r="F1318" s="1">
        <v>1</v>
      </c>
      <c r="G1318" s="1">
        <v>398.97</v>
      </c>
      <c r="H1318" s="1" t="s">
        <v>402</v>
      </c>
    </row>
    <row r="1319" spans="1:8" x14ac:dyDescent="0.35">
      <c r="A1319" s="2">
        <v>45037.017361111109</v>
      </c>
      <c r="B1319" s="3">
        <v>0.47295138888888894</v>
      </c>
      <c r="C1319" s="1" t="s">
        <v>14</v>
      </c>
      <c r="D1319" s="1" t="s">
        <v>12</v>
      </c>
      <c r="E1319" s="1">
        <v>400.67</v>
      </c>
      <c r="F1319" s="1">
        <v>2</v>
      </c>
      <c r="G1319" s="1">
        <v>801.34</v>
      </c>
      <c r="H1319" s="1" t="s">
        <v>389</v>
      </c>
    </row>
    <row r="1320" spans="1:8" x14ac:dyDescent="0.35">
      <c r="A1320" s="2">
        <v>45010.089583333334</v>
      </c>
      <c r="B1320" s="3">
        <v>8.2858796296296292E-2</v>
      </c>
      <c r="C1320" s="1" t="s">
        <v>8</v>
      </c>
      <c r="D1320" s="1" t="s">
        <v>12</v>
      </c>
      <c r="E1320" s="1">
        <v>272.14999999999998</v>
      </c>
      <c r="F1320" s="1">
        <v>3</v>
      </c>
      <c r="G1320" s="1">
        <v>816.45</v>
      </c>
      <c r="H1320" s="1" t="s">
        <v>109</v>
      </c>
    </row>
    <row r="1321" spans="1:8" x14ac:dyDescent="0.35">
      <c r="A1321" s="2">
        <v>45029.805555555555</v>
      </c>
      <c r="B1321" s="3">
        <v>0.7732175925925926</v>
      </c>
      <c r="C1321" s="1" t="s">
        <v>14</v>
      </c>
      <c r="D1321" s="1" t="s">
        <v>20</v>
      </c>
      <c r="E1321" s="1">
        <v>404.13</v>
      </c>
      <c r="F1321" s="1">
        <v>2</v>
      </c>
      <c r="G1321" s="1">
        <v>808.26</v>
      </c>
      <c r="H1321" s="1" t="s">
        <v>157</v>
      </c>
    </row>
    <row r="1322" spans="1:8" x14ac:dyDescent="0.35">
      <c r="A1322" s="2">
        <v>45219.225694444445</v>
      </c>
      <c r="B1322" s="3">
        <v>0.6520717592592592</v>
      </c>
      <c r="C1322" s="1" t="s">
        <v>14</v>
      </c>
      <c r="D1322" s="1" t="s">
        <v>9</v>
      </c>
      <c r="E1322" s="1">
        <v>188.57</v>
      </c>
      <c r="F1322" s="1">
        <v>2</v>
      </c>
      <c r="G1322" s="1">
        <v>377.14</v>
      </c>
      <c r="H1322" s="1" t="s">
        <v>56</v>
      </c>
    </row>
    <row r="1323" spans="1:8" x14ac:dyDescent="0.35">
      <c r="A1323" s="2">
        <v>45531.15347222222</v>
      </c>
      <c r="B1323" s="3">
        <v>0.47891203703703705</v>
      </c>
      <c r="C1323" s="1" t="s">
        <v>14</v>
      </c>
      <c r="D1323" s="1" t="s">
        <v>9</v>
      </c>
      <c r="E1323" s="1">
        <v>358.42</v>
      </c>
      <c r="F1323" s="1">
        <v>3</v>
      </c>
      <c r="G1323" s="1">
        <v>1075.26</v>
      </c>
      <c r="H1323" s="1" t="s">
        <v>366</v>
      </c>
    </row>
    <row r="1324" spans="1:8" x14ac:dyDescent="0.35">
      <c r="A1324" s="2">
        <v>45560.800694444442</v>
      </c>
      <c r="B1324" s="3">
        <v>0.74373842592592598</v>
      </c>
      <c r="C1324" s="1" t="s">
        <v>8</v>
      </c>
      <c r="D1324" s="1" t="s">
        <v>20</v>
      </c>
      <c r="E1324" s="1">
        <v>410.89</v>
      </c>
      <c r="F1324" s="1">
        <v>5</v>
      </c>
      <c r="G1324" s="1">
        <v>2054.4499999999998</v>
      </c>
      <c r="H1324" s="1" t="s">
        <v>156</v>
      </c>
    </row>
    <row r="1325" spans="1:8" x14ac:dyDescent="0.35">
      <c r="A1325" s="2">
        <v>45363.006944444445</v>
      </c>
      <c r="B1325" s="3">
        <v>0.20785879629629631</v>
      </c>
      <c r="C1325" s="1" t="s">
        <v>11</v>
      </c>
      <c r="D1325" s="1" t="s">
        <v>9</v>
      </c>
      <c r="E1325" s="1">
        <v>43.94</v>
      </c>
      <c r="F1325" s="1">
        <v>4</v>
      </c>
      <c r="G1325" s="1">
        <v>175.76</v>
      </c>
      <c r="H1325" s="1" t="s">
        <v>62</v>
      </c>
    </row>
    <row r="1326" spans="1:8" x14ac:dyDescent="0.35">
      <c r="A1326" s="2">
        <v>45380.797222222223</v>
      </c>
      <c r="B1326" s="3">
        <v>0.69628472222222226</v>
      </c>
      <c r="C1326" s="1" t="s">
        <v>8</v>
      </c>
      <c r="D1326" s="1" t="s">
        <v>16</v>
      </c>
      <c r="E1326" s="1">
        <v>283.19</v>
      </c>
      <c r="F1326" s="1">
        <v>1</v>
      </c>
      <c r="G1326" s="1">
        <v>283.19</v>
      </c>
      <c r="H1326" s="1" t="s">
        <v>189</v>
      </c>
    </row>
    <row r="1327" spans="1:8" x14ac:dyDescent="0.35">
      <c r="A1327" s="2">
        <v>45252.668749999997</v>
      </c>
      <c r="B1327" s="3">
        <v>0.5934490740740741</v>
      </c>
      <c r="C1327" s="1" t="s">
        <v>14</v>
      </c>
      <c r="D1327" s="1" t="s">
        <v>27</v>
      </c>
      <c r="E1327" s="1">
        <v>142.88999999999999</v>
      </c>
      <c r="F1327" s="1">
        <v>3</v>
      </c>
      <c r="G1327" s="1">
        <v>428.67</v>
      </c>
      <c r="H1327" s="1" t="s">
        <v>163</v>
      </c>
    </row>
    <row r="1328" spans="1:8" x14ac:dyDescent="0.35">
      <c r="A1328" s="2">
        <v>45421.029166666667</v>
      </c>
      <c r="B1328" s="3">
        <v>0.66171296296296289</v>
      </c>
      <c r="C1328" s="1" t="s">
        <v>8</v>
      </c>
      <c r="D1328" s="1" t="s">
        <v>9</v>
      </c>
      <c r="E1328" s="1">
        <v>388.09</v>
      </c>
      <c r="F1328" s="1">
        <v>5</v>
      </c>
      <c r="G1328" s="1">
        <v>1940.45</v>
      </c>
      <c r="H1328" s="1" t="s">
        <v>363</v>
      </c>
    </row>
    <row r="1329" spans="1:8" x14ac:dyDescent="0.35">
      <c r="A1329" s="2">
        <v>45192.974999999999</v>
      </c>
      <c r="B1329" s="3">
        <v>0.15623842592592593</v>
      </c>
      <c r="C1329" s="1" t="s">
        <v>11</v>
      </c>
      <c r="D1329" s="1" t="s">
        <v>12</v>
      </c>
      <c r="E1329" s="1">
        <v>407.51</v>
      </c>
      <c r="F1329" s="1">
        <v>4</v>
      </c>
      <c r="G1329" s="1">
        <v>1630.04</v>
      </c>
      <c r="H1329" s="1" t="s">
        <v>144</v>
      </c>
    </row>
    <row r="1330" spans="1:8" x14ac:dyDescent="0.35">
      <c r="A1330" s="2">
        <v>45146.464583333334</v>
      </c>
      <c r="B1330" s="3">
        <v>0.65184027777777775</v>
      </c>
      <c r="C1330" s="1" t="s">
        <v>11</v>
      </c>
      <c r="D1330" s="1" t="s">
        <v>12</v>
      </c>
      <c r="E1330" s="1">
        <v>279.61</v>
      </c>
      <c r="F1330" s="1">
        <v>2</v>
      </c>
      <c r="G1330" s="1">
        <v>559.22</v>
      </c>
      <c r="H1330" s="1" t="s">
        <v>181</v>
      </c>
    </row>
    <row r="1331" spans="1:8" x14ac:dyDescent="0.35">
      <c r="A1331" s="2">
        <v>45570.76666666667</v>
      </c>
      <c r="B1331" s="3">
        <v>0.42224537037037035</v>
      </c>
      <c r="C1331" s="1" t="s">
        <v>11</v>
      </c>
      <c r="D1331" s="1" t="s">
        <v>27</v>
      </c>
      <c r="E1331" s="1">
        <v>334.28</v>
      </c>
      <c r="F1331" s="1">
        <v>1</v>
      </c>
      <c r="G1331" s="1">
        <v>334.28</v>
      </c>
      <c r="H1331" s="1" t="s">
        <v>84</v>
      </c>
    </row>
    <row r="1332" spans="1:8" x14ac:dyDescent="0.35">
      <c r="A1332" s="2">
        <v>45346.15902777778</v>
      </c>
      <c r="B1332" s="3">
        <v>0.63072916666666667</v>
      </c>
      <c r="C1332" s="1" t="s">
        <v>8</v>
      </c>
      <c r="D1332" s="1" t="s">
        <v>20</v>
      </c>
      <c r="E1332" s="1">
        <v>292.64999999999998</v>
      </c>
      <c r="F1332" s="1">
        <v>4</v>
      </c>
      <c r="G1332" s="1">
        <v>1170.5999999999999</v>
      </c>
      <c r="H1332" s="1" t="s">
        <v>325</v>
      </c>
    </row>
    <row r="1333" spans="1:8" x14ac:dyDescent="0.35">
      <c r="A1333" s="2">
        <v>45526.684027777781</v>
      </c>
      <c r="B1333" s="3">
        <v>0.31083333333333335</v>
      </c>
      <c r="C1333" s="1" t="s">
        <v>8</v>
      </c>
      <c r="D1333" s="1" t="s">
        <v>20</v>
      </c>
      <c r="E1333" s="1">
        <v>361.9</v>
      </c>
      <c r="F1333" s="1">
        <v>1</v>
      </c>
      <c r="G1333" s="1">
        <v>361.9</v>
      </c>
      <c r="H1333" s="1" t="s">
        <v>127</v>
      </c>
    </row>
    <row r="1334" spans="1:8" x14ac:dyDescent="0.35">
      <c r="A1334" s="2">
        <v>45206.45416666667</v>
      </c>
      <c r="B1334" s="3">
        <v>0.16284722222222223</v>
      </c>
      <c r="C1334" s="1" t="s">
        <v>11</v>
      </c>
      <c r="D1334" s="1" t="s">
        <v>27</v>
      </c>
      <c r="E1334" s="1">
        <v>107.64</v>
      </c>
      <c r="F1334" s="1">
        <v>3</v>
      </c>
      <c r="G1334" s="1">
        <v>322.92</v>
      </c>
      <c r="H1334" s="1" t="s">
        <v>252</v>
      </c>
    </row>
    <row r="1335" spans="1:8" x14ac:dyDescent="0.35">
      <c r="A1335" s="2">
        <v>44967.115277777775</v>
      </c>
      <c r="B1335" s="3">
        <v>0.61751157407407409</v>
      </c>
      <c r="C1335" s="1" t="s">
        <v>8</v>
      </c>
      <c r="D1335" s="1" t="s">
        <v>16</v>
      </c>
      <c r="E1335" s="1">
        <v>161.47</v>
      </c>
      <c r="F1335" s="1">
        <v>5</v>
      </c>
      <c r="G1335" s="1">
        <v>807.35</v>
      </c>
      <c r="H1335" s="1" t="s">
        <v>266</v>
      </c>
    </row>
    <row r="1336" spans="1:8" x14ac:dyDescent="0.35">
      <c r="A1336" s="2">
        <v>45378.090277777781</v>
      </c>
      <c r="B1336" s="3">
        <v>0.87467592592592591</v>
      </c>
      <c r="C1336" s="1" t="s">
        <v>11</v>
      </c>
      <c r="D1336" s="1" t="s">
        <v>12</v>
      </c>
      <c r="E1336" s="1">
        <v>149.16</v>
      </c>
      <c r="F1336" s="1">
        <v>5</v>
      </c>
      <c r="G1336" s="1">
        <v>745.8</v>
      </c>
      <c r="H1336" s="1" t="s">
        <v>228</v>
      </c>
    </row>
    <row r="1337" spans="1:8" x14ac:dyDescent="0.35">
      <c r="A1337" s="2">
        <v>45504.4</v>
      </c>
      <c r="B1337" s="3">
        <v>0.7300578703703704</v>
      </c>
      <c r="C1337" s="1" t="s">
        <v>8</v>
      </c>
      <c r="D1337" s="1" t="s">
        <v>9</v>
      </c>
      <c r="E1337" s="1">
        <v>238.48</v>
      </c>
      <c r="F1337" s="1">
        <v>1</v>
      </c>
      <c r="G1337" s="1">
        <v>238.48</v>
      </c>
      <c r="H1337" s="1" t="s">
        <v>321</v>
      </c>
    </row>
    <row r="1338" spans="1:8" x14ac:dyDescent="0.35">
      <c r="A1338" s="2">
        <v>45132.541666666664</v>
      </c>
      <c r="B1338" s="3">
        <v>0.28046296296296297</v>
      </c>
      <c r="C1338" s="1" t="s">
        <v>11</v>
      </c>
      <c r="D1338" s="1" t="s">
        <v>20</v>
      </c>
      <c r="E1338" s="1">
        <v>336.61</v>
      </c>
      <c r="F1338" s="1">
        <v>1</v>
      </c>
      <c r="G1338" s="1">
        <v>336.61</v>
      </c>
      <c r="H1338" s="1" t="s">
        <v>404</v>
      </c>
    </row>
    <row r="1339" spans="1:8" x14ac:dyDescent="0.35">
      <c r="A1339" s="2">
        <v>44927.46597222222</v>
      </c>
      <c r="B1339" s="3">
        <v>0.75229166666666669</v>
      </c>
      <c r="C1339" s="1" t="s">
        <v>14</v>
      </c>
      <c r="D1339" s="1" t="s">
        <v>12</v>
      </c>
      <c r="E1339" s="1">
        <v>20.3</v>
      </c>
      <c r="F1339" s="1">
        <v>3</v>
      </c>
      <c r="G1339" s="1">
        <v>60.9</v>
      </c>
      <c r="H1339" s="1" t="s">
        <v>360</v>
      </c>
    </row>
    <row r="1340" spans="1:8" x14ac:dyDescent="0.35">
      <c r="A1340" s="2">
        <v>45390.381944444445</v>
      </c>
      <c r="B1340" s="3">
        <v>0.18949074074074077</v>
      </c>
      <c r="C1340" s="1" t="s">
        <v>8</v>
      </c>
      <c r="D1340" s="1" t="s">
        <v>20</v>
      </c>
      <c r="E1340" s="1">
        <v>393.41</v>
      </c>
      <c r="F1340" s="1">
        <v>5</v>
      </c>
      <c r="G1340" s="1">
        <v>1967.05</v>
      </c>
      <c r="H1340" s="1" t="s">
        <v>21</v>
      </c>
    </row>
    <row r="1341" spans="1:8" x14ac:dyDescent="0.35">
      <c r="A1341" s="2">
        <v>44930.808333333334</v>
      </c>
      <c r="B1341" s="3">
        <v>0.709050925925926</v>
      </c>
      <c r="C1341" s="1" t="s">
        <v>14</v>
      </c>
      <c r="D1341" s="1" t="s">
        <v>12</v>
      </c>
      <c r="E1341" s="1">
        <v>388.25</v>
      </c>
      <c r="F1341" s="1">
        <v>5</v>
      </c>
      <c r="G1341" s="1">
        <v>1941.25</v>
      </c>
      <c r="H1341" s="1" t="s">
        <v>330</v>
      </c>
    </row>
    <row r="1342" spans="1:8" x14ac:dyDescent="0.35">
      <c r="A1342" s="2">
        <v>45140.956944444442</v>
      </c>
      <c r="B1342" s="3">
        <v>0.51474537037037038</v>
      </c>
      <c r="C1342" s="1" t="s">
        <v>14</v>
      </c>
      <c r="D1342" s="1" t="s">
        <v>27</v>
      </c>
      <c r="E1342" s="1">
        <v>143.91999999999999</v>
      </c>
      <c r="F1342" s="1">
        <v>5</v>
      </c>
      <c r="G1342" s="1">
        <v>719.6</v>
      </c>
      <c r="H1342" s="1" t="s">
        <v>157</v>
      </c>
    </row>
    <row r="1343" spans="1:8" x14ac:dyDescent="0.35">
      <c r="A1343" s="2">
        <v>45473.536805555559</v>
      </c>
      <c r="B1343" s="3">
        <v>0.12229166666666667</v>
      </c>
      <c r="C1343" s="1" t="s">
        <v>8</v>
      </c>
      <c r="D1343" s="1" t="s">
        <v>9</v>
      </c>
      <c r="E1343" s="1">
        <v>205.64</v>
      </c>
      <c r="F1343" s="1">
        <v>3</v>
      </c>
      <c r="G1343" s="1">
        <v>616.91999999999996</v>
      </c>
      <c r="H1343" s="1" t="s">
        <v>192</v>
      </c>
    </row>
    <row r="1344" spans="1:8" x14ac:dyDescent="0.35">
      <c r="A1344" s="2">
        <v>45612.046527777777</v>
      </c>
      <c r="B1344" s="3">
        <v>0.70047453703703699</v>
      </c>
      <c r="C1344" s="1" t="s">
        <v>11</v>
      </c>
      <c r="D1344" s="1" t="s">
        <v>9</v>
      </c>
      <c r="E1344" s="1">
        <v>89.34</v>
      </c>
      <c r="F1344" s="1">
        <v>5</v>
      </c>
      <c r="G1344" s="1">
        <v>446.7</v>
      </c>
      <c r="H1344" s="1" t="s">
        <v>304</v>
      </c>
    </row>
    <row r="1345" spans="1:8" x14ac:dyDescent="0.35">
      <c r="A1345" s="2">
        <v>45445.930555555555</v>
      </c>
      <c r="B1345" s="3">
        <v>0.66667824074074078</v>
      </c>
      <c r="C1345" s="1" t="s">
        <v>14</v>
      </c>
      <c r="D1345" s="1" t="s">
        <v>16</v>
      </c>
      <c r="E1345" s="1">
        <v>410.28</v>
      </c>
      <c r="F1345" s="1">
        <v>3</v>
      </c>
      <c r="G1345" s="1">
        <v>1230.8399999999999</v>
      </c>
      <c r="H1345" s="1" t="s">
        <v>269</v>
      </c>
    </row>
    <row r="1346" spans="1:8" x14ac:dyDescent="0.35">
      <c r="A1346" s="2">
        <v>45188.938888888886</v>
      </c>
      <c r="B1346" s="3">
        <v>0.51119212962962968</v>
      </c>
      <c r="C1346" s="1" t="s">
        <v>14</v>
      </c>
      <c r="D1346" s="1" t="s">
        <v>27</v>
      </c>
      <c r="E1346" s="1">
        <v>334.7</v>
      </c>
      <c r="F1346" s="1">
        <v>2</v>
      </c>
      <c r="G1346" s="1">
        <v>669.4</v>
      </c>
      <c r="H1346" s="1" t="s">
        <v>257</v>
      </c>
    </row>
    <row r="1347" spans="1:8" x14ac:dyDescent="0.35">
      <c r="A1347" s="2">
        <v>45557.490277777775</v>
      </c>
      <c r="B1347" s="3">
        <v>0.27141203703703703</v>
      </c>
      <c r="C1347" s="1" t="s">
        <v>14</v>
      </c>
      <c r="D1347" s="1" t="s">
        <v>27</v>
      </c>
      <c r="E1347" s="1">
        <v>485.86</v>
      </c>
      <c r="F1347" s="1">
        <v>1</v>
      </c>
      <c r="G1347" s="1">
        <v>485.86</v>
      </c>
      <c r="H1347" s="1" t="s">
        <v>221</v>
      </c>
    </row>
    <row r="1348" spans="1:8" x14ac:dyDescent="0.35">
      <c r="A1348" s="2">
        <v>45665.421527777777</v>
      </c>
      <c r="B1348" s="3">
        <v>0.5353472222222222</v>
      </c>
      <c r="C1348" s="1" t="s">
        <v>8</v>
      </c>
      <c r="D1348" s="1" t="s">
        <v>16</v>
      </c>
      <c r="E1348" s="1">
        <v>342.11</v>
      </c>
      <c r="F1348" s="1">
        <v>2</v>
      </c>
      <c r="G1348" s="1">
        <v>684.22</v>
      </c>
      <c r="H1348" s="1" t="s">
        <v>207</v>
      </c>
    </row>
    <row r="1349" spans="1:8" x14ac:dyDescent="0.35">
      <c r="A1349" s="2">
        <v>45093.487500000003</v>
      </c>
      <c r="B1349" s="3">
        <v>3.172453703703703E-2</v>
      </c>
      <c r="C1349" s="1" t="s">
        <v>8</v>
      </c>
      <c r="D1349" s="1" t="s">
        <v>16</v>
      </c>
      <c r="E1349" s="1">
        <v>380.23</v>
      </c>
      <c r="F1349" s="1">
        <v>5</v>
      </c>
      <c r="G1349" s="1">
        <v>1901.15</v>
      </c>
      <c r="H1349" s="1" t="s">
        <v>325</v>
      </c>
    </row>
    <row r="1350" spans="1:8" x14ac:dyDescent="0.35">
      <c r="A1350" s="2">
        <v>45494.254861111112</v>
      </c>
      <c r="B1350" s="3">
        <v>0.61564814814814817</v>
      </c>
      <c r="C1350" s="1" t="s">
        <v>8</v>
      </c>
      <c r="D1350" s="1" t="s">
        <v>16</v>
      </c>
      <c r="E1350" s="1">
        <v>113.32</v>
      </c>
      <c r="F1350" s="1">
        <v>2</v>
      </c>
      <c r="G1350" s="1">
        <v>226.64</v>
      </c>
      <c r="H1350" s="1" t="s">
        <v>250</v>
      </c>
    </row>
    <row r="1351" spans="1:8" x14ac:dyDescent="0.35">
      <c r="A1351" s="2">
        <v>45190.910416666666</v>
      </c>
      <c r="B1351" s="3">
        <v>0.66651620370370368</v>
      </c>
      <c r="C1351" s="1" t="s">
        <v>8</v>
      </c>
      <c r="D1351" s="1" t="s">
        <v>12</v>
      </c>
      <c r="E1351" s="1">
        <v>33.25</v>
      </c>
      <c r="F1351" s="1">
        <v>1</v>
      </c>
      <c r="G1351" s="1">
        <v>33.25</v>
      </c>
      <c r="H1351" s="1" t="s">
        <v>395</v>
      </c>
    </row>
    <row r="1352" spans="1:8" x14ac:dyDescent="0.35">
      <c r="A1352" s="2">
        <v>44975.436805555553</v>
      </c>
      <c r="B1352" s="3">
        <v>0.12017361111111112</v>
      </c>
      <c r="C1352" s="1" t="s">
        <v>11</v>
      </c>
      <c r="D1352" s="1" t="s">
        <v>20</v>
      </c>
      <c r="E1352" s="1">
        <v>425.62</v>
      </c>
      <c r="F1352" s="1">
        <v>2</v>
      </c>
      <c r="G1352" s="1">
        <v>851.24</v>
      </c>
      <c r="H1352" s="1" t="s">
        <v>302</v>
      </c>
    </row>
    <row r="1353" spans="1:8" x14ac:dyDescent="0.35">
      <c r="A1353" s="2">
        <v>45397.817361111112</v>
      </c>
      <c r="B1353" s="3">
        <v>0.30111111111111111</v>
      </c>
      <c r="C1353" s="1" t="s">
        <v>8</v>
      </c>
      <c r="D1353" s="1" t="s">
        <v>27</v>
      </c>
      <c r="E1353" s="1">
        <v>423.28</v>
      </c>
      <c r="F1353" s="1">
        <v>1</v>
      </c>
      <c r="G1353" s="1">
        <v>423.28</v>
      </c>
      <c r="H1353" s="1" t="s">
        <v>159</v>
      </c>
    </row>
    <row r="1354" spans="1:8" x14ac:dyDescent="0.35">
      <c r="A1354" s="2">
        <v>45098.081944444442</v>
      </c>
      <c r="B1354" s="3">
        <v>0.56515046296296301</v>
      </c>
      <c r="C1354" s="1" t="s">
        <v>8</v>
      </c>
      <c r="D1354" s="1" t="s">
        <v>9</v>
      </c>
      <c r="E1354" s="1">
        <v>34.630000000000003</v>
      </c>
      <c r="F1354" s="1">
        <v>3</v>
      </c>
      <c r="G1354" s="1">
        <v>103.89</v>
      </c>
      <c r="H1354" s="1" t="s">
        <v>201</v>
      </c>
    </row>
    <row r="1355" spans="1:8" x14ac:dyDescent="0.35">
      <c r="A1355" s="2">
        <v>45623.535416666666</v>
      </c>
      <c r="B1355" s="3">
        <v>0.92859953703703713</v>
      </c>
      <c r="C1355" s="1" t="s">
        <v>11</v>
      </c>
      <c r="D1355" s="1" t="s">
        <v>27</v>
      </c>
      <c r="E1355" s="1">
        <v>12.1</v>
      </c>
      <c r="F1355" s="1">
        <v>2</v>
      </c>
      <c r="G1355" s="1">
        <v>24.2</v>
      </c>
      <c r="H1355" s="1" t="s">
        <v>306</v>
      </c>
    </row>
    <row r="1356" spans="1:8" x14ac:dyDescent="0.35">
      <c r="A1356" s="2">
        <v>45131.375694444447</v>
      </c>
      <c r="B1356" s="3">
        <v>0.79027777777777775</v>
      </c>
      <c r="C1356" s="1" t="s">
        <v>14</v>
      </c>
      <c r="D1356" s="1" t="s">
        <v>12</v>
      </c>
      <c r="E1356" s="1">
        <v>373.29</v>
      </c>
      <c r="F1356" s="1">
        <v>3</v>
      </c>
      <c r="G1356" s="1">
        <v>1119.8699999999999</v>
      </c>
      <c r="H1356" s="1" t="s">
        <v>183</v>
      </c>
    </row>
    <row r="1357" spans="1:8" x14ac:dyDescent="0.35">
      <c r="A1357" s="2">
        <v>45170.417361111111</v>
      </c>
      <c r="B1357" s="3">
        <v>0.11326388888888889</v>
      </c>
      <c r="C1357" s="1" t="s">
        <v>14</v>
      </c>
      <c r="D1357" s="1" t="s">
        <v>12</v>
      </c>
      <c r="E1357" s="1">
        <v>410.57</v>
      </c>
      <c r="F1357" s="1">
        <v>2</v>
      </c>
      <c r="G1357" s="1">
        <v>821.14</v>
      </c>
      <c r="H1357" s="1" t="s">
        <v>194</v>
      </c>
    </row>
    <row r="1358" spans="1:8" x14ac:dyDescent="0.35">
      <c r="A1358" s="2">
        <v>44951.347222222219</v>
      </c>
      <c r="B1358" s="3">
        <v>0.47648148148148151</v>
      </c>
      <c r="C1358" s="1" t="s">
        <v>8</v>
      </c>
      <c r="D1358" s="1" t="s">
        <v>27</v>
      </c>
      <c r="E1358" s="1">
        <v>183.84</v>
      </c>
      <c r="F1358" s="1">
        <v>4</v>
      </c>
      <c r="G1358" s="1">
        <v>735.36</v>
      </c>
      <c r="H1358" s="1" t="s">
        <v>167</v>
      </c>
    </row>
    <row r="1359" spans="1:8" x14ac:dyDescent="0.35">
      <c r="A1359" s="2">
        <v>45528.463888888888</v>
      </c>
      <c r="B1359" s="3">
        <v>0.53866898148148146</v>
      </c>
      <c r="C1359" s="1" t="s">
        <v>11</v>
      </c>
      <c r="D1359" s="1" t="s">
        <v>27</v>
      </c>
      <c r="E1359" s="1">
        <v>173.04</v>
      </c>
      <c r="F1359" s="1">
        <v>2</v>
      </c>
      <c r="G1359" s="1">
        <v>346.08</v>
      </c>
      <c r="H1359" s="1" t="s">
        <v>10</v>
      </c>
    </row>
    <row r="1360" spans="1:8" x14ac:dyDescent="0.35">
      <c r="A1360" s="2">
        <v>44963.470833333333</v>
      </c>
      <c r="B1360" s="3">
        <v>0.87894675925925936</v>
      </c>
      <c r="C1360" s="1" t="s">
        <v>14</v>
      </c>
      <c r="D1360" s="1" t="s">
        <v>27</v>
      </c>
      <c r="E1360" s="1">
        <v>12.94</v>
      </c>
      <c r="F1360" s="1">
        <v>3</v>
      </c>
      <c r="G1360" s="1">
        <v>38.82</v>
      </c>
      <c r="H1360" s="1" t="s">
        <v>261</v>
      </c>
    </row>
    <row r="1361" spans="1:8" x14ac:dyDescent="0.35">
      <c r="A1361" s="2">
        <v>45029.040277777778</v>
      </c>
      <c r="B1361" s="3">
        <v>0.18313657407407405</v>
      </c>
      <c r="C1361" s="1" t="s">
        <v>8</v>
      </c>
      <c r="D1361" s="1" t="s">
        <v>27</v>
      </c>
      <c r="E1361" s="1">
        <v>23.46</v>
      </c>
      <c r="F1361" s="1">
        <v>4</v>
      </c>
      <c r="G1361" s="1">
        <v>93.84</v>
      </c>
      <c r="H1361" s="1" t="s">
        <v>208</v>
      </c>
    </row>
    <row r="1362" spans="1:8" x14ac:dyDescent="0.35">
      <c r="A1362" s="2">
        <v>45088.211111111108</v>
      </c>
      <c r="B1362" s="3">
        <v>0.80737268518518512</v>
      </c>
      <c r="C1362" s="1" t="s">
        <v>8</v>
      </c>
      <c r="D1362" s="1" t="s">
        <v>12</v>
      </c>
      <c r="E1362" s="1">
        <v>494.22</v>
      </c>
      <c r="F1362" s="1">
        <v>5</v>
      </c>
      <c r="G1362" s="1">
        <v>2471.1</v>
      </c>
      <c r="H1362" s="1" t="s">
        <v>192</v>
      </c>
    </row>
    <row r="1363" spans="1:8" x14ac:dyDescent="0.35">
      <c r="A1363" s="2">
        <v>45425.349305555559</v>
      </c>
      <c r="B1363" s="3">
        <v>0.91222222222222227</v>
      </c>
      <c r="C1363" s="1" t="s">
        <v>14</v>
      </c>
      <c r="D1363" s="1" t="s">
        <v>27</v>
      </c>
      <c r="E1363" s="1">
        <v>385.12</v>
      </c>
      <c r="F1363" s="1">
        <v>3</v>
      </c>
      <c r="G1363" s="1">
        <v>1155.3599999999999</v>
      </c>
      <c r="H1363" s="1" t="s">
        <v>80</v>
      </c>
    </row>
    <row r="1364" spans="1:8" x14ac:dyDescent="0.35">
      <c r="A1364" s="2">
        <v>45228.609722222223</v>
      </c>
      <c r="B1364" s="3">
        <v>0.35348379629629628</v>
      </c>
      <c r="C1364" s="1" t="s">
        <v>8</v>
      </c>
      <c r="D1364" s="1" t="s">
        <v>27</v>
      </c>
      <c r="E1364" s="1">
        <v>246.48</v>
      </c>
      <c r="F1364" s="1">
        <v>4</v>
      </c>
      <c r="G1364" s="1">
        <v>985.92</v>
      </c>
      <c r="H1364" s="1" t="s">
        <v>53</v>
      </c>
    </row>
    <row r="1365" spans="1:8" x14ac:dyDescent="0.35">
      <c r="A1365" s="2">
        <v>45623.89166666667</v>
      </c>
      <c r="B1365" s="3">
        <v>0.23517361111111112</v>
      </c>
      <c r="C1365" s="1" t="s">
        <v>14</v>
      </c>
      <c r="D1365" s="1" t="s">
        <v>12</v>
      </c>
      <c r="E1365" s="1">
        <v>292.58</v>
      </c>
      <c r="F1365" s="1">
        <v>2</v>
      </c>
      <c r="G1365" s="1">
        <v>585.16</v>
      </c>
      <c r="H1365" s="1" t="s">
        <v>326</v>
      </c>
    </row>
    <row r="1366" spans="1:8" x14ac:dyDescent="0.35">
      <c r="A1366" s="2">
        <v>45004.660416666666</v>
      </c>
      <c r="B1366" s="3">
        <v>0.43059027777777775</v>
      </c>
      <c r="C1366" s="1" t="s">
        <v>11</v>
      </c>
      <c r="D1366" s="1" t="s">
        <v>9</v>
      </c>
      <c r="E1366" s="1">
        <v>24.73</v>
      </c>
      <c r="F1366" s="1">
        <v>3</v>
      </c>
      <c r="G1366" s="1">
        <v>74.19</v>
      </c>
      <c r="H1366" s="1" t="s">
        <v>390</v>
      </c>
    </row>
    <row r="1367" spans="1:8" x14ac:dyDescent="0.35">
      <c r="A1367" s="2">
        <v>45655.786111111112</v>
      </c>
      <c r="B1367" s="3">
        <v>0.52765046296296292</v>
      </c>
      <c r="C1367" s="1" t="s">
        <v>8</v>
      </c>
      <c r="D1367" s="1" t="s">
        <v>27</v>
      </c>
      <c r="E1367" s="1">
        <v>189.16</v>
      </c>
      <c r="F1367" s="1">
        <v>5</v>
      </c>
      <c r="G1367" s="1">
        <v>945.8</v>
      </c>
      <c r="H1367" s="1" t="s">
        <v>219</v>
      </c>
    </row>
    <row r="1368" spans="1:8" x14ac:dyDescent="0.35">
      <c r="A1368" s="2">
        <v>45045.595138888886</v>
      </c>
      <c r="B1368" s="3">
        <v>0.96567129629629633</v>
      </c>
      <c r="C1368" s="1" t="s">
        <v>14</v>
      </c>
      <c r="D1368" s="1" t="s">
        <v>16</v>
      </c>
      <c r="E1368" s="1">
        <v>126.19</v>
      </c>
      <c r="F1368" s="1">
        <v>3</v>
      </c>
      <c r="G1368" s="1">
        <v>378.57</v>
      </c>
      <c r="H1368" s="1" t="s">
        <v>357</v>
      </c>
    </row>
    <row r="1369" spans="1:8" x14ac:dyDescent="0.35">
      <c r="A1369" s="2">
        <v>45417.270138888889</v>
      </c>
      <c r="B1369" s="3">
        <v>0.62268518518518523</v>
      </c>
      <c r="C1369" s="1" t="s">
        <v>14</v>
      </c>
      <c r="D1369" s="1" t="s">
        <v>9</v>
      </c>
      <c r="E1369" s="1">
        <v>394.67</v>
      </c>
      <c r="F1369" s="1">
        <v>2</v>
      </c>
      <c r="G1369" s="1">
        <v>789.34</v>
      </c>
      <c r="H1369" s="1" t="s">
        <v>23</v>
      </c>
    </row>
    <row r="1370" spans="1:8" x14ac:dyDescent="0.35">
      <c r="A1370" s="2">
        <v>45302.970138888886</v>
      </c>
      <c r="B1370" s="3">
        <v>5.1643518518518526E-2</v>
      </c>
      <c r="C1370" s="1" t="s">
        <v>8</v>
      </c>
      <c r="D1370" s="1" t="s">
        <v>9</v>
      </c>
      <c r="E1370" s="1">
        <v>68.61</v>
      </c>
      <c r="F1370" s="1">
        <v>4</v>
      </c>
      <c r="G1370" s="1">
        <v>274.44</v>
      </c>
      <c r="H1370" s="1" t="s">
        <v>323</v>
      </c>
    </row>
    <row r="1371" spans="1:8" x14ac:dyDescent="0.35">
      <c r="A1371" s="2">
        <v>45192.602083333331</v>
      </c>
      <c r="B1371" s="3">
        <v>0.86082175925925919</v>
      </c>
      <c r="C1371" s="1" t="s">
        <v>11</v>
      </c>
      <c r="D1371" s="1" t="s">
        <v>20</v>
      </c>
      <c r="E1371" s="1">
        <v>190.74</v>
      </c>
      <c r="F1371" s="1">
        <v>1</v>
      </c>
      <c r="G1371" s="1">
        <v>190.74</v>
      </c>
      <c r="H1371" s="1" t="s">
        <v>18</v>
      </c>
    </row>
    <row r="1372" spans="1:8" x14ac:dyDescent="0.35">
      <c r="A1372" s="2">
        <v>45224.084027777775</v>
      </c>
      <c r="B1372" s="3">
        <v>1.8993055555555558E-2</v>
      </c>
      <c r="C1372" s="1" t="s">
        <v>14</v>
      </c>
      <c r="D1372" s="1" t="s">
        <v>16</v>
      </c>
      <c r="E1372" s="1">
        <v>42.37</v>
      </c>
      <c r="F1372" s="1">
        <v>4</v>
      </c>
      <c r="G1372" s="1">
        <v>169.48</v>
      </c>
      <c r="H1372" s="1" t="s">
        <v>320</v>
      </c>
    </row>
    <row r="1373" spans="1:8" x14ac:dyDescent="0.35">
      <c r="A1373" s="2">
        <v>45060.777083333334</v>
      </c>
      <c r="B1373" s="3">
        <v>0.22714120370370372</v>
      </c>
      <c r="C1373" s="1" t="s">
        <v>11</v>
      </c>
      <c r="D1373" s="1" t="s">
        <v>12</v>
      </c>
      <c r="E1373" s="1">
        <v>79.59</v>
      </c>
      <c r="F1373" s="1">
        <v>5</v>
      </c>
      <c r="G1373" s="1">
        <v>397.95</v>
      </c>
      <c r="H1373" s="1" t="s">
        <v>263</v>
      </c>
    </row>
    <row r="1374" spans="1:8" x14ac:dyDescent="0.35">
      <c r="A1374" s="2">
        <v>45234.039583333331</v>
      </c>
      <c r="B1374" s="3">
        <v>0.56791666666666674</v>
      </c>
      <c r="C1374" s="1" t="s">
        <v>8</v>
      </c>
      <c r="D1374" s="1" t="s">
        <v>20</v>
      </c>
      <c r="E1374" s="1">
        <v>278.19</v>
      </c>
      <c r="F1374" s="1">
        <v>4</v>
      </c>
      <c r="G1374" s="1">
        <v>1112.76</v>
      </c>
      <c r="H1374" s="1" t="s">
        <v>371</v>
      </c>
    </row>
    <row r="1375" spans="1:8" x14ac:dyDescent="0.35">
      <c r="A1375" s="2">
        <v>45152.775694444441</v>
      </c>
      <c r="B1375" s="3">
        <v>0.38105324074074076</v>
      </c>
      <c r="C1375" s="1" t="s">
        <v>14</v>
      </c>
      <c r="D1375" s="1" t="s">
        <v>12</v>
      </c>
      <c r="E1375" s="1">
        <v>386.03</v>
      </c>
      <c r="F1375" s="1">
        <v>4</v>
      </c>
      <c r="G1375" s="1">
        <v>1544.12</v>
      </c>
      <c r="H1375" s="1" t="s">
        <v>322</v>
      </c>
    </row>
    <row r="1376" spans="1:8" x14ac:dyDescent="0.35">
      <c r="A1376" s="2">
        <v>44986.754861111112</v>
      </c>
      <c r="B1376" s="3">
        <v>1.0497685185185186E-2</v>
      </c>
      <c r="C1376" s="1" t="s">
        <v>14</v>
      </c>
      <c r="D1376" s="1" t="s">
        <v>16</v>
      </c>
      <c r="E1376" s="1">
        <v>216.48</v>
      </c>
      <c r="F1376" s="1">
        <v>5</v>
      </c>
      <c r="G1376" s="1">
        <v>1082.4000000000001</v>
      </c>
      <c r="H1376" s="1" t="s">
        <v>361</v>
      </c>
    </row>
    <row r="1377" spans="1:8" x14ac:dyDescent="0.35">
      <c r="A1377" s="2">
        <v>45460.524305555555</v>
      </c>
      <c r="B1377" s="3">
        <v>0.33902777777777776</v>
      </c>
      <c r="C1377" s="1" t="s">
        <v>14</v>
      </c>
      <c r="D1377" s="1" t="s">
        <v>16</v>
      </c>
      <c r="E1377" s="1">
        <v>78.209999999999994</v>
      </c>
      <c r="F1377" s="1">
        <v>4</v>
      </c>
      <c r="G1377" s="1">
        <v>312.83999999999997</v>
      </c>
      <c r="H1377" s="1" t="s">
        <v>127</v>
      </c>
    </row>
    <row r="1378" spans="1:8" x14ac:dyDescent="0.35">
      <c r="A1378" s="2">
        <v>45345.710416666669</v>
      </c>
      <c r="B1378" s="3">
        <v>0.51348379629629626</v>
      </c>
      <c r="C1378" s="1" t="s">
        <v>8</v>
      </c>
      <c r="D1378" s="1" t="s">
        <v>27</v>
      </c>
      <c r="E1378" s="1">
        <v>74.88</v>
      </c>
      <c r="F1378" s="1">
        <v>1</v>
      </c>
      <c r="G1378" s="1">
        <v>74.88</v>
      </c>
      <c r="H1378" s="1" t="s">
        <v>139</v>
      </c>
    </row>
    <row r="1379" spans="1:8" x14ac:dyDescent="0.35">
      <c r="A1379" s="2">
        <v>45609.81527777778</v>
      </c>
      <c r="B1379" s="3">
        <v>0.15090277777777777</v>
      </c>
      <c r="C1379" s="1" t="s">
        <v>11</v>
      </c>
      <c r="D1379" s="1" t="s">
        <v>20</v>
      </c>
      <c r="E1379" s="1">
        <v>157.69</v>
      </c>
      <c r="F1379" s="1">
        <v>1</v>
      </c>
      <c r="G1379" s="1">
        <v>157.69</v>
      </c>
      <c r="H1379" s="1" t="s">
        <v>26</v>
      </c>
    </row>
    <row r="1380" spans="1:8" x14ac:dyDescent="0.35">
      <c r="A1380" s="2">
        <v>45656.950694444444</v>
      </c>
      <c r="B1380" s="3">
        <v>0.4607060185185185</v>
      </c>
      <c r="C1380" s="1" t="s">
        <v>11</v>
      </c>
      <c r="D1380" s="1" t="s">
        <v>9</v>
      </c>
      <c r="E1380" s="1">
        <v>460.21</v>
      </c>
      <c r="F1380" s="1">
        <v>4</v>
      </c>
      <c r="G1380" s="1">
        <v>1840.84</v>
      </c>
      <c r="H1380" s="1" t="s">
        <v>342</v>
      </c>
    </row>
    <row r="1381" spans="1:8" x14ac:dyDescent="0.35">
      <c r="A1381" s="2">
        <v>45437.32708333333</v>
      </c>
      <c r="B1381" s="3">
        <v>0.7645601851851852</v>
      </c>
      <c r="C1381" s="1" t="s">
        <v>11</v>
      </c>
      <c r="D1381" s="1" t="s">
        <v>12</v>
      </c>
      <c r="E1381" s="1">
        <v>214.05</v>
      </c>
      <c r="F1381" s="1">
        <v>1</v>
      </c>
      <c r="G1381" s="1">
        <v>214.05</v>
      </c>
      <c r="H1381" s="1" t="s">
        <v>307</v>
      </c>
    </row>
    <row r="1382" spans="1:8" x14ac:dyDescent="0.35">
      <c r="A1382" s="2">
        <v>45035.76458333333</v>
      </c>
      <c r="B1382" s="3">
        <v>0.74006944444444445</v>
      </c>
      <c r="C1382" s="1" t="s">
        <v>8</v>
      </c>
      <c r="D1382" s="1" t="s">
        <v>27</v>
      </c>
      <c r="E1382" s="1">
        <v>326.33999999999997</v>
      </c>
      <c r="F1382" s="1">
        <v>5</v>
      </c>
      <c r="G1382" s="1">
        <v>1631.7</v>
      </c>
      <c r="H1382" s="1" t="s">
        <v>399</v>
      </c>
    </row>
    <row r="1383" spans="1:8" x14ac:dyDescent="0.35">
      <c r="A1383" s="2">
        <v>45155.779861111114</v>
      </c>
      <c r="B1383" s="3">
        <v>0.11714120370370369</v>
      </c>
      <c r="C1383" s="1" t="s">
        <v>14</v>
      </c>
      <c r="D1383" s="1" t="s">
        <v>16</v>
      </c>
      <c r="E1383" s="1">
        <v>16.920000000000002</v>
      </c>
      <c r="F1383" s="1">
        <v>1</v>
      </c>
      <c r="G1383" s="1">
        <v>16.920000000000002</v>
      </c>
      <c r="H1383" s="1" t="s">
        <v>221</v>
      </c>
    </row>
    <row r="1384" spans="1:8" x14ac:dyDescent="0.35">
      <c r="A1384" s="2">
        <v>44942.65347222222</v>
      </c>
      <c r="B1384" s="3">
        <v>0.54115740740740736</v>
      </c>
      <c r="C1384" s="1" t="s">
        <v>8</v>
      </c>
      <c r="D1384" s="1" t="s">
        <v>16</v>
      </c>
      <c r="E1384" s="1">
        <v>24.19</v>
      </c>
      <c r="F1384" s="1">
        <v>2</v>
      </c>
      <c r="G1384" s="1">
        <v>48.38</v>
      </c>
      <c r="H1384" s="1" t="s">
        <v>277</v>
      </c>
    </row>
    <row r="1385" spans="1:8" x14ac:dyDescent="0.35">
      <c r="A1385" s="2">
        <v>45365.919444444444</v>
      </c>
      <c r="B1385" s="3">
        <v>0.18476851851851853</v>
      </c>
      <c r="C1385" s="1" t="s">
        <v>11</v>
      </c>
      <c r="D1385" s="1" t="s">
        <v>20</v>
      </c>
      <c r="E1385" s="1">
        <v>282.70999999999998</v>
      </c>
      <c r="F1385" s="1">
        <v>2</v>
      </c>
      <c r="G1385" s="1">
        <v>565.41999999999996</v>
      </c>
      <c r="H1385" s="1" t="s">
        <v>390</v>
      </c>
    </row>
    <row r="1386" spans="1:8" x14ac:dyDescent="0.35">
      <c r="A1386" s="2">
        <v>45403.064583333333</v>
      </c>
      <c r="B1386" s="3">
        <v>0.10746527777777777</v>
      </c>
      <c r="C1386" s="1" t="s">
        <v>11</v>
      </c>
      <c r="D1386" s="1" t="s">
        <v>16</v>
      </c>
      <c r="E1386" s="1">
        <v>181.6</v>
      </c>
      <c r="F1386" s="1">
        <v>3</v>
      </c>
      <c r="G1386" s="1">
        <v>544.79999999999995</v>
      </c>
      <c r="H1386" s="1" t="s">
        <v>31</v>
      </c>
    </row>
    <row r="1387" spans="1:8" x14ac:dyDescent="0.35">
      <c r="A1387" s="2">
        <v>45307.920138888891</v>
      </c>
      <c r="B1387" s="3">
        <v>4.836805555555556E-2</v>
      </c>
      <c r="C1387" s="1" t="s">
        <v>8</v>
      </c>
      <c r="D1387" s="1" t="s">
        <v>16</v>
      </c>
      <c r="E1387" s="1">
        <v>39.229999999999997</v>
      </c>
      <c r="F1387" s="1">
        <v>3</v>
      </c>
      <c r="G1387" s="1">
        <v>117.69</v>
      </c>
      <c r="H1387" s="1" t="s">
        <v>81</v>
      </c>
    </row>
    <row r="1388" spans="1:8" x14ac:dyDescent="0.35">
      <c r="A1388" s="2">
        <v>45492.974305555559</v>
      </c>
      <c r="B1388" s="3">
        <v>0.86973379629629621</v>
      </c>
      <c r="C1388" s="1" t="s">
        <v>8</v>
      </c>
      <c r="D1388" s="1" t="s">
        <v>20</v>
      </c>
      <c r="E1388" s="1">
        <v>185.4</v>
      </c>
      <c r="F1388" s="1">
        <v>4</v>
      </c>
      <c r="G1388" s="1">
        <v>741.6</v>
      </c>
      <c r="H1388" s="1" t="s">
        <v>325</v>
      </c>
    </row>
    <row r="1389" spans="1:8" x14ac:dyDescent="0.35">
      <c r="A1389" s="2">
        <v>45235.132638888892</v>
      </c>
      <c r="B1389" s="3">
        <v>0.81752314814814808</v>
      </c>
      <c r="C1389" s="1" t="s">
        <v>14</v>
      </c>
      <c r="D1389" s="1" t="s">
        <v>12</v>
      </c>
      <c r="E1389" s="1">
        <v>107.87</v>
      </c>
      <c r="F1389" s="1">
        <v>1</v>
      </c>
      <c r="G1389" s="1">
        <v>107.87</v>
      </c>
      <c r="H1389" s="1" t="s">
        <v>392</v>
      </c>
    </row>
    <row r="1390" spans="1:8" x14ac:dyDescent="0.35">
      <c r="A1390" s="2">
        <v>45351.122916666667</v>
      </c>
      <c r="B1390" s="3">
        <v>0.34688657407407408</v>
      </c>
      <c r="C1390" s="1" t="s">
        <v>11</v>
      </c>
      <c r="D1390" s="1" t="s">
        <v>27</v>
      </c>
      <c r="E1390" s="1">
        <v>298.02999999999997</v>
      </c>
      <c r="F1390" s="1">
        <v>5</v>
      </c>
      <c r="G1390" s="1">
        <v>1490.15</v>
      </c>
      <c r="H1390" s="1" t="s">
        <v>36</v>
      </c>
    </row>
    <row r="1391" spans="1:8" x14ac:dyDescent="0.35">
      <c r="A1391" s="2">
        <v>45098.453472222223</v>
      </c>
      <c r="B1391" s="3">
        <v>0.34576388888888893</v>
      </c>
      <c r="C1391" s="1" t="s">
        <v>8</v>
      </c>
      <c r="D1391" s="1" t="s">
        <v>9</v>
      </c>
      <c r="E1391" s="1">
        <v>170.13</v>
      </c>
      <c r="F1391" s="1">
        <v>3</v>
      </c>
      <c r="G1391" s="1">
        <v>510.39</v>
      </c>
      <c r="H1391" s="1" t="s">
        <v>102</v>
      </c>
    </row>
    <row r="1392" spans="1:8" x14ac:dyDescent="0.35">
      <c r="A1392" s="2">
        <v>45137.311805555553</v>
      </c>
      <c r="B1392" s="3">
        <v>0.57765046296296296</v>
      </c>
      <c r="C1392" s="1" t="s">
        <v>11</v>
      </c>
      <c r="D1392" s="1" t="s">
        <v>16</v>
      </c>
      <c r="E1392" s="1">
        <v>310.10000000000002</v>
      </c>
      <c r="F1392" s="1">
        <v>3</v>
      </c>
      <c r="G1392" s="1">
        <v>930.3</v>
      </c>
      <c r="H1392" s="1" t="s">
        <v>229</v>
      </c>
    </row>
    <row r="1393" spans="1:8" x14ac:dyDescent="0.35">
      <c r="A1393" s="2">
        <v>45420.150694444441</v>
      </c>
      <c r="B1393" s="3">
        <v>0.25980324074074074</v>
      </c>
      <c r="C1393" s="1" t="s">
        <v>11</v>
      </c>
      <c r="D1393" s="1" t="s">
        <v>12</v>
      </c>
      <c r="E1393" s="1">
        <v>126.17</v>
      </c>
      <c r="F1393" s="1">
        <v>1</v>
      </c>
      <c r="G1393" s="1">
        <v>126.17</v>
      </c>
      <c r="H1393" s="1" t="s">
        <v>102</v>
      </c>
    </row>
    <row r="1394" spans="1:8" x14ac:dyDescent="0.35">
      <c r="A1394" s="2">
        <v>45146.135416666664</v>
      </c>
      <c r="B1394" s="3">
        <v>0.72528935185185184</v>
      </c>
      <c r="C1394" s="1" t="s">
        <v>14</v>
      </c>
      <c r="D1394" s="1" t="s">
        <v>9</v>
      </c>
      <c r="E1394" s="1">
        <v>109.96</v>
      </c>
      <c r="F1394" s="1">
        <v>4</v>
      </c>
      <c r="G1394" s="1">
        <v>439.84</v>
      </c>
      <c r="H1394" s="1" t="s">
        <v>150</v>
      </c>
    </row>
    <row r="1395" spans="1:8" x14ac:dyDescent="0.35">
      <c r="A1395" s="2">
        <v>45094.257638888892</v>
      </c>
      <c r="B1395" s="3">
        <v>0.25839120370370372</v>
      </c>
      <c r="C1395" s="1" t="s">
        <v>14</v>
      </c>
      <c r="D1395" s="1" t="s">
        <v>9</v>
      </c>
      <c r="E1395" s="1">
        <v>301.92</v>
      </c>
      <c r="F1395" s="1">
        <v>2</v>
      </c>
      <c r="G1395" s="1">
        <v>603.84</v>
      </c>
      <c r="H1395" s="1" t="s">
        <v>382</v>
      </c>
    </row>
    <row r="1396" spans="1:8" x14ac:dyDescent="0.35">
      <c r="A1396" s="2">
        <v>45234.190972222219</v>
      </c>
      <c r="B1396" s="3">
        <v>0.69630787037037034</v>
      </c>
      <c r="C1396" s="1" t="s">
        <v>11</v>
      </c>
      <c r="D1396" s="1" t="s">
        <v>16</v>
      </c>
      <c r="E1396" s="1">
        <v>243.94</v>
      </c>
      <c r="F1396" s="1">
        <v>2</v>
      </c>
      <c r="G1396" s="1">
        <v>487.88</v>
      </c>
      <c r="H1396" s="1" t="s">
        <v>329</v>
      </c>
    </row>
    <row r="1397" spans="1:8" x14ac:dyDescent="0.35">
      <c r="A1397" s="2">
        <v>44958.895833333336</v>
      </c>
      <c r="B1397" s="3">
        <v>0.55211805555555549</v>
      </c>
      <c r="C1397" s="1" t="s">
        <v>14</v>
      </c>
      <c r="D1397" s="1" t="s">
        <v>9</v>
      </c>
      <c r="E1397" s="1">
        <v>182.35</v>
      </c>
      <c r="F1397" s="1">
        <v>1</v>
      </c>
      <c r="G1397" s="1">
        <v>182.35</v>
      </c>
      <c r="H1397" s="1" t="s">
        <v>138</v>
      </c>
    </row>
    <row r="1398" spans="1:8" x14ac:dyDescent="0.35">
      <c r="A1398" s="2">
        <v>45517.025000000001</v>
      </c>
      <c r="B1398" s="3">
        <v>0.54864583333333339</v>
      </c>
      <c r="C1398" s="1" t="s">
        <v>14</v>
      </c>
      <c r="D1398" s="1" t="s">
        <v>27</v>
      </c>
      <c r="E1398" s="1">
        <v>77.349999999999994</v>
      </c>
      <c r="F1398" s="1">
        <v>4</v>
      </c>
      <c r="G1398" s="1">
        <v>309.39999999999998</v>
      </c>
      <c r="H1398" s="1" t="s">
        <v>354</v>
      </c>
    </row>
    <row r="1399" spans="1:8" x14ac:dyDescent="0.35">
      <c r="A1399" s="2">
        <v>45634.307638888888</v>
      </c>
      <c r="B1399" s="3">
        <v>0.48403935185185182</v>
      </c>
      <c r="C1399" s="1" t="s">
        <v>11</v>
      </c>
      <c r="D1399" s="1" t="s">
        <v>9</v>
      </c>
      <c r="E1399" s="1">
        <v>295.89</v>
      </c>
      <c r="F1399" s="1">
        <v>5</v>
      </c>
      <c r="G1399" s="1">
        <v>1479.45</v>
      </c>
      <c r="H1399" s="1" t="s">
        <v>202</v>
      </c>
    </row>
    <row r="1400" spans="1:8" x14ac:dyDescent="0.35">
      <c r="A1400" s="2">
        <v>45313.259722222225</v>
      </c>
      <c r="B1400" s="3">
        <v>0.75023148148148155</v>
      </c>
      <c r="C1400" s="1" t="s">
        <v>8</v>
      </c>
      <c r="D1400" s="1" t="s">
        <v>27</v>
      </c>
      <c r="E1400" s="1">
        <v>185.23</v>
      </c>
      <c r="F1400" s="1">
        <v>4</v>
      </c>
      <c r="G1400" s="1">
        <v>740.92</v>
      </c>
      <c r="H1400" s="1" t="s">
        <v>321</v>
      </c>
    </row>
    <row r="1401" spans="1:8" x14ac:dyDescent="0.35">
      <c r="A1401" s="2">
        <v>45112.436111111114</v>
      </c>
      <c r="B1401" s="3">
        <v>0.63663194444444449</v>
      </c>
      <c r="C1401" s="1" t="s">
        <v>8</v>
      </c>
      <c r="D1401" s="1" t="s">
        <v>27</v>
      </c>
      <c r="E1401" s="1">
        <v>130.41999999999999</v>
      </c>
      <c r="F1401" s="1">
        <v>2</v>
      </c>
      <c r="G1401" s="1">
        <v>260.83999999999997</v>
      </c>
      <c r="H1401" s="1" t="s">
        <v>42</v>
      </c>
    </row>
    <row r="1402" spans="1:8" x14ac:dyDescent="0.35">
      <c r="A1402" s="2">
        <v>45290.433333333334</v>
      </c>
      <c r="B1402" s="3">
        <v>0.64182870370370371</v>
      </c>
      <c r="C1402" s="1" t="s">
        <v>14</v>
      </c>
      <c r="D1402" s="1" t="s">
        <v>20</v>
      </c>
      <c r="E1402" s="1">
        <v>389.04</v>
      </c>
      <c r="F1402" s="1">
        <v>1</v>
      </c>
      <c r="G1402" s="1">
        <v>389.04</v>
      </c>
      <c r="H1402" s="1" t="s">
        <v>397</v>
      </c>
    </row>
    <row r="1403" spans="1:8" x14ac:dyDescent="0.35">
      <c r="A1403" s="2">
        <v>45094.276388888888</v>
      </c>
      <c r="B1403" s="3">
        <v>0.23133101851851853</v>
      </c>
      <c r="C1403" s="1" t="s">
        <v>8</v>
      </c>
      <c r="D1403" s="1" t="s">
        <v>16</v>
      </c>
      <c r="E1403" s="1">
        <v>80.98</v>
      </c>
      <c r="F1403" s="1">
        <v>1</v>
      </c>
      <c r="G1403" s="1">
        <v>80.98</v>
      </c>
      <c r="H1403" s="1" t="s">
        <v>309</v>
      </c>
    </row>
    <row r="1404" spans="1:8" x14ac:dyDescent="0.35">
      <c r="A1404" s="2">
        <v>45062.716666666667</v>
      </c>
      <c r="B1404" s="3">
        <v>0.90180555555555564</v>
      </c>
      <c r="C1404" s="1" t="s">
        <v>14</v>
      </c>
      <c r="D1404" s="1" t="s">
        <v>20</v>
      </c>
      <c r="E1404" s="1">
        <v>358.88</v>
      </c>
      <c r="F1404" s="1">
        <v>4</v>
      </c>
      <c r="G1404" s="1">
        <v>1435.52</v>
      </c>
      <c r="H1404" s="1" t="s">
        <v>227</v>
      </c>
    </row>
    <row r="1405" spans="1:8" x14ac:dyDescent="0.35">
      <c r="A1405" s="2">
        <v>45474.45</v>
      </c>
      <c r="B1405" s="3">
        <v>0.16365740740740739</v>
      </c>
      <c r="C1405" s="1" t="s">
        <v>8</v>
      </c>
      <c r="D1405" s="1" t="s">
        <v>27</v>
      </c>
      <c r="E1405" s="1">
        <v>492.06</v>
      </c>
      <c r="F1405" s="1">
        <v>1</v>
      </c>
      <c r="G1405" s="1">
        <v>492.06</v>
      </c>
      <c r="H1405" s="1" t="s">
        <v>183</v>
      </c>
    </row>
    <row r="1406" spans="1:8" x14ac:dyDescent="0.35">
      <c r="A1406" s="2">
        <v>45469.301388888889</v>
      </c>
      <c r="B1406" s="3">
        <v>0.22636574074074076</v>
      </c>
      <c r="C1406" s="1" t="s">
        <v>14</v>
      </c>
      <c r="D1406" s="1" t="s">
        <v>9</v>
      </c>
      <c r="E1406" s="1">
        <v>47.42</v>
      </c>
      <c r="F1406" s="1">
        <v>1</v>
      </c>
      <c r="G1406" s="1">
        <v>47.42</v>
      </c>
      <c r="H1406" s="1" t="s">
        <v>299</v>
      </c>
    </row>
    <row r="1407" spans="1:8" x14ac:dyDescent="0.35">
      <c r="A1407" s="2">
        <v>45507.564583333333</v>
      </c>
      <c r="B1407" s="3">
        <v>0.84347222222222218</v>
      </c>
      <c r="C1407" s="1" t="s">
        <v>11</v>
      </c>
      <c r="D1407" s="1" t="s">
        <v>27</v>
      </c>
      <c r="E1407" s="1">
        <v>93.83</v>
      </c>
      <c r="F1407" s="1">
        <v>4</v>
      </c>
      <c r="G1407" s="1">
        <v>375.32</v>
      </c>
      <c r="H1407" s="1" t="s">
        <v>190</v>
      </c>
    </row>
    <row r="1408" spans="1:8" x14ac:dyDescent="0.35">
      <c r="A1408" s="2">
        <v>45127.467361111114</v>
      </c>
      <c r="B1408" s="3">
        <v>0.80747685185185192</v>
      </c>
      <c r="C1408" s="1" t="s">
        <v>11</v>
      </c>
      <c r="D1408" s="1" t="s">
        <v>20</v>
      </c>
      <c r="E1408" s="1">
        <v>166.32</v>
      </c>
      <c r="F1408" s="1">
        <v>5</v>
      </c>
      <c r="G1408" s="1">
        <v>831.6</v>
      </c>
      <c r="H1408" s="1" t="s">
        <v>250</v>
      </c>
    </row>
    <row r="1409" spans="1:8" x14ac:dyDescent="0.35">
      <c r="A1409" s="2">
        <v>45317.067361111112</v>
      </c>
      <c r="B1409" s="3">
        <v>3.0532407407407411E-2</v>
      </c>
      <c r="C1409" s="1" t="s">
        <v>11</v>
      </c>
      <c r="D1409" s="1" t="s">
        <v>12</v>
      </c>
      <c r="E1409" s="1">
        <v>441.61</v>
      </c>
      <c r="F1409" s="1">
        <v>5</v>
      </c>
      <c r="G1409" s="1">
        <v>2208.0500000000002</v>
      </c>
      <c r="H1409" s="1" t="s">
        <v>384</v>
      </c>
    </row>
    <row r="1410" spans="1:8" x14ac:dyDescent="0.35">
      <c r="A1410" s="2">
        <v>44932.250694444447</v>
      </c>
      <c r="B1410" s="3">
        <v>0.78162037037037047</v>
      </c>
      <c r="C1410" s="1" t="s">
        <v>8</v>
      </c>
      <c r="D1410" s="1" t="s">
        <v>27</v>
      </c>
      <c r="E1410" s="1">
        <v>268.22000000000003</v>
      </c>
      <c r="F1410" s="1">
        <v>5</v>
      </c>
      <c r="G1410" s="1">
        <v>1341.1</v>
      </c>
      <c r="H1410" s="1" t="s">
        <v>401</v>
      </c>
    </row>
    <row r="1411" spans="1:8" x14ac:dyDescent="0.35">
      <c r="A1411" s="2">
        <v>45573.162499999999</v>
      </c>
      <c r="B1411" s="3">
        <v>0.94004629629629621</v>
      </c>
      <c r="C1411" s="1" t="s">
        <v>14</v>
      </c>
      <c r="D1411" s="1" t="s">
        <v>20</v>
      </c>
      <c r="E1411" s="1">
        <v>400.08</v>
      </c>
      <c r="F1411" s="1">
        <v>4</v>
      </c>
      <c r="G1411" s="1">
        <v>1600.32</v>
      </c>
      <c r="H1411" s="1" t="s">
        <v>179</v>
      </c>
    </row>
    <row r="1412" spans="1:8" x14ac:dyDescent="0.35">
      <c r="A1412" s="2">
        <v>45086.906944444447</v>
      </c>
      <c r="B1412" s="3">
        <v>0.55678240740740736</v>
      </c>
      <c r="C1412" s="1" t="s">
        <v>8</v>
      </c>
      <c r="D1412" s="1" t="s">
        <v>20</v>
      </c>
      <c r="E1412" s="1">
        <v>167.74</v>
      </c>
      <c r="F1412" s="1">
        <v>3</v>
      </c>
      <c r="G1412" s="1">
        <v>503.22</v>
      </c>
      <c r="H1412" s="1" t="s">
        <v>341</v>
      </c>
    </row>
    <row r="1413" spans="1:8" x14ac:dyDescent="0.35">
      <c r="A1413" s="2">
        <v>45478.558333333334</v>
      </c>
      <c r="B1413" s="3">
        <v>0.3371527777777778</v>
      </c>
      <c r="C1413" s="1" t="s">
        <v>11</v>
      </c>
      <c r="D1413" s="1" t="s">
        <v>16</v>
      </c>
      <c r="E1413" s="1">
        <v>90.83</v>
      </c>
      <c r="F1413" s="1">
        <v>3</v>
      </c>
      <c r="G1413" s="1">
        <v>272.49</v>
      </c>
      <c r="H1413" s="1" t="s">
        <v>263</v>
      </c>
    </row>
    <row r="1414" spans="1:8" x14ac:dyDescent="0.35">
      <c r="A1414" s="2">
        <v>45655.865277777775</v>
      </c>
      <c r="B1414" s="3">
        <v>0.18579861111111109</v>
      </c>
      <c r="C1414" s="1" t="s">
        <v>14</v>
      </c>
      <c r="D1414" s="1" t="s">
        <v>12</v>
      </c>
      <c r="E1414" s="1">
        <v>172.49</v>
      </c>
      <c r="F1414" s="1">
        <v>2</v>
      </c>
      <c r="G1414" s="1">
        <v>344.98</v>
      </c>
      <c r="H1414" s="1" t="s">
        <v>326</v>
      </c>
    </row>
    <row r="1415" spans="1:8" x14ac:dyDescent="0.35">
      <c r="A1415" s="2">
        <v>45150.686805555553</v>
      </c>
      <c r="B1415" s="3">
        <v>0.45065972222222223</v>
      </c>
      <c r="C1415" s="1" t="s">
        <v>11</v>
      </c>
      <c r="D1415" s="1" t="s">
        <v>27</v>
      </c>
      <c r="E1415" s="1">
        <v>106</v>
      </c>
      <c r="F1415" s="1">
        <v>5</v>
      </c>
      <c r="G1415" s="1">
        <v>530</v>
      </c>
      <c r="H1415" s="1" t="s">
        <v>405</v>
      </c>
    </row>
    <row r="1416" spans="1:8" x14ac:dyDescent="0.35">
      <c r="A1416" s="2">
        <v>45478.723611111112</v>
      </c>
      <c r="B1416" s="3">
        <v>0.39780092592592592</v>
      </c>
      <c r="C1416" s="1" t="s">
        <v>14</v>
      </c>
      <c r="D1416" s="1" t="s">
        <v>27</v>
      </c>
      <c r="E1416" s="1">
        <v>416.74</v>
      </c>
      <c r="F1416" s="1">
        <v>5</v>
      </c>
      <c r="G1416" s="1">
        <v>2083.6999999999998</v>
      </c>
      <c r="H1416" s="1" t="s">
        <v>354</v>
      </c>
    </row>
    <row r="1417" spans="1:8" x14ac:dyDescent="0.35">
      <c r="A1417" s="2">
        <v>45240.503472222219</v>
      </c>
      <c r="B1417" s="3">
        <v>0.25187500000000002</v>
      </c>
      <c r="C1417" s="1" t="s">
        <v>8</v>
      </c>
      <c r="D1417" s="1" t="s">
        <v>12</v>
      </c>
      <c r="E1417" s="1">
        <v>88.84</v>
      </c>
      <c r="F1417" s="1">
        <v>2</v>
      </c>
      <c r="G1417" s="1">
        <v>177.68</v>
      </c>
      <c r="H1417" s="1" t="s">
        <v>48</v>
      </c>
    </row>
    <row r="1418" spans="1:8" x14ac:dyDescent="0.35">
      <c r="A1418" s="2">
        <v>45231.752083333333</v>
      </c>
      <c r="B1418" s="3">
        <v>0.22011574074074072</v>
      </c>
      <c r="C1418" s="1" t="s">
        <v>14</v>
      </c>
      <c r="D1418" s="1" t="s">
        <v>27</v>
      </c>
      <c r="E1418" s="1">
        <v>345.13</v>
      </c>
      <c r="F1418" s="1">
        <v>3</v>
      </c>
      <c r="G1418" s="1">
        <v>1035.3900000000001</v>
      </c>
      <c r="H1418" s="1" t="s">
        <v>277</v>
      </c>
    </row>
    <row r="1419" spans="1:8" x14ac:dyDescent="0.35">
      <c r="A1419" s="2">
        <v>45202.798611111109</v>
      </c>
      <c r="B1419" s="3">
        <v>0.70626157407407408</v>
      </c>
      <c r="C1419" s="1" t="s">
        <v>11</v>
      </c>
      <c r="D1419" s="1" t="s">
        <v>12</v>
      </c>
      <c r="E1419" s="1">
        <v>234.87</v>
      </c>
      <c r="F1419" s="1">
        <v>1</v>
      </c>
      <c r="G1419" s="1">
        <v>234.87</v>
      </c>
      <c r="H1419" s="1" t="s">
        <v>391</v>
      </c>
    </row>
    <row r="1420" spans="1:8" x14ac:dyDescent="0.35">
      <c r="A1420" s="2">
        <v>44995.683333333334</v>
      </c>
      <c r="B1420" s="3">
        <v>9.7731481481481475E-2</v>
      </c>
      <c r="C1420" s="1" t="s">
        <v>8</v>
      </c>
      <c r="D1420" s="1" t="s">
        <v>16</v>
      </c>
      <c r="E1420" s="1">
        <v>188.42</v>
      </c>
      <c r="F1420" s="1">
        <v>1</v>
      </c>
      <c r="G1420" s="1">
        <v>188.42</v>
      </c>
      <c r="H1420" s="1" t="s">
        <v>288</v>
      </c>
    </row>
    <row r="1421" spans="1:8" x14ac:dyDescent="0.35">
      <c r="A1421" s="2">
        <v>45645.969444444447</v>
      </c>
      <c r="B1421" s="3">
        <v>0.70108796296296294</v>
      </c>
      <c r="C1421" s="1" t="s">
        <v>14</v>
      </c>
      <c r="D1421" s="1" t="s">
        <v>20</v>
      </c>
      <c r="E1421" s="1">
        <v>331.16</v>
      </c>
      <c r="F1421" s="1">
        <v>5</v>
      </c>
      <c r="G1421" s="1">
        <v>1655.8</v>
      </c>
      <c r="H1421" s="1" t="s">
        <v>154</v>
      </c>
    </row>
    <row r="1422" spans="1:8" x14ac:dyDescent="0.35">
      <c r="A1422" s="2">
        <v>45360.931944444441</v>
      </c>
      <c r="B1422" s="3">
        <v>0.31025462962962963</v>
      </c>
      <c r="C1422" s="1" t="s">
        <v>14</v>
      </c>
      <c r="D1422" s="1" t="s">
        <v>20</v>
      </c>
      <c r="E1422" s="1">
        <v>310.39999999999998</v>
      </c>
      <c r="F1422" s="1">
        <v>2</v>
      </c>
      <c r="G1422" s="1">
        <v>620.79999999999995</v>
      </c>
      <c r="H1422" s="1" t="s">
        <v>140</v>
      </c>
    </row>
    <row r="1423" spans="1:8" x14ac:dyDescent="0.35">
      <c r="A1423" s="2">
        <v>45074.809027777781</v>
      </c>
      <c r="B1423" s="3">
        <v>0.71864583333333332</v>
      </c>
      <c r="C1423" s="1" t="s">
        <v>11</v>
      </c>
      <c r="D1423" s="1" t="s">
        <v>12</v>
      </c>
      <c r="E1423" s="1">
        <v>207.13</v>
      </c>
      <c r="F1423" s="1">
        <v>1</v>
      </c>
      <c r="G1423" s="1">
        <v>207.13</v>
      </c>
      <c r="H1423" s="1" t="s">
        <v>39</v>
      </c>
    </row>
    <row r="1424" spans="1:8" x14ac:dyDescent="0.35">
      <c r="A1424" s="2">
        <v>44976.439583333333</v>
      </c>
      <c r="B1424" s="3">
        <v>0.60887731481481489</v>
      </c>
      <c r="C1424" s="1" t="s">
        <v>11</v>
      </c>
      <c r="D1424" s="1" t="s">
        <v>12</v>
      </c>
      <c r="E1424" s="1">
        <v>194.62</v>
      </c>
      <c r="F1424" s="1">
        <v>4</v>
      </c>
      <c r="G1424" s="1">
        <v>778.48</v>
      </c>
      <c r="H1424" s="1" t="s">
        <v>251</v>
      </c>
    </row>
    <row r="1425" spans="1:8" x14ac:dyDescent="0.35">
      <c r="A1425" s="2">
        <v>45071.061111111114</v>
      </c>
      <c r="B1425" s="3">
        <v>0.42403935185185188</v>
      </c>
      <c r="C1425" s="1" t="s">
        <v>8</v>
      </c>
      <c r="D1425" s="1" t="s">
        <v>20</v>
      </c>
      <c r="E1425" s="1">
        <v>345.6</v>
      </c>
      <c r="F1425" s="1">
        <v>5</v>
      </c>
      <c r="G1425" s="1">
        <v>1728</v>
      </c>
      <c r="H1425" s="1" t="s">
        <v>111</v>
      </c>
    </row>
    <row r="1426" spans="1:8" x14ac:dyDescent="0.35">
      <c r="A1426" s="2">
        <v>44968.132638888892</v>
      </c>
      <c r="B1426" s="3">
        <v>0.92423611111111115</v>
      </c>
      <c r="C1426" s="1" t="s">
        <v>8</v>
      </c>
      <c r="D1426" s="1" t="s">
        <v>9</v>
      </c>
      <c r="E1426" s="1">
        <v>162.53</v>
      </c>
      <c r="F1426" s="1">
        <v>1</v>
      </c>
      <c r="G1426" s="1">
        <v>162.53</v>
      </c>
      <c r="H1426" s="1" t="s">
        <v>370</v>
      </c>
    </row>
    <row r="1427" spans="1:8" x14ac:dyDescent="0.35">
      <c r="A1427" s="2">
        <v>45304.425694444442</v>
      </c>
      <c r="B1427" s="3">
        <v>0.7091319444444445</v>
      </c>
      <c r="C1427" s="1" t="s">
        <v>8</v>
      </c>
      <c r="D1427" s="1" t="s">
        <v>20</v>
      </c>
      <c r="E1427" s="1">
        <v>383.87</v>
      </c>
      <c r="F1427" s="1">
        <v>4</v>
      </c>
      <c r="G1427" s="1">
        <v>1535.48</v>
      </c>
      <c r="H1427" s="1" t="s">
        <v>181</v>
      </c>
    </row>
    <row r="1428" spans="1:8" x14ac:dyDescent="0.35">
      <c r="A1428" s="2">
        <v>44954.815972222219</v>
      </c>
      <c r="B1428" s="3">
        <v>0.77543981481481483</v>
      </c>
      <c r="C1428" s="1" t="s">
        <v>8</v>
      </c>
      <c r="D1428" s="1" t="s">
        <v>16</v>
      </c>
      <c r="E1428" s="1">
        <v>424</v>
      </c>
      <c r="F1428" s="1">
        <v>1</v>
      </c>
      <c r="G1428" s="1">
        <v>424</v>
      </c>
      <c r="H1428" s="1" t="s">
        <v>297</v>
      </c>
    </row>
    <row r="1429" spans="1:8" x14ac:dyDescent="0.35">
      <c r="A1429" s="2">
        <v>45335.747916666667</v>
      </c>
      <c r="B1429" s="3">
        <v>0.64701388888888889</v>
      </c>
      <c r="C1429" s="1" t="s">
        <v>14</v>
      </c>
      <c r="D1429" s="1" t="s">
        <v>20</v>
      </c>
      <c r="E1429" s="1">
        <v>274.24</v>
      </c>
      <c r="F1429" s="1">
        <v>5</v>
      </c>
      <c r="G1429" s="1">
        <v>1371.2</v>
      </c>
      <c r="H1429" s="1" t="s">
        <v>31</v>
      </c>
    </row>
    <row r="1430" spans="1:8" x14ac:dyDescent="0.35">
      <c r="A1430" s="2">
        <v>45199.936805555553</v>
      </c>
      <c r="B1430" s="3">
        <v>0.73219907407407403</v>
      </c>
      <c r="C1430" s="1" t="s">
        <v>14</v>
      </c>
      <c r="D1430" s="1" t="s">
        <v>20</v>
      </c>
      <c r="E1430" s="1">
        <v>211.66</v>
      </c>
      <c r="F1430" s="1">
        <v>1</v>
      </c>
      <c r="G1430" s="1">
        <v>211.66</v>
      </c>
      <c r="H1430" s="1" t="s">
        <v>119</v>
      </c>
    </row>
    <row r="1431" spans="1:8" x14ac:dyDescent="0.35">
      <c r="A1431" s="2">
        <v>45064.192361111112</v>
      </c>
      <c r="B1431" s="3">
        <v>0.6853935185185186</v>
      </c>
      <c r="C1431" s="1" t="s">
        <v>11</v>
      </c>
      <c r="D1431" s="1" t="s">
        <v>16</v>
      </c>
      <c r="E1431" s="1">
        <v>233.74</v>
      </c>
      <c r="F1431" s="1">
        <v>4</v>
      </c>
      <c r="G1431" s="1">
        <v>934.96</v>
      </c>
      <c r="H1431" s="1" t="s">
        <v>176</v>
      </c>
    </row>
    <row r="1432" spans="1:8" x14ac:dyDescent="0.35">
      <c r="A1432" s="2">
        <v>44981.863888888889</v>
      </c>
      <c r="B1432" s="3">
        <v>0.43479166666666669</v>
      </c>
      <c r="C1432" s="1" t="s">
        <v>11</v>
      </c>
      <c r="D1432" s="1" t="s">
        <v>9</v>
      </c>
      <c r="E1432" s="1">
        <v>232.51</v>
      </c>
      <c r="F1432" s="1">
        <v>4</v>
      </c>
      <c r="G1432" s="1">
        <v>930.04</v>
      </c>
      <c r="H1432" s="1" t="s">
        <v>201</v>
      </c>
    </row>
    <row r="1433" spans="1:8" x14ac:dyDescent="0.35">
      <c r="A1433" s="2">
        <v>45577.173611111109</v>
      </c>
      <c r="B1433" s="3">
        <v>0.88810185185185186</v>
      </c>
      <c r="C1433" s="1" t="s">
        <v>11</v>
      </c>
      <c r="D1433" s="1" t="s">
        <v>16</v>
      </c>
      <c r="E1433" s="1">
        <v>230.73</v>
      </c>
      <c r="F1433" s="1">
        <v>2</v>
      </c>
      <c r="G1433" s="1">
        <v>461.46</v>
      </c>
      <c r="H1433" s="1" t="s">
        <v>279</v>
      </c>
    </row>
    <row r="1434" spans="1:8" x14ac:dyDescent="0.35">
      <c r="A1434" s="2">
        <v>45105.787499999999</v>
      </c>
      <c r="B1434" s="3">
        <v>0.34115740740740735</v>
      </c>
      <c r="C1434" s="1" t="s">
        <v>8</v>
      </c>
      <c r="D1434" s="1" t="s">
        <v>20</v>
      </c>
      <c r="E1434" s="1">
        <v>34.79</v>
      </c>
      <c r="F1434" s="1">
        <v>1</v>
      </c>
      <c r="G1434" s="1">
        <v>34.79</v>
      </c>
      <c r="H1434" s="1" t="s">
        <v>390</v>
      </c>
    </row>
    <row r="1435" spans="1:8" x14ac:dyDescent="0.35">
      <c r="A1435" s="2">
        <v>45325.243055555555</v>
      </c>
      <c r="B1435" s="3">
        <v>0.9250694444444445</v>
      </c>
      <c r="C1435" s="1" t="s">
        <v>14</v>
      </c>
      <c r="D1435" s="1" t="s">
        <v>20</v>
      </c>
      <c r="E1435" s="1">
        <v>327.39</v>
      </c>
      <c r="F1435" s="1">
        <v>4</v>
      </c>
      <c r="G1435" s="1">
        <v>1309.56</v>
      </c>
      <c r="H1435" s="1" t="s">
        <v>99</v>
      </c>
    </row>
    <row r="1436" spans="1:8" x14ac:dyDescent="0.35">
      <c r="A1436" s="2">
        <v>45147.443749999999</v>
      </c>
      <c r="B1436" s="3">
        <v>0.90905092592592596</v>
      </c>
      <c r="C1436" s="1" t="s">
        <v>14</v>
      </c>
      <c r="D1436" s="1" t="s">
        <v>9</v>
      </c>
      <c r="E1436" s="1">
        <v>480.41</v>
      </c>
      <c r="F1436" s="1">
        <v>1</v>
      </c>
      <c r="G1436" s="1">
        <v>480.41</v>
      </c>
      <c r="H1436" s="1" t="s">
        <v>387</v>
      </c>
    </row>
    <row r="1437" spans="1:8" x14ac:dyDescent="0.35">
      <c r="A1437" s="2">
        <v>45174.481249999997</v>
      </c>
      <c r="B1437" s="3">
        <v>0.44540509259259259</v>
      </c>
      <c r="C1437" s="1" t="s">
        <v>8</v>
      </c>
      <c r="D1437" s="1" t="s">
        <v>16</v>
      </c>
      <c r="E1437" s="1">
        <v>90.13</v>
      </c>
      <c r="F1437" s="1">
        <v>3</v>
      </c>
      <c r="G1437" s="1">
        <v>270.39</v>
      </c>
      <c r="H1437" s="1" t="s">
        <v>321</v>
      </c>
    </row>
    <row r="1438" spans="1:8" x14ac:dyDescent="0.35">
      <c r="A1438" s="2">
        <v>45422.015277777777</v>
      </c>
      <c r="B1438" s="3">
        <v>0.22717592592592592</v>
      </c>
      <c r="C1438" s="1" t="s">
        <v>14</v>
      </c>
      <c r="D1438" s="1" t="s">
        <v>16</v>
      </c>
      <c r="E1438" s="1">
        <v>68.790000000000006</v>
      </c>
      <c r="F1438" s="1">
        <v>1</v>
      </c>
      <c r="G1438" s="1">
        <v>68.790000000000006</v>
      </c>
      <c r="H1438" s="1" t="s">
        <v>304</v>
      </c>
    </row>
    <row r="1439" spans="1:8" x14ac:dyDescent="0.35">
      <c r="A1439" s="2">
        <v>45151.798611111109</v>
      </c>
      <c r="B1439" s="3">
        <v>0.52767361111111111</v>
      </c>
      <c r="C1439" s="1" t="s">
        <v>11</v>
      </c>
      <c r="D1439" s="1" t="s">
        <v>20</v>
      </c>
      <c r="E1439" s="1">
        <v>273.23</v>
      </c>
      <c r="F1439" s="1">
        <v>5</v>
      </c>
      <c r="G1439" s="1">
        <v>1366.15</v>
      </c>
      <c r="H1439" s="1" t="s">
        <v>214</v>
      </c>
    </row>
    <row r="1440" spans="1:8" x14ac:dyDescent="0.35">
      <c r="A1440" s="2">
        <v>45404.923611111109</v>
      </c>
      <c r="B1440" s="3">
        <v>0.62660879629629629</v>
      </c>
      <c r="C1440" s="1" t="s">
        <v>11</v>
      </c>
      <c r="D1440" s="1" t="s">
        <v>9</v>
      </c>
      <c r="E1440" s="1">
        <v>413.65</v>
      </c>
      <c r="F1440" s="1">
        <v>5</v>
      </c>
      <c r="G1440" s="1">
        <v>2068.25</v>
      </c>
      <c r="H1440" s="1" t="s">
        <v>81</v>
      </c>
    </row>
    <row r="1441" spans="1:8" x14ac:dyDescent="0.35">
      <c r="A1441" s="2">
        <v>45609.332638888889</v>
      </c>
      <c r="B1441" s="3">
        <v>0.87490740740740736</v>
      </c>
      <c r="C1441" s="1" t="s">
        <v>14</v>
      </c>
      <c r="D1441" s="1" t="s">
        <v>12</v>
      </c>
      <c r="E1441" s="1">
        <v>365.87</v>
      </c>
      <c r="F1441" s="1">
        <v>5</v>
      </c>
      <c r="G1441" s="1">
        <v>1829.35</v>
      </c>
      <c r="H1441" s="1" t="s">
        <v>111</v>
      </c>
    </row>
    <row r="1442" spans="1:8" x14ac:dyDescent="0.35">
      <c r="A1442" s="2">
        <v>45125.106249999997</v>
      </c>
      <c r="B1442" s="3">
        <v>0.26043981481481482</v>
      </c>
      <c r="C1442" s="1" t="s">
        <v>11</v>
      </c>
      <c r="D1442" s="1" t="s">
        <v>16</v>
      </c>
      <c r="E1442" s="1">
        <v>209.24</v>
      </c>
      <c r="F1442" s="1">
        <v>4</v>
      </c>
      <c r="G1442" s="1">
        <v>836.96</v>
      </c>
      <c r="H1442" s="1" t="s">
        <v>350</v>
      </c>
    </row>
    <row r="1443" spans="1:8" x14ac:dyDescent="0.35">
      <c r="A1443" s="2">
        <v>45337.193749999999</v>
      </c>
      <c r="B1443" s="3">
        <v>0.6404050925925926</v>
      </c>
      <c r="C1443" s="1" t="s">
        <v>11</v>
      </c>
      <c r="D1443" s="1" t="s">
        <v>12</v>
      </c>
      <c r="E1443" s="1">
        <v>120.41</v>
      </c>
      <c r="F1443" s="1">
        <v>1</v>
      </c>
      <c r="G1443" s="1">
        <v>120.41</v>
      </c>
      <c r="H1443" s="1" t="s">
        <v>23</v>
      </c>
    </row>
    <row r="1444" spans="1:8" x14ac:dyDescent="0.35">
      <c r="A1444" s="2">
        <v>45653.661111111112</v>
      </c>
      <c r="B1444" s="3">
        <v>0.11651620370370371</v>
      </c>
      <c r="C1444" s="1" t="s">
        <v>11</v>
      </c>
      <c r="D1444" s="1" t="s">
        <v>12</v>
      </c>
      <c r="E1444" s="1">
        <v>145.22999999999999</v>
      </c>
      <c r="F1444" s="1">
        <v>5</v>
      </c>
      <c r="G1444" s="1">
        <v>726.15</v>
      </c>
      <c r="H1444" s="1" t="s">
        <v>45</v>
      </c>
    </row>
    <row r="1445" spans="1:8" x14ac:dyDescent="0.35">
      <c r="A1445" s="2">
        <v>45099.648611111108</v>
      </c>
      <c r="B1445" s="3">
        <v>0.48427083333333337</v>
      </c>
      <c r="C1445" s="1" t="s">
        <v>8</v>
      </c>
      <c r="D1445" s="1" t="s">
        <v>27</v>
      </c>
      <c r="E1445" s="1">
        <v>171.27</v>
      </c>
      <c r="F1445" s="1">
        <v>4</v>
      </c>
      <c r="G1445" s="1">
        <v>685.08</v>
      </c>
      <c r="H1445" s="1" t="s">
        <v>180</v>
      </c>
    </row>
    <row r="1446" spans="1:8" x14ac:dyDescent="0.35">
      <c r="A1446" s="2">
        <v>45203.632638888892</v>
      </c>
      <c r="B1446" s="3">
        <v>0.61488425925925927</v>
      </c>
      <c r="C1446" s="1" t="s">
        <v>14</v>
      </c>
      <c r="D1446" s="1" t="s">
        <v>27</v>
      </c>
      <c r="E1446" s="1">
        <v>473.34</v>
      </c>
      <c r="F1446" s="1">
        <v>3</v>
      </c>
      <c r="G1446" s="1">
        <v>1420.02</v>
      </c>
      <c r="H1446" s="1" t="s">
        <v>114</v>
      </c>
    </row>
    <row r="1447" spans="1:8" x14ac:dyDescent="0.35">
      <c r="A1447" s="2">
        <v>45011.165972222225</v>
      </c>
      <c r="B1447" s="3">
        <v>0.98297453703703708</v>
      </c>
      <c r="C1447" s="1" t="s">
        <v>11</v>
      </c>
      <c r="D1447" s="1" t="s">
        <v>12</v>
      </c>
      <c r="E1447" s="1">
        <v>65.52</v>
      </c>
      <c r="F1447" s="1">
        <v>1</v>
      </c>
      <c r="G1447" s="1">
        <v>65.52</v>
      </c>
      <c r="H1447" s="1" t="s">
        <v>304</v>
      </c>
    </row>
    <row r="1448" spans="1:8" x14ac:dyDescent="0.35">
      <c r="A1448" s="2">
        <v>45237.938194444447</v>
      </c>
      <c r="B1448" s="3">
        <v>0.7193518518518518</v>
      </c>
      <c r="C1448" s="1" t="s">
        <v>14</v>
      </c>
      <c r="D1448" s="1" t="s">
        <v>20</v>
      </c>
      <c r="E1448" s="1">
        <v>194.42</v>
      </c>
      <c r="F1448" s="1">
        <v>5</v>
      </c>
      <c r="G1448" s="1">
        <v>972.1</v>
      </c>
      <c r="H1448" s="1" t="s">
        <v>263</v>
      </c>
    </row>
    <row r="1449" spans="1:8" x14ac:dyDescent="0.35">
      <c r="A1449" s="2">
        <v>45597.362500000003</v>
      </c>
      <c r="B1449" s="3">
        <v>0.42438657407407404</v>
      </c>
      <c r="C1449" s="1" t="s">
        <v>8</v>
      </c>
      <c r="D1449" s="1" t="s">
        <v>20</v>
      </c>
      <c r="E1449" s="1">
        <v>391.86</v>
      </c>
      <c r="F1449" s="1">
        <v>4</v>
      </c>
      <c r="G1449" s="1">
        <v>1567.44</v>
      </c>
      <c r="H1449" s="1" t="s">
        <v>138</v>
      </c>
    </row>
    <row r="1450" spans="1:8" x14ac:dyDescent="0.35">
      <c r="A1450" s="2">
        <v>44942.252083333333</v>
      </c>
      <c r="B1450" s="3">
        <v>0.53894675925925928</v>
      </c>
      <c r="C1450" s="1" t="s">
        <v>14</v>
      </c>
      <c r="D1450" s="1" t="s">
        <v>20</v>
      </c>
      <c r="E1450" s="1">
        <v>45.45</v>
      </c>
      <c r="F1450" s="1">
        <v>4</v>
      </c>
      <c r="G1450" s="1">
        <v>181.8</v>
      </c>
      <c r="H1450" s="1" t="s">
        <v>309</v>
      </c>
    </row>
    <row r="1451" spans="1:8" x14ac:dyDescent="0.35">
      <c r="A1451" s="2">
        <v>45500.446527777778</v>
      </c>
      <c r="B1451" s="3">
        <v>0.54273148148148154</v>
      </c>
      <c r="C1451" s="1" t="s">
        <v>11</v>
      </c>
      <c r="D1451" s="1" t="s">
        <v>20</v>
      </c>
      <c r="E1451" s="1">
        <v>376.77</v>
      </c>
      <c r="F1451" s="1">
        <v>3</v>
      </c>
      <c r="G1451" s="1">
        <v>1130.31</v>
      </c>
      <c r="H1451" s="1" t="s">
        <v>97</v>
      </c>
    </row>
    <row r="1452" spans="1:8" x14ac:dyDescent="0.35">
      <c r="A1452" s="2">
        <v>45144.640972222223</v>
      </c>
      <c r="B1452" s="3">
        <v>0.1171875</v>
      </c>
      <c r="C1452" s="1" t="s">
        <v>11</v>
      </c>
      <c r="D1452" s="1" t="s">
        <v>27</v>
      </c>
      <c r="E1452" s="1">
        <v>69.849999999999994</v>
      </c>
      <c r="F1452" s="1">
        <v>2</v>
      </c>
      <c r="G1452" s="1">
        <v>139.69999999999999</v>
      </c>
      <c r="H1452" s="1" t="s">
        <v>311</v>
      </c>
    </row>
    <row r="1453" spans="1:8" x14ac:dyDescent="0.35">
      <c r="A1453" s="2">
        <v>45392.851388888892</v>
      </c>
      <c r="B1453" s="3">
        <v>0.87638888888888899</v>
      </c>
      <c r="C1453" s="1" t="s">
        <v>8</v>
      </c>
      <c r="D1453" s="1" t="s">
        <v>12</v>
      </c>
      <c r="E1453" s="1">
        <v>64.83</v>
      </c>
      <c r="F1453" s="1">
        <v>1</v>
      </c>
      <c r="G1453" s="1">
        <v>64.83</v>
      </c>
      <c r="H1453" s="1" t="s">
        <v>337</v>
      </c>
    </row>
    <row r="1454" spans="1:8" x14ac:dyDescent="0.35">
      <c r="A1454" s="2">
        <v>45167.03125</v>
      </c>
      <c r="B1454" s="3">
        <v>0.3830439814814815</v>
      </c>
      <c r="C1454" s="1" t="s">
        <v>8</v>
      </c>
      <c r="D1454" s="1" t="s">
        <v>20</v>
      </c>
      <c r="E1454" s="1">
        <v>399.77</v>
      </c>
      <c r="F1454" s="1">
        <v>4</v>
      </c>
      <c r="G1454" s="1">
        <v>1599.08</v>
      </c>
      <c r="H1454" s="1" t="s">
        <v>205</v>
      </c>
    </row>
    <row r="1455" spans="1:8" x14ac:dyDescent="0.35">
      <c r="A1455" s="2">
        <v>45414.452777777777</v>
      </c>
      <c r="B1455" s="3">
        <v>0.40225694444444443</v>
      </c>
      <c r="C1455" s="1" t="s">
        <v>14</v>
      </c>
      <c r="D1455" s="1" t="s">
        <v>16</v>
      </c>
      <c r="E1455" s="1">
        <v>73.849999999999994</v>
      </c>
      <c r="F1455" s="1">
        <v>1</v>
      </c>
      <c r="G1455" s="1">
        <v>73.849999999999994</v>
      </c>
      <c r="H1455" s="1" t="s">
        <v>359</v>
      </c>
    </row>
    <row r="1456" spans="1:8" x14ac:dyDescent="0.35">
      <c r="A1456" s="2">
        <v>45325.59652777778</v>
      </c>
      <c r="B1456" s="3">
        <v>0.78262731481481485</v>
      </c>
      <c r="C1456" s="1" t="s">
        <v>14</v>
      </c>
      <c r="D1456" s="1" t="s">
        <v>20</v>
      </c>
      <c r="E1456" s="1">
        <v>296.94</v>
      </c>
      <c r="F1456" s="1">
        <v>1</v>
      </c>
      <c r="G1456" s="1">
        <v>296.94</v>
      </c>
      <c r="H1456" s="1" t="s">
        <v>337</v>
      </c>
    </row>
    <row r="1457" spans="1:8" x14ac:dyDescent="0.35">
      <c r="A1457" s="2">
        <v>45038.552083333336</v>
      </c>
      <c r="B1457" s="3">
        <v>0.66636574074074073</v>
      </c>
      <c r="C1457" s="1" t="s">
        <v>11</v>
      </c>
      <c r="D1457" s="1" t="s">
        <v>27</v>
      </c>
      <c r="E1457" s="1">
        <v>304.55</v>
      </c>
      <c r="F1457" s="1">
        <v>5</v>
      </c>
      <c r="G1457" s="1">
        <v>1522.75</v>
      </c>
      <c r="H1457" s="1" t="s">
        <v>374</v>
      </c>
    </row>
    <row r="1458" spans="1:8" x14ac:dyDescent="0.35">
      <c r="A1458" s="2">
        <v>45330.369444444441</v>
      </c>
      <c r="B1458" s="3">
        <v>7.6736111111111111E-3</v>
      </c>
      <c r="C1458" s="1" t="s">
        <v>11</v>
      </c>
      <c r="D1458" s="1" t="s">
        <v>20</v>
      </c>
      <c r="E1458" s="1">
        <v>429.89</v>
      </c>
      <c r="F1458" s="1">
        <v>3</v>
      </c>
      <c r="G1458" s="1">
        <v>1289.67</v>
      </c>
      <c r="H1458" s="1" t="s">
        <v>341</v>
      </c>
    </row>
    <row r="1459" spans="1:8" x14ac:dyDescent="0.35">
      <c r="A1459" s="2">
        <v>45319.636805555558</v>
      </c>
      <c r="B1459" s="3">
        <v>0.16788194444444446</v>
      </c>
      <c r="C1459" s="1" t="s">
        <v>14</v>
      </c>
      <c r="D1459" s="1" t="s">
        <v>16</v>
      </c>
      <c r="E1459" s="1">
        <v>21.13</v>
      </c>
      <c r="F1459" s="1">
        <v>4</v>
      </c>
      <c r="G1459" s="1">
        <v>84.52</v>
      </c>
      <c r="H1459" s="1" t="s">
        <v>26</v>
      </c>
    </row>
    <row r="1460" spans="1:8" x14ac:dyDescent="0.35">
      <c r="A1460" s="2">
        <v>45532.789583333331</v>
      </c>
      <c r="B1460" s="3">
        <v>0.75869212962962962</v>
      </c>
      <c r="C1460" s="1" t="s">
        <v>14</v>
      </c>
      <c r="D1460" s="1" t="s">
        <v>20</v>
      </c>
      <c r="E1460" s="1">
        <v>278.82</v>
      </c>
      <c r="F1460" s="1">
        <v>1</v>
      </c>
      <c r="G1460" s="1">
        <v>278.82</v>
      </c>
      <c r="H1460" s="1" t="s">
        <v>178</v>
      </c>
    </row>
    <row r="1461" spans="1:8" x14ac:dyDescent="0.35">
      <c r="A1461" s="2">
        <v>45593.431944444441</v>
      </c>
      <c r="B1461" s="3">
        <v>0.867650462962963</v>
      </c>
      <c r="C1461" s="1" t="s">
        <v>8</v>
      </c>
      <c r="D1461" s="1" t="s">
        <v>12</v>
      </c>
      <c r="E1461" s="1">
        <v>474.71</v>
      </c>
      <c r="F1461" s="1">
        <v>3</v>
      </c>
      <c r="G1461" s="1">
        <v>1424.13</v>
      </c>
      <c r="H1461" s="1" t="s">
        <v>258</v>
      </c>
    </row>
    <row r="1462" spans="1:8" x14ac:dyDescent="0.35">
      <c r="A1462" s="2">
        <v>45444.495138888888</v>
      </c>
      <c r="B1462" s="3">
        <v>0.86756944444444439</v>
      </c>
      <c r="C1462" s="1" t="s">
        <v>11</v>
      </c>
      <c r="D1462" s="1" t="s">
        <v>20</v>
      </c>
      <c r="E1462" s="1">
        <v>169.94</v>
      </c>
      <c r="F1462" s="1">
        <v>2</v>
      </c>
      <c r="G1462" s="1">
        <v>339.88</v>
      </c>
      <c r="H1462" s="1" t="s">
        <v>192</v>
      </c>
    </row>
    <row r="1463" spans="1:8" x14ac:dyDescent="0.35">
      <c r="A1463" s="2">
        <v>45179.367361111108</v>
      </c>
      <c r="B1463" s="3">
        <v>9.7905092592592599E-2</v>
      </c>
      <c r="C1463" s="1" t="s">
        <v>8</v>
      </c>
      <c r="D1463" s="1" t="s">
        <v>9</v>
      </c>
      <c r="E1463" s="1">
        <v>285.20999999999998</v>
      </c>
      <c r="F1463" s="1">
        <v>1</v>
      </c>
      <c r="G1463" s="1">
        <v>285.20999999999998</v>
      </c>
      <c r="H1463" s="1" t="s">
        <v>272</v>
      </c>
    </row>
    <row r="1464" spans="1:8" x14ac:dyDescent="0.35">
      <c r="A1464" s="2">
        <v>45178.057638888888</v>
      </c>
      <c r="B1464" s="3">
        <v>0.81383101851851858</v>
      </c>
      <c r="C1464" s="1" t="s">
        <v>8</v>
      </c>
      <c r="D1464" s="1" t="s">
        <v>20</v>
      </c>
      <c r="E1464" s="1">
        <v>146.29</v>
      </c>
      <c r="F1464" s="1">
        <v>2</v>
      </c>
      <c r="G1464" s="1">
        <v>292.58</v>
      </c>
      <c r="H1464" s="1" t="s">
        <v>53</v>
      </c>
    </row>
    <row r="1465" spans="1:8" x14ac:dyDescent="0.35">
      <c r="A1465" s="2">
        <v>45288.577777777777</v>
      </c>
      <c r="B1465" s="3">
        <v>0.14834490740740741</v>
      </c>
      <c r="C1465" s="1" t="s">
        <v>8</v>
      </c>
      <c r="D1465" s="1" t="s">
        <v>20</v>
      </c>
      <c r="E1465" s="1">
        <v>343.74</v>
      </c>
      <c r="F1465" s="1">
        <v>3</v>
      </c>
      <c r="G1465" s="1">
        <v>1031.22</v>
      </c>
      <c r="H1465" s="1" t="s">
        <v>198</v>
      </c>
    </row>
    <row r="1466" spans="1:8" x14ac:dyDescent="0.35">
      <c r="A1466" s="2">
        <v>45171.75</v>
      </c>
      <c r="B1466" s="3">
        <v>0.3096875</v>
      </c>
      <c r="C1466" s="1" t="s">
        <v>14</v>
      </c>
      <c r="D1466" s="1" t="s">
        <v>27</v>
      </c>
      <c r="E1466" s="1">
        <v>105.85</v>
      </c>
      <c r="F1466" s="1">
        <v>5</v>
      </c>
      <c r="G1466" s="1">
        <v>529.25</v>
      </c>
      <c r="H1466" s="1" t="s">
        <v>299</v>
      </c>
    </row>
    <row r="1467" spans="1:8" x14ac:dyDescent="0.35">
      <c r="A1467" s="2">
        <v>45115.699305555558</v>
      </c>
      <c r="B1467" s="3">
        <v>5.1990740740740747E-2</v>
      </c>
      <c r="C1467" s="1" t="s">
        <v>11</v>
      </c>
      <c r="D1467" s="1" t="s">
        <v>9</v>
      </c>
      <c r="E1467" s="1">
        <v>59.61</v>
      </c>
      <c r="F1467" s="1">
        <v>2</v>
      </c>
      <c r="G1467" s="1">
        <v>119.22</v>
      </c>
      <c r="H1467" s="1" t="s">
        <v>267</v>
      </c>
    </row>
    <row r="1468" spans="1:8" x14ac:dyDescent="0.35">
      <c r="A1468" s="2">
        <v>45118.07916666667</v>
      </c>
      <c r="B1468" s="3">
        <v>0.36256944444444444</v>
      </c>
      <c r="C1468" s="1" t="s">
        <v>8</v>
      </c>
      <c r="D1468" s="1" t="s">
        <v>16</v>
      </c>
      <c r="E1468" s="1">
        <v>175.94</v>
      </c>
      <c r="F1468" s="1">
        <v>1</v>
      </c>
      <c r="G1468" s="1">
        <v>175.94</v>
      </c>
      <c r="H1468" s="1" t="s">
        <v>353</v>
      </c>
    </row>
    <row r="1469" spans="1:8" x14ac:dyDescent="0.35">
      <c r="A1469" s="2">
        <v>45383.969444444447</v>
      </c>
      <c r="B1469" s="3">
        <v>0.47636574074074073</v>
      </c>
      <c r="C1469" s="1" t="s">
        <v>14</v>
      </c>
      <c r="D1469" s="1" t="s">
        <v>16</v>
      </c>
      <c r="E1469" s="1">
        <v>116.11</v>
      </c>
      <c r="F1469" s="1">
        <v>5</v>
      </c>
      <c r="G1469" s="1">
        <v>580.54999999999995</v>
      </c>
      <c r="H1469" s="1" t="s">
        <v>406</v>
      </c>
    </row>
    <row r="1470" spans="1:8" x14ac:dyDescent="0.35">
      <c r="A1470" s="2">
        <v>45309.584722222222</v>
      </c>
      <c r="B1470" s="3">
        <v>0.80026620370370372</v>
      </c>
      <c r="C1470" s="1" t="s">
        <v>8</v>
      </c>
      <c r="D1470" s="1" t="s">
        <v>16</v>
      </c>
      <c r="E1470" s="1">
        <v>119.6</v>
      </c>
      <c r="F1470" s="1">
        <v>3</v>
      </c>
      <c r="G1470" s="1">
        <v>358.8</v>
      </c>
      <c r="H1470" s="1" t="s">
        <v>366</v>
      </c>
    </row>
    <row r="1471" spans="1:8" x14ac:dyDescent="0.35">
      <c r="A1471" s="2">
        <v>45631.629861111112</v>
      </c>
      <c r="B1471" s="3">
        <v>0.53835648148148152</v>
      </c>
      <c r="C1471" s="1" t="s">
        <v>14</v>
      </c>
      <c r="D1471" s="1" t="s">
        <v>9</v>
      </c>
      <c r="E1471" s="1">
        <v>409.64</v>
      </c>
      <c r="F1471" s="1">
        <v>4</v>
      </c>
      <c r="G1471" s="1">
        <v>1638.56</v>
      </c>
      <c r="H1471" s="1" t="s">
        <v>117</v>
      </c>
    </row>
    <row r="1472" spans="1:8" x14ac:dyDescent="0.35">
      <c r="A1472" s="2">
        <v>45069.799305555556</v>
      </c>
      <c r="B1472" s="3">
        <v>0.24880787037037036</v>
      </c>
      <c r="C1472" s="1" t="s">
        <v>8</v>
      </c>
      <c r="D1472" s="1" t="s">
        <v>12</v>
      </c>
      <c r="E1472" s="1">
        <v>99.09</v>
      </c>
      <c r="F1472" s="1">
        <v>2</v>
      </c>
      <c r="G1472" s="1">
        <v>198.18</v>
      </c>
      <c r="H1472" s="1" t="s">
        <v>143</v>
      </c>
    </row>
    <row r="1473" spans="1:8" x14ac:dyDescent="0.35">
      <c r="A1473" s="2">
        <v>45186.125694444447</v>
      </c>
      <c r="B1473" s="3">
        <v>0.87611111111111117</v>
      </c>
      <c r="C1473" s="1" t="s">
        <v>8</v>
      </c>
      <c r="D1473" s="1" t="s">
        <v>20</v>
      </c>
      <c r="E1473" s="1">
        <v>93.93</v>
      </c>
      <c r="F1473" s="1">
        <v>3</v>
      </c>
      <c r="G1473" s="1">
        <v>281.79000000000002</v>
      </c>
      <c r="H1473" s="1" t="s">
        <v>119</v>
      </c>
    </row>
    <row r="1474" spans="1:8" x14ac:dyDescent="0.35">
      <c r="A1474" s="2">
        <v>45071.27847222222</v>
      </c>
      <c r="B1474" s="3">
        <v>0.50788194444444446</v>
      </c>
      <c r="C1474" s="1" t="s">
        <v>11</v>
      </c>
      <c r="D1474" s="1" t="s">
        <v>20</v>
      </c>
      <c r="E1474" s="1">
        <v>452.91</v>
      </c>
      <c r="F1474" s="1">
        <v>2</v>
      </c>
      <c r="G1474" s="1">
        <v>905.82</v>
      </c>
      <c r="H1474" s="1" t="s">
        <v>328</v>
      </c>
    </row>
    <row r="1475" spans="1:8" x14ac:dyDescent="0.35">
      <c r="A1475" s="2">
        <v>45085.372916666667</v>
      </c>
      <c r="B1475" s="3">
        <v>0.7943634259259259</v>
      </c>
      <c r="C1475" s="1" t="s">
        <v>11</v>
      </c>
      <c r="D1475" s="1" t="s">
        <v>27</v>
      </c>
      <c r="E1475" s="1">
        <v>286.94</v>
      </c>
      <c r="F1475" s="1">
        <v>5</v>
      </c>
      <c r="G1475" s="1">
        <v>1434.7</v>
      </c>
      <c r="H1475" s="1" t="s">
        <v>334</v>
      </c>
    </row>
    <row r="1476" spans="1:8" x14ac:dyDescent="0.35">
      <c r="A1476" s="2">
        <v>45250.763888888891</v>
      </c>
      <c r="B1476" s="3">
        <v>0.28359953703703705</v>
      </c>
      <c r="C1476" s="1" t="s">
        <v>8</v>
      </c>
      <c r="D1476" s="1" t="s">
        <v>16</v>
      </c>
      <c r="E1476" s="1">
        <v>250.32</v>
      </c>
      <c r="F1476" s="1">
        <v>2</v>
      </c>
      <c r="G1476" s="1">
        <v>500.64</v>
      </c>
      <c r="H1476" s="1" t="s">
        <v>33</v>
      </c>
    </row>
    <row r="1477" spans="1:8" x14ac:dyDescent="0.35">
      <c r="A1477" s="2">
        <v>45472.458333333336</v>
      </c>
      <c r="B1477" s="3">
        <v>0.87135416666666676</v>
      </c>
      <c r="C1477" s="1" t="s">
        <v>14</v>
      </c>
      <c r="D1477" s="1" t="s">
        <v>20</v>
      </c>
      <c r="E1477" s="1">
        <v>182.36</v>
      </c>
      <c r="F1477" s="1">
        <v>4</v>
      </c>
      <c r="G1477" s="1">
        <v>729.44</v>
      </c>
      <c r="H1477" s="1" t="s">
        <v>196</v>
      </c>
    </row>
    <row r="1478" spans="1:8" x14ac:dyDescent="0.35">
      <c r="A1478" s="2">
        <v>45658.025694444441</v>
      </c>
      <c r="B1478" s="3">
        <v>0.48090277777777773</v>
      </c>
      <c r="C1478" s="1" t="s">
        <v>14</v>
      </c>
      <c r="D1478" s="1" t="s">
        <v>20</v>
      </c>
      <c r="E1478" s="1">
        <v>191.61</v>
      </c>
      <c r="F1478" s="1">
        <v>4</v>
      </c>
      <c r="G1478" s="1">
        <v>766.44</v>
      </c>
      <c r="H1478" s="1" t="s">
        <v>378</v>
      </c>
    </row>
    <row r="1479" spans="1:8" x14ac:dyDescent="0.35">
      <c r="A1479" s="2">
        <v>44961.013194444444</v>
      </c>
      <c r="B1479" s="3">
        <v>0.88734953703703701</v>
      </c>
      <c r="C1479" s="1" t="s">
        <v>8</v>
      </c>
      <c r="D1479" s="1" t="s">
        <v>12</v>
      </c>
      <c r="E1479" s="1">
        <v>146.93</v>
      </c>
      <c r="F1479" s="1">
        <v>5</v>
      </c>
      <c r="G1479" s="1">
        <v>734.65</v>
      </c>
      <c r="H1479" s="1" t="s">
        <v>221</v>
      </c>
    </row>
    <row r="1480" spans="1:8" x14ac:dyDescent="0.35">
      <c r="A1480" s="2">
        <v>45486.441666666666</v>
      </c>
      <c r="B1480" s="3">
        <v>0.97664351851851849</v>
      </c>
      <c r="C1480" s="1" t="s">
        <v>11</v>
      </c>
      <c r="D1480" s="1" t="s">
        <v>27</v>
      </c>
      <c r="E1480" s="1">
        <v>380.32</v>
      </c>
      <c r="F1480" s="1">
        <v>4</v>
      </c>
      <c r="G1480" s="1">
        <v>1521.28</v>
      </c>
      <c r="H1480" s="1" t="s">
        <v>287</v>
      </c>
    </row>
    <row r="1481" spans="1:8" x14ac:dyDescent="0.35">
      <c r="A1481" s="2">
        <v>45343.193749999999</v>
      </c>
      <c r="B1481" s="3">
        <v>0.54402777777777778</v>
      </c>
      <c r="C1481" s="1" t="s">
        <v>11</v>
      </c>
      <c r="D1481" s="1" t="s">
        <v>9</v>
      </c>
      <c r="E1481" s="1">
        <v>216.76</v>
      </c>
      <c r="F1481" s="1">
        <v>5</v>
      </c>
      <c r="G1481" s="1">
        <v>1083.8</v>
      </c>
      <c r="H1481" s="1" t="s">
        <v>105</v>
      </c>
    </row>
    <row r="1482" spans="1:8" x14ac:dyDescent="0.35">
      <c r="A1482" s="2">
        <v>45161.911111111112</v>
      </c>
      <c r="B1482" s="3">
        <v>0.1375925925925926</v>
      </c>
      <c r="C1482" s="1" t="s">
        <v>14</v>
      </c>
      <c r="D1482" s="1" t="s">
        <v>27</v>
      </c>
      <c r="E1482" s="1">
        <v>203.05</v>
      </c>
      <c r="F1482" s="1">
        <v>5</v>
      </c>
      <c r="G1482" s="1">
        <v>1015.25</v>
      </c>
      <c r="H1482" s="1" t="s">
        <v>381</v>
      </c>
    </row>
    <row r="1483" spans="1:8" x14ac:dyDescent="0.35">
      <c r="A1483" s="2">
        <v>45125.60833333333</v>
      </c>
      <c r="B1483" s="3">
        <v>0.18634259259259259</v>
      </c>
      <c r="C1483" s="1" t="s">
        <v>14</v>
      </c>
      <c r="D1483" s="1" t="s">
        <v>20</v>
      </c>
      <c r="E1483" s="1">
        <v>425.34</v>
      </c>
      <c r="F1483" s="1">
        <v>3</v>
      </c>
      <c r="G1483" s="1">
        <v>1276.02</v>
      </c>
      <c r="H1483" s="1" t="s">
        <v>288</v>
      </c>
    </row>
    <row r="1484" spans="1:8" x14ac:dyDescent="0.35">
      <c r="A1484" s="2">
        <v>45358.854861111111</v>
      </c>
      <c r="B1484" s="3">
        <v>3.0532407407407411E-2</v>
      </c>
      <c r="C1484" s="1" t="s">
        <v>11</v>
      </c>
      <c r="D1484" s="1" t="s">
        <v>16</v>
      </c>
      <c r="E1484" s="1">
        <v>259.95</v>
      </c>
      <c r="F1484" s="1">
        <v>3</v>
      </c>
      <c r="G1484" s="1">
        <v>779.85</v>
      </c>
      <c r="H1484" s="1" t="s">
        <v>273</v>
      </c>
    </row>
    <row r="1485" spans="1:8" x14ac:dyDescent="0.35">
      <c r="A1485" s="2">
        <v>45458.178472222222</v>
      </c>
      <c r="B1485" s="3">
        <v>0.57659722222222221</v>
      </c>
      <c r="C1485" s="1" t="s">
        <v>11</v>
      </c>
      <c r="D1485" s="1" t="s">
        <v>9</v>
      </c>
      <c r="E1485" s="1">
        <v>175.2</v>
      </c>
      <c r="F1485" s="1">
        <v>4</v>
      </c>
      <c r="G1485" s="1">
        <v>700.8</v>
      </c>
      <c r="H1485" s="1" t="s">
        <v>249</v>
      </c>
    </row>
    <row r="1486" spans="1:8" x14ac:dyDescent="0.35">
      <c r="A1486" s="2">
        <v>45327.886111111111</v>
      </c>
      <c r="B1486" s="3">
        <v>0.5420949074074074</v>
      </c>
      <c r="C1486" s="1" t="s">
        <v>14</v>
      </c>
      <c r="D1486" s="1" t="s">
        <v>9</v>
      </c>
      <c r="E1486" s="1">
        <v>251.29</v>
      </c>
      <c r="F1486" s="1">
        <v>2</v>
      </c>
      <c r="G1486" s="1">
        <v>502.58</v>
      </c>
      <c r="H1486" s="1" t="s">
        <v>56</v>
      </c>
    </row>
    <row r="1487" spans="1:8" x14ac:dyDescent="0.35">
      <c r="A1487" s="2">
        <v>45217.15</v>
      </c>
      <c r="B1487" s="3">
        <v>9.7175925925925929E-2</v>
      </c>
      <c r="C1487" s="1" t="s">
        <v>8</v>
      </c>
      <c r="D1487" s="1" t="s">
        <v>12</v>
      </c>
      <c r="E1487" s="1">
        <v>56.26</v>
      </c>
      <c r="F1487" s="1">
        <v>5</v>
      </c>
      <c r="G1487" s="1">
        <v>281.3</v>
      </c>
      <c r="H1487" s="1" t="s">
        <v>380</v>
      </c>
    </row>
    <row r="1488" spans="1:8" x14ac:dyDescent="0.35">
      <c r="A1488" s="2">
        <v>45021.875694444447</v>
      </c>
      <c r="B1488" s="3">
        <v>0.76599537037037047</v>
      </c>
      <c r="C1488" s="1" t="s">
        <v>14</v>
      </c>
      <c r="D1488" s="1" t="s">
        <v>27</v>
      </c>
      <c r="E1488" s="1">
        <v>375.39</v>
      </c>
      <c r="F1488" s="1">
        <v>5</v>
      </c>
      <c r="G1488" s="1">
        <v>1876.95</v>
      </c>
      <c r="H1488" s="1" t="s">
        <v>294</v>
      </c>
    </row>
    <row r="1489" spans="1:8" x14ac:dyDescent="0.35">
      <c r="A1489" s="2">
        <v>45233.609027777777</v>
      </c>
      <c r="B1489" s="3">
        <v>0.51634259259259263</v>
      </c>
      <c r="C1489" s="1" t="s">
        <v>8</v>
      </c>
      <c r="D1489" s="1" t="s">
        <v>12</v>
      </c>
      <c r="E1489" s="1">
        <v>446.89</v>
      </c>
      <c r="F1489" s="1">
        <v>1</v>
      </c>
      <c r="G1489" s="1">
        <v>446.89</v>
      </c>
      <c r="H1489" s="1" t="s">
        <v>278</v>
      </c>
    </row>
    <row r="1490" spans="1:8" x14ac:dyDescent="0.35">
      <c r="A1490" s="2">
        <v>45639.861805555556</v>
      </c>
      <c r="B1490" s="3">
        <v>0.74824074074074076</v>
      </c>
      <c r="C1490" s="1" t="s">
        <v>11</v>
      </c>
      <c r="D1490" s="1" t="s">
        <v>12</v>
      </c>
      <c r="E1490" s="1">
        <v>408.75</v>
      </c>
      <c r="F1490" s="1">
        <v>4</v>
      </c>
      <c r="G1490" s="1">
        <v>1635</v>
      </c>
      <c r="H1490" s="1" t="s">
        <v>314</v>
      </c>
    </row>
    <row r="1491" spans="1:8" x14ac:dyDescent="0.35">
      <c r="A1491" s="2">
        <v>45316.92083333333</v>
      </c>
      <c r="B1491" s="3">
        <v>0.46934027777777776</v>
      </c>
      <c r="C1491" s="1" t="s">
        <v>8</v>
      </c>
      <c r="D1491" s="1" t="s">
        <v>9</v>
      </c>
      <c r="E1491" s="1">
        <v>104.46</v>
      </c>
      <c r="F1491" s="1">
        <v>3</v>
      </c>
      <c r="G1491" s="1">
        <v>313.38</v>
      </c>
      <c r="H1491" s="1" t="s">
        <v>358</v>
      </c>
    </row>
    <row r="1492" spans="1:8" x14ac:dyDescent="0.35">
      <c r="A1492" s="2">
        <v>45106.009027777778</v>
      </c>
      <c r="B1492" s="3">
        <v>0.55612268518518515</v>
      </c>
      <c r="C1492" s="1" t="s">
        <v>8</v>
      </c>
      <c r="D1492" s="1" t="s">
        <v>27</v>
      </c>
      <c r="E1492" s="1">
        <v>239.18</v>
      </c>
      <c r="F1492" s="1">
        <v>3</v>
      </c>
      <c r="G1492" s="1">
        <v>717.54</v>
      </c>
      <c r="H1492" s="1" t="s">
        <v>145</v>
      </c>
    </row>
    <row r="1493" spans="1:8" x14ac:dyDescent="0.35">
      <c r="A1493" s="2">
        <v>44988.35833333333</v>
      </c>
      <c r="B1493" s="3">
        <v>0.96287037037037038</v>
      </c>
      <c r="C1493" s="1" t="s">
        <v>11</v>
      </c>
      <c r="D1493" s="1" t="s">
        <v>9</v>
      </c>
      <c r="E1493" s="1">
        <v>130.68</v>
      </c>
      <c r="F1493" s="1">
        <v>5</v>
      </c>
      <c r="G1493" s="1">
        <v>653.4</v>
      </c>
      <c r="H1493" s="1" t="s">
        <v>174</v>
      </c>
    </row>
    <row r="1494" spans="1:8" x14ac:dyDescent="0.35">
      <c r="A1494" s="2">
        <v>45110.631249999999</v>
      </c>
      <c r="B1494" s="3">
        <v>0.66047453703703707</v>
      </c>
      <c r="C1494" s="1" t="s">
        <v>14</v>
      </c>
      <c r="D1494" s="1" t="s">
        <v>16</v>
      </c>
      <c r="E1494" s="1">
        <v>177.48</v>
      </c>
      <c r="F1494" s="1">
        <v>5</v>
      </c>
      <c r="G1494" s="1">
        <v>887.4</v>
      </c>
      <c r="H1494" s="1" t="s">
        <v>265</v>
      </c>
    </row>
    <row r="1495" spans="1:8" x14ac:dyDescent="0.35">
      <c r="A1495" s="2">
        <v>45295.29791666667</v>
      </c>
      <c r="B1495" s="3">
        <v>0.69349537037037035</v>
      </c>
      <c r="C1495" s="1" t="s">
        <v>11</v>
      </c>
      <c r="D1495" s="1" t="s">
        <v>9</v>
      </c>
      <c r="E1495" s="1">
        <v>137.13999999999999</v>
      </c>
      <c r="F1495" s="1">
        <v>5</v>
      </c>
      <c r="G1495" s="1">
        <v>685.7</v>
      </c>
      <c r="H1495" s="1" t="s">
        <v>103</v>
      </c>
    </row>
    <row r="1496" spans="1:8" x14ac:dyDescent="0.35">
      <c r="A1496" s="2">
        <v>45284.361111111109</v>
      </c>
      <c r="B1496" s="3">
        <v>0.41766203703703703</v>
      </c>
      <c r="C1496" s="1" t="s">
        <v>8</v>
      </c>
      <c r="D1496" s="1" t="s">
        <v>20</v>
      </c>
      <c r="E1496" s="1">
        <v>249.37</v>
      </c>
      <c r="F1496" s="1">
        <v>3</v>
      </c>
      <c r="G1496" s="1">
        <v>748.11</v>
      </c>
      <c r="H1496" s="1" t="s">
        <v>407</v>
      </c>
    </row>
    <row r="1497" spans="1:8" x14ac:dyDescent="0.35">
      <c r="A1497" s="2">
        <v>45631.880555555559</v>
      </c>
      <c r="B1497" s="3">
        <v>0.28135416666666663</v>
      </c>
      <c r="C1497" s="1" t="s">
        <v>14</v>
      </c>
      <c r="D1497" s="1" t="s">
        <v>9</v>
      </c>
      <c r="E1497" s="1">
        <v>291.7</v>
      </c>
      <c r="F1497" s="1">
        <v>2</v>
      </c>
      <c r="G1497" s="1">
        <v>583.4</v>
      </c>
      <c r="H1497" s="1" t="s">
        <v>311</v>
      </c>
    </row>
    <row r="1498" spans="1:8" x14ac:dyDescent="0.35">
      <c r="A1498" s="2">
        <v>45282.118055555555</v>
      </c>
      <c r="B1498" s="3">
        <v>0.32394675925925925</v>
      </c>
      <c r="C1498" s="1" t="s">
        <v>14</v>
      </c>
      <c r="D1498" s="1" t="s">
        <v>27</v>
      </c>
      <c r="E1498" s="1">
        <v>316.57</v>
      </c>
      <c r="F1498" s="1">
        <v>1</v>
      </c>
      <c r="G1498" s="1">
        <v>316.57</v>
      </c>
      <c r="H1498" s="1" t="s">
        <v>231</v>
      </c>
    </row>
    <row r="1499" spans="1:8" x14ac:dyDescent="0.35">
      <c r="A1499" s="2">
        <v>45339.34375</v>
      </c>
      <c r="B1499" s="3">
        <v>4.1689814814814818E-2</v>
      </c>
      <c r="C1499" s="1" t="s">
        <v>8</v>
      </c>
      <c r="D1499" s="1" t="s">
        <v>9</v>
      </c>
      <c r="E1499" s="1">
        <v>194.86</v>
      </c>
      <c r="F1499" s="1">
        <v>5</v>
      </c>
      <c r="G1499" s="1">
        <v>974.3</v>
      </c>
      <c r="H1499" s="1" t="s">
        <v>155</v>
      </c>
    </row>
    <row r="1500" spans="1:8" x14ac:dyDescent="0.35">
      <c r="A1500" s="2">
        <v>45315.422222222223</v>
      </c>
      <c r="B1500" s="3">
        <v>0.34577546296296297</v>
      </c>
      <c r="C1500" s="1" t="s">
        <v>14</v>
      </c>
      <c r="D1500" s="1" t="s">
        <v>27</v>
      </c>
      <c r="E1500" s="1">
        <v>202.42</v>
      </c>
      <c r="F1500" s="1">
        <v>1</v>
      </c>
      <c r="G1500" s="1">
        <v>202.42</v>
      </c>
      <c r="H1500" s="1" t="s">
        <v>166</v>
      </c>
    </row>
    <row r="1501" spans="1:8" x14ac:dyDescent="0.35">
      <c r="A1501" s="2">
        <v>45069.754166666666</v>
      </c>
      <c r="B1501" s="3">
        <v>0.14584490740740741</v>
      </c>
      <c r="C1501" s="1" t="s">
        <v>14</v>
      </c>
      <c r="D1501" s="1" t="s">
        <v>12</v>
      </c>
      <c r="E1501" s="1">
        <v>270.39</v>
      </c>
      <c r="F1501" s="1">
        <v>1</v>
      </c>
      <c r="G1501" s="1">
        <v>270.39</v>
      </c>
      <c r="H1501" s="1" t="s">
        <v>175</v>
      </c>
    </row>
    <row r="1502" spans="1:8" x14ac:dyDescent="0.35">
      <c r="A1502" s="2">
        <v>44968.797222222223</v>
      </c>
      <c r="B1502" s="3">
        <v>0.44684027777777779</v>
      </c>
      <c r="C1502" s="1" t="s">
        <v>11</v>
      </c>
      <c r="D1502" s="1" t="s">
        <v>9</v>
      </c>
      <c r="E1502" s="1">
        <v>136.71</v>
      </c>
      <c r="F1502" s="1">
        <v>4</v>
      </c>
      <c r="G1502" s="1">
        <v>546.84</v>
      </c>
      <c r="H1502" s="1" t="s">
        <v>404</v>
      </c>
    </row>
    <row r="1503" spans="1:8" x14ac:dyDescent="0.35">
      <c r="A1503" s="2">
        <v>45266.181250000001</v>
      </c>
      <c r="B1503" s="3">
        <v>0.82239583333333333</v>
      </c>
      <c r="C1503" s="1" t="s">
        <v>14</v>
      </c>
      <c r="D1503" s="1" t="s">
        <v>12</v>
      </c>
      <c r="E1503" s="1">
        <v>451.58</v>
      </c>
      <c r="F1503" s="1">
        <v>1</v>
      </c>
      <c r="G1503" s="1">
        <v>451.58</v>
      </c>
      <c r="H1503" s="1" t="s">
        <v>139</v>
      </c>
    </row>
    <row r="1504" spans="1:8" x14ac:dyDescent="0.35">
      <c r="A1504" s="2">
        <v>45301.697916666664</v>
      </c>
      <c r="B1504" s="3">
        <v>0.46871527777777783</v>
      </c>
      <c r="C1504" s="1" t="s">
        <v>8</v>
      </c>
      <c r="D1504" s="1" t="s">
        <v>16</v>
      </c>
      <c r="E1504" s="1">
        <v>299.92</v>
      </c>
      <c r="F1504" s="1">
        <v>3</v>
      </c>
      <c r="G1504" s="1">
        <v>899.76</v>
      </c>
      <c r="H1504" s="1" t="s">
        <v>208</v>
      </c>
    </row>
    <row r="1505" spans="1:8" x14ac:dyDescent="0.35">
      <c r="A1505" s="2">
        <v>45501.17291666667</v>
      </c>
      <c r="B1505" s="3">
        <v>0.79969907407407403</v>
      </c>
      <c r="C1505" s="1" t="s">
        <v>8</v>
      </c>
      <c r="D1505" s="1" t="s">
        <v>27</v>
      </c>
      <c r="E1505" s="1">
        <v>14.23</v>
      </c>
      <c r="F1505" s="1">
        <v>3</v>
      </c>
      <c r="G1505" s="1">
        <v>42.69</v>
      </c>
      <c r="H1505" s="1" t="s">
        <v>342</v>
      </c>
    </row>
    <row r="1506" spans="1:8" x14ac:dyDescent="0.35">
      <c r="A1506" s="2">
        <v>45498.59097222222</v>
      </c>
      <c r="B1506" s="3">
        <v>0.85888888888888892</v>
      </c>
      <c r="C1506" s="1" t="s">
        <v>11</v>
      </c>
      <c r="D1506" s="1" t="s">
        <v>9</v>
      </c>
      <c r="E1506" s="1">
        <v>492.43</v>
      </c>
      <c r="F1506" s="1">
        <v>5</v>
      </c>
      <c r="G1506" s="1">
        <v>2462.15</v>
      </c>
      <c r="H1506" s="1" t="s">
        <v>89</v>
      </c>
    </row>
    <row r="1507" spans="1:8" x14ac:dyDescent="0.35">
      <c r="A1507" s="2">
        <v>45158.125</v>
      </c>
      <c r="B1507" s="3">
        <v>0.39090277777777777</v>
      </c>
      <c r="C1507" s="1" t="s">
        <v>8</v>
      </c>
      <c r="D1507" s="1" t="s">
        <v>20</v>
      </c>
      <c r="E1507" s="1">
        <v>444.57</v>
      </c>
      <c r="F1507" s="1">
        <v>2</v>
      </c>
      <c r="G1507" s="1">
        <v>889.14</v>
      </c>
      <c r="H1507" s="1" t="s">
        <v>225</v>
      </c>
    </row>
    <row r="1508" spans="1:8" x14ac:dyDescent="0.35">
      <c r="A1508" s="2">
        <v>45586.353472222225</v>
      </c>
      <c r="B1508" s="3">
        <v>0.17921296296296296</v>
      </c>
      <c r="C1508" s="1" t="s">
        <v>11</v>
      </c>
      <c r="D1508" s="1" t="s">
        <v>27</v>
      </c>
      <c r="E1508" s="1">
        <v>99.61</v>
      </c>
      <c r="F1508" s="1">
        <v>4</v>
      </c>
      <c r="G1508" s="1">
        <v>398.44</v>
      </c>
      <c r="H1508" s="1" t="s">
        <v>247</v>
      </c>
    </row>
    <row r="1509" spans="1:8" x14ac:dyDescent="0.35">
      <c r="A1509" s="2">
        <v>45382.186111111114</v>
      </c>
      <c r="B1509" s="3">
        <v>0.35309027777777779</v>
      </c>
      <c r="C1509" s="1" t="s">
        <v>14</v>
      </c>
      <c r="D1509" s="1" t="s">
        <v>9</v>
      </c>
      <c r="E1509" s="1">
        <v>475.13</v>
      </c>
      <c r="F1509" s="1">
        <v>5</v>
      </c>
      <c r="G1509" s="1">
        <v>2375.65</v>
      </c>
      <c r="H1509" s="1" t="s">
        <v>234</v>
      </c>
    </row>
    <row r="1510" spans="1:8" x14ac:dyDescent="0.35">
      <c r="A1510" s="2">
        <v>45092.44027777778</v>
      </c>
      <c r="B1510" s="3">
        <v>0.73923611111111109</v>
      </c>
      <c r="C1510" s="1" t="s">
        <v>11</v>
      </c>
      <c r="D1510" s="1" t="s">
        <v>20</v>
      </c>
      <c r="E1510" s="1">
        <v>162.25</v>
      </c>
      <c r="F1510" s="1">
        <v>4</v>
      </c>
      <c r="G1510" s="1">
        <v>649</v>
      </c>
      <c r="H1510" s="1" t="s">
        <v>316</v>
      </c>
    </row>
    <row r="1511" spans="1:8" x14ac:dyDescent="0.35">
      <c r="A1511" s="2">
        <v>45546.831944444442</v>
      </c>
      <c r="B1511" s="3">
        <v>0.68863425925925925</v>
      </c>
      <c r="C1511" s="1" t="s">
        <v>11</v>
      </c>
      <c r="D1511" s="1" t="s">
        <v>12</v>
      </c>
      <c r="E1511" s="1">
        <v>14.88</v>
      </c>
      <c r="F1511" s="1">
        <v>4</v>
      </c>
      <c r="G1511" s="1">
        <v>59.52</v>
      </c>
      <c r="H1511" s="1" t="s">
        <v>18</v>
      </c>
    </row>
    <row r="1512" spans="1:8" x14ac:dyDescent="0.35">
      <c r="A1512" s="2">
        <v>45280.752083333333</v>
      </c>
      <c r="B1512" s="3">
        <v>3.9189814814814809E-2</v>
      </c>
      <c r="C1512" s="1" t="s">
        <v>11</v>
      </c>
      <c r="D1512" s="1" t="s">
        <v>9</v>
      </c>
      <c r="E1512" s="1">
        <v>67.040000000000006</v>
      </c>
      <c r="F1512" s="1">
        <v>2</v>
      </c>
      <c r="G1512" s="1">
        <v>134.08000000000001</v>
      </c>
      <c r="H1512" s="1" t="s">
        <v>285</v>
      </c>
    </row>
    <row r="1513" spans="1:8" x14ac:dyDescent="0.35">
      <c r="A1513" s="2">
        <v>45103.343055555553</v>
      </c>
      <c r="B1513" s="3">
        <v>0.17204861111111111</v>
      </c>
      <c r="C1513" s="1" t="s">
        <v>8</v>
      </c>
      <c r="D1513" s="1" t="s">
        <v>12</v>
      </c>
      <c r="E1513" s="1">
        <v>165.02</v>
      </c>
      <c r="F1513" s="1">
        <v>2</v>
      </c>
      <c r="G1513" s="1">
        <v>330.04</v>
      </c>
      <c r="H1513" s="1" t="s">
        <v>275</v>
      </c>
    </row>
    <row r="1514" spans="1:8" x14ac:dyDescent="0.35">
      <c r="A1514" s="2">
        <v>45043.012499999997</v>
      </c>
      <c r="B1514" s="3">
        <v>0.16061342592592592</v>
      </c>
      <c r="C1514" s="1" t="s">
        <v>14</v>
      </c>
      <c r="D1514" s="1" t="s">
        <v>20</v>
      </c>
      <c r="E1514" s="1">
        <v>239.38</v>
      </c>
      <c r="F1514" s="1">
        <v>2</v>
      </c>
      <c r="G1514" s="1">
        <v>478.76</v>
      </c>
      <c r="H1514" s="1" t="s">
        <v>334</v>
      </c>
    </row>
    <row r="1515" spans="1:8" x14ac:dyDescent="0.35">
      <c r="A1515" s="2">
        <v>45134.188888888886</v>
      </c>
      <c r="B1515" s="3">
        <v>0.83223379629629635</v>
      </c>
      <c r="C1515" s="1" t="s">
        <v>11</v>
      </c>
      <c r="D1515" s="1" t="s">
        <v>9</v>
      </c>
      <c r="E1515" s="1">
        <v>186.16</v>
      </c>
      <c r="F1515" s="1">
        <v>1</v>
      </c>
      <c r="G1515" s="1">
        <v>186.16</v>
      </c>
      <c r="H1515" s="1" t="s">
        <v>393</v>
      </c>
    </row>
    <row r="1516" spans="1:8" x14ac:dyDescent="0.35">
      <c r="A1516" s="2">
        <v>44931.111111111109</v>
      </c>
      <c r="B1516" s="3">
        <v>0.1582523148148148</v>
      </c>
      <c r="C1516" s="1" t="s">
        <v>14</v>
      </c>
      <c r="D1516" s="1" t="s">
        <v>12</v>
      </c>
      <c r="E1516" s="1">
        <v>151.41</v>
      </c>
      <c r="F1516" s="1">
        <v>3</v>
      </c>
      <c r="G1516" s="1">
        <v>454.23</v>
      </c>
      <c r="H1516" s="1" t="s">
        <v>251</v>
      </c>
    </row>
    <row r="1517" spans="1:8" x14ac:dyDescent="0.35">
      <c r="A1517" s="2">
        <v>45209.425000000003</v>
      </c>
      <c r="B1517" s="3">
        <v>0.25422453703703701</v>
      </c>
      <c r="C1517" s="1" t="s">
        <v>14</v>
      </c>
      <c r="D1517" s="1" t="s">
        <v>20</v>
      </c>
      <c r="E1517" s="1">
        <v>279.55</v>
      </c>
      <c r="F1517" s="1">
        <v>2</v>
      </c>
      <c r="G1517" s="1">
        <v>559.1</v>
      </c>
      <c r="H1517" s="1" t="s">
        <v>403</v>
      </c>
    </row>
    <row r="1518" spans="1:8" x14ac:dyDescent="0.35">
      <c r="A1518" s="2">
        <v>45214.376388888886</v>
      </c>
      <c r="B1518" s="3">
        <v>0.72112268518518519</v>
      </c>
      <c r="C1518" s="1" t="s">
        <v>11</v>
      </c>
      <c r="D1518" s="1" t="s">
        <v>16</v>
      </c>
      <c r="E1518" s="1">
        <v>59.46</v>
      </c>
      <c r="F1518" s="1">
        <v>1</v>
      </c>
      <c r="G1518" s="1">
        <v>59.46</v>
      </c>
      <c r="H1518" s="1" t="s">
        <v>407</v>
      </c>
    </row>
    <row r="1519" spans="1:8" x14ac:dyDescent="0.35">
      <c r="A1519" s="2">
        <v>45017.626388888886</v>
      </c>
      <c r="B1519" s="3">
        <v>0.23011574074074073</v>
      </c>
      <c r="C1519" s="1" t="s">
        <v>11</v>
      </c>
      <c r="D1519" s="1" t="s">
        <v>16</v>
      </c>
      <c r="E1519" s="1">
        <v>474.5</v>
      </c>
      <c r="F1519" s="1">
        <v>1</v>
      </c>
      <c r="G1519" s="1">
        <v>474.5</v>
      </c>
      <c r="H1519" s="1" t="s">
        <v>39</v>
      </c>
    </row>
    <row r="1520" spans="1:8" x14ac:dyDescent="0.35">
      <c r="A1520" s="2">
        <v>45549.816666666666</v>
      </c>
      <c r="B1520" s="3">
        <v>0.26832175925925927</v>
      </c>
      <c r="C1520" s="1" t="s">
        <v>8</v>
      </c>
      <c r="D1520" s="1" t="s">
        <v>12</v>
      </c>
      <c r="E1520" s="1">
        <v>246.32</v>
      </c>
      <c r="F1520" s="1">
        <v>4</v>
      </c>
      <c r="G1520" s="1">
        <v>985.28</v>
      </c>
      <c r="H1520" s="1" t="s">
        <v>346</v>
      </c>
    </row>
    <row r="1521" spans="1:8" x14ac:dyDescent="0.35">
      <c r="A1521" s="2">
        <v>45596.30972222222</v>
      </c>
      <c r="B1521" s="3">
        <v>0.28078703703703706</v>
      </c>
      <c r="C1521" s="1" t="s">
        <v>11</v>
      </c>
      <c r="D1521" s="1" t="s">
        <v>9</v>
      </c>
      <c r="E1521" s="1">
        <v>28.58</v>
      </c>
      <c r="F1521" s="1">
        <v>3</v>
      </c>
      <c r="G1521" s="1">
        <v>85.74</v>
      </c>
      <c r="H1521" s="1" t="s">
        <v>180</v>
      </c>
    </row>
    <row r="1522" spans="1:8" x14ac:dyDescent="0.35">
      <c r="A1522" s="2">
        <v>45457.9375</v>
      </c>
      <c r="B1522" s="3">
        <v>0.35702546296296295</v>
      </c>
      <c r="C1522" s="1" t="s">
        <v>11</v>
      </c>
      <c r="D1522" s="1" t="s">
        <v>20</v>
      </c>
      <c r="E1522" s="1">
        <v>209.59</v>
      </c>
      <c r="F1522" s="1">
        <v>3</v>
      </c>
      <c r="G1522" s="1">
        <v>628.77</v>
      </c>
      <c r="H1522" s="1" t="s">
        <v>43</v>
      </c>
    </row>
    <row r="1523" spans="1:8" x14ac:dyDescent="0.35">
      <c r="A1523" s="2">
        <v>44965.511805555558</v>
      </c>
      <c r="B1523" s="3">
        <v>0.45873842592592595</v>
      </c>
      <c r="C1523" s="1" t="s">
        <v>14</v>
      </c>
      <c r="D1523" s="1" t="s">
        <v>20</v>
      </c>
      <c r="E1523" s="1">
        <v>93.7</v>
      </c>
      <c r="F1523" s="1">
        <v>5</v>
      </c>
      <c r="G1523" s="1">
        <v>468.5</v>
      </c>
      <c r="H1523" s="1" t="s">
        <v>63</v>
      </c>
    </row>
    <row r="1524" spans="1:8" x14ac:dyDescent="0.35">
      <c r="A1524" s="2">
        <v>45057.050694444442</v>
      </c>
      <c r="B1524" s="3">
        <v>0.36803240740740745</v>
      </c>
      <c r="C1524" s="1" t="s">
        <v>11</v>
      </c>
      <c r="D1524" s="1" t="s">
        <v>20</v>
      </c>
      <c r="E1524" s="1">
        <v>309.02</v>
      </c>
      <c r="F1524" s="1">
        <v>4</v>
      </c>
      <c r="G1524" s="1">
        <v>1236.08</v>
      </c>
      <c r="H1524" s="1" t="s">
        <v>362</v>
      </c>
    </row>
    <row r="1525" spans="1:8" x14ac:dyDescent="0.35">
      <c r="A1525" s="2">
        <v>45317.832638888889</v>
      </c>
      <c r="B1525" s="3">
        <v>0.76766203703703706</v>
      </c>
      <c r="C1525" s="1" t="s">
        <v>11</v>
      </c>
      <c r="D1525" s="1" t="s">
        <v>16</v>
      </c>
      <c r="E1525" s="1">
        <v>345.01</v>
      </c>
      <c r="F1525" s="1">
        <v>5</v>
      </c>
      <c r="G1525" s="1">
        <v>1725.05</v>
      </c>
      <c r="H1525" s="1" t="s">
        <v>392</v>
      </c>
    </row>
    <row r="1526" spans="1:8" x14ac:dyDescent="0.35">
      <c r="A1526" s="2">
        <v>45614.025694444441</v>
      </c>
      <c r="B1526" s="3">
        <v>3.3518518518518517E-2</v>
      </c>
      <c r="C1526" s="1" t="s">
        <v>8</v>
      </c>
      <c r="D1526" s="1" t="s">
        <v>20</v>
      </c>
      <c r="E1526" s="1">
        <v>152.61000000000001</v>
      </c>
      <c r="F1526" s="1">
        <v>4</v>
      </c>
      <c r="G1526" s="1">
        <v>610.44000000000005</v>
      </c>
      <c r="H1526" s="1" t="s">
        <v>124</v>
      </c>
    </row>
    <row r="1527" spans="1:8" x14ac:dyDescent="0.35">
      <c r="A1527" s="2">
        <v>45391.723611111112</v>
      </c>
      <c r="B1527" s="3">
        <v>0.59983796296296299</v>
      </c>
      <c r="C1527" s="1" t="s">
        <v>14</v>
      </c>
      <c r="D1527" s="1" t="s">
        <v>9</v>
      </c>
      <c r="E1527" s="1">
        <v>207.82</v>
      </c>
      <c r="F1527" s="1">
        <v>2</v>
      </c>
      <c r="G1527" s="1">
        <v>415.64</v>
      </c>
      <c r="H1527" s="1" t="s">
        <v>116</v>
      </c>
    </row>
    <row r="1528" spans="1:8" x14ac:dyDescent="0.35">
      <c r="A1528" s="2">
        <v>45217.442361111112</v>
      </c>
      <c r="B1528" s="3">
        <v>0.95572916666666663</v>
      </c>
      <c r="C1528" s="1" t="s">
        <v>11</v>
      </c>
      <c r="D1528" s="1" t="s">
        <v>27</v>
      </c>
      <c r="E1528" s="1">
        <v>315.83999999999997</v>
      </c>
      <c r="F1528" s="1">
        <v>1</v>
      </c>
      <c r="G1528" s="1">
        <v>315.83999999999997</v>
      </c>
      <c r="H1528" s="1" t="s">
        <v>300</v>
      </c>
    </row>
    <row r="1529" spans="1:8" x14ac:dyDescent="0.35">
      <c r="A1529" s="2">
        <v>45387.859722222223</v>
      </c>
      <c r="B1529" s="3">
        <v>0.41576388888888888</v>
      </c>
      <c r="C1529" s="1" t="s">
        <v>8</v>
      </c>
      <c r="D1529" s="1" t="s">
        <v>9</v>
      </c>
      <c r="E1529" s="1">
        <v>442.21</v>
      </c>
      <c r="F1529" s="1">
        <v>4</v>
      </c>
      <c r="G1529" s="1">
        <v>1768.84</v>
      </c>
      <c r="H1529" s="1" t="s">
        <v>157</v>
      </c>
    </row>
    <row r="1530" spans="1:8" x14ac:dyDescent="0.35">
      <c r="A1530" s="2">
        <v>45198.90902777778</v>
      </c>
      <c r="B1530" s="3">
        <v>0.54978009259259253</v>
      </c>
      <c r="C1530" s="1" t="s">
        <v>14</v>
      </c>
      <c r="D1530" s="1" t="s">
        <v>12</v>
      </c>
      <c r="E1530" s="1">
        <v>420.41</v>
      </c>
      <c r="F1530" s="1">
        <v>5</v>
      </c>
      <c r="G1530" s="1">
        <v>2102.0500000000002</v>
      </c>
      <c r="H1530" s="1" t="s">
        <v>98</v>
      </c>
    </row>
    <row r="1531" spans="1:8" x14ac:dyDescent="0.35">
      <c r="A1531" s="2">
        <v>44930.474305555559</v>
      </c>
      <c r="B1531" s="3">
        <v>0.23406249999999998</v>
      </c>
      <c r="C1531" s="1" t="s">
        <v>14</v>
      </c>
      <c r="D1531" s="1" t="s">
        <v>20</v>
      </c>
      <c r="E1531" s="1">
        <v>67.239999999999995</v>
      </c>
      <c r="F1531" s="1">
        <v>2</v>
      </c>
      <c r="G1531" s="1">
        <v>134.47999999999999</v>
      </c>
      <c r="H1531" s="1" t="s">
        <v>385</v>
      </c>
    </row>
    <row r="1532" spans="1:8" x14ac:dyDescent="0.35">
      <c r="A1532" s="2">
        <v>45169.636805555558</v>
      </c>
      <c r="B1532" s="3">
        <v>0.21938657407407405</v>
      </c>
      <c r="C1532" s="1" t="s">
        <v>11</v>
      </c>
      <c r="D1532" s="1" t="s">
        <v>16</v>
      </c>
      <c r="E1532" s="1">
        <v>197.91</v>
      </c>
      <c r="F1532" s="1">
        <v>2</v>
      </c>
      <c r="G1532" s="1">
        <v>395.82</v>
      </c>
      <c r="H1532" s="1" t="s">
        <v>408</v>
      </c>
    </row>
    <row r="1533" spans="1:8" x14ac:dyDescent="0.35">
      <c r="A1533" s="2">
        <v>45648.904861111114</v>
      </c>
      <c r="B1533" s="3">
        <v>0.10131944444444445</v>
      </c>
      <c r="C1533" s="1" t="s">
        <v>14</v>
      </c>
      <c r="D1533" s="1" t="s">
        <v>12</v>
      </c>
      <c r="E1533" s="1">
        <v>249.53</v>
      </c>
      <c r="F1533" s="1">
        <v>2</v>
      </c>
      <c r="G1533" s="1">
        <v>499.06</v>
      </c>
      <c r="H1533" s="1" t="s">
        <v>13</v>
      </c>
    </row>
    <row r="1534" spans="1:8" x14ac:dyDescent="0.35">
      <c r="A1534" s="2">
        <v>45183.215277777781</v>
      </c>
      <c r="B1534" s="3">
        <v>0.84387731481481476</v>
      </c>
      <c r="C1534" s="1" t="s">
        <v>14</v>
      </c>
      <c r="D1534" s="1" t="s">
        <v>9</v>
      </c>
      <c r="E1534" s="1">
        <v>377.37</v>
      </c>
      <c r="F1534" s="1">
        <v>1</v>
      </c>
      <c r="G1534" s="1">
        <v>377.37</v>
      </c>
      <c r="H1534" s="1" t="s">
        <v>374</v>
      </c>
    </row>
    <row r="1535" spans="1:8" x14ac:dyDescent="0.35">
      <c r="A1535" s="2">
        <v>45419.965277777781</v>
      </c>
      <c r="B1535" s="3">
        <v>0.28891203703703705</v>
      </c>
      <c r="C1535" s="1" t="s">
        <v>14</v>
      </c>
      <c r="D1535" s="1" t="s">
        <v>16</v>
      </c>
      <c r="E1535" s="1">
        <v>416.25</v>
      </c>
      <c r="F1535" s="1">
        <v>5</v>
      </c>
      <c r="G1535" s="1">
        <v>2081.25</v>
      </c>
      <c r="H1535" s="1" t="s">
        <v>245</v>
      </c>
    </row>
    <row r="1536" spans="1:8" x14ac:dyDescent="0.35">
      <c r="A1536" s="2">
        <v>44996.343055555553</v>
      </c>
      <c r="B1536" s="3">
        <v>0.79626157407407405</v>
      </c>
      <c r="C1536" s="1" t="s">
        <v>11</v>
      </c>
      <c r="D1536" s="1" t="s">
        <v>12</v>
      </c>
      <c r="E1536" s="1">
        <v>352.46</v>
      </c>
      <c r="F1536" s="1">
        <v>1</v>
      </c>
      <c r="G1536" s="1">
        <v>352.46</v>
      </c>
      <c r="H1536" s="1" t="s">
        <v>265</v>
      </c>
    </row>
    <row r="1537" spans="1:8" x14ac:dyDescent="0.35">
      <c r="A1537" s="2">
        <v>45038.558333333334</v>
      </c>
      <c r="B1537" s="3">
        <v>0.51932870370370365</v>
      </c>
      <c r="C1537" s="1" t="s">
        <v>8</v>
      </c>
      <c r="D1537" s="1" t="s">
        <v>27</v>
      </c>
      <c r="E1537" s="1">
        <v>45.82</v>
      </c>
      <c r="F1537" s="1">
        <v>4</v>
      </c>
      <c r="G1537" s="1">
        <v>183.28</v>
      </c>
      <c r="H1537" s="1" t="s">
        <v>197</v>
      </c>
    </row>
    <row r="1538" spans="1:8" x14ac:dyDescent="0.35">
      <c r="A1538" s="2">
        <v>45108.14166666667</v>
      </c>
      <c r="B1538" s="3">
        <v>0.65023148148148147</v>
      </c>
      <c r="C1538" s="1" t="s">
        <v>8</v>
      </c>
      <c r="D1538" s="1" t="s">
        <v>9</v>
      </c>
      <c r="E1538" s="1">
        <v>213.11</v>
      </c>
      <c r="F1538" s="1">
        <v>4</v>
      </c>
      <c r="G1538" s="1">
        <v>852.44</v>
      </c>
      <c r="H1538" s="1" t="s">
        <v>264</v>
      </c>
    </row>
    <row r="1539" spans="1:8" x14ac:dyDescent="0.35">
      <c r="A1539" s="2">
        <v>45656.679166666669</v>
      </c>
      <c r="B1539" s="3">
        <v>8.4351851851851845E-2</v>
      </c>
      <c r="C1539" s="1" t="s">
        <v>8</v>
      </c>
      <c r="D1539" s="1" t="s">
        <v>16</v>
      </c>
      <c r="E1539" s="1">
        <v>347.94</v>
      </c>
      <c r="F1539" s="1">
        <v>1</v>
      </c>
      <c r="G1539" s="1">
        <v>347.94</v>
      </c>
      <c r="H1539" s="1" t="s">
        <v>128</v>
      </c>
    </row>
    <row r="1540" spans="1:8" x14ac:dyDescent="0.35">
      <c r="A1540" s="2">
        <v>45186.563194444447</v>
      </c>
      <c r="B1540" s="3">
        <v>0.14974537037037036</v>
      </c>
      <c r="C1540" s="1" t="s">
        <v>14</v>
      </c>
      <c r="D1540" s="1" t="s">
        <v>12</v>
      </c>
      <c r="E1540" s="1">
        <v>204.27</v>
      </c>
      <c r="F1540" s="1">
        <v>2</v>
      </c>
      <c r="G1540" s="1">
        <v>408.54</v>
      </c>
      <c r="H1540" s="1" t="s">
        <v>68</v>
      </c>
    </row>
    <row r="1541" spans="1:8" x14ac:dyDescent="0.35">
      <c r="A1541" s="2">
        <v>45247.808333333334</v>
      </c>
      <c r="B1541" s="3">
        <v>0.57467592592592587</v>
      </c>
      <c r="C1541" s="1" t="s">
        <v>11</v>
      </c>
      <c r="D1541" s="1" t="s">
        <v>27</v>
      </c>
      <c r="E1541" s="1">
        <v>105.34</v>
      </c>
      <c r="F1541" s="1">
        <v>3</v>
      </c>
      <c r="G1541" s="1">
        <v>316.02</v>
      </c>
      <c r="H1541" s="1" t="s">
        <v>311</v>
      </c>
    </row>
    <row r="1542" spans="1:8" x14ac:dyDescent="0.35">
      <c r="A1542" s="2">
        <v>45199.767361111109</v>
      </c>
      <c r="B1542" s="3">
        <v>0.90892361111111108</v>
      </c>
      <c r="C1542" s="1" t="s">
        <v>11</v>
      </c>
      <c r="D1542" s="1" t="s">
        <v>20</v>
      </c>
      <c r="E1542" s="1">
        <v>448.28</v>
      </c>
      <c r="F1542" s="1">
        <v>5</v>
      </c>
      <c r="G1542" s="1">
        <v>2241.4</v>
      </c>
      <c r="H1542" s="1" t="s">
        <v>215</v>
      </c>
    </row>
    <row r="1543" spans="1:8" x14ac:dyDescent="0.35">
      <c r="A1543" s="2">
        <v>45056.424305555556</v>
      </c>
      <c r="B1543" s="3">
        <v>0.35579861111111111</v>
      </c>
      <c r="C1543" s="1" t="s">
        <v>11</v>
      </c>
      <c r="D1543" s="1" t="s">
        <v>27</v>
      </c>
      <c r="E1543" s="1">
        <v>454.81</v>
      </c>
      <c r="F1543" s="1">
        <v>3</v>
      </c>
      <c r="G1543" s="1">
        <v>1364.43</v>
      </c>
      <c r="H1543" s="1" t="s">
        <v>345</v>
      </c>
    </row>
    <row r="1544" spans="1:8" x14ac:dyDescent="0.35">
      <c r="A1544" s="2">
        <v>44948.65625</v>
      </c>
      <c r="B1544" s="3">
        <v>9.1620370370370366E-2</v>
      </c>
      <c r="C1544" s="1" t="s">
        <v>8</v>
      </c>
      <c r="D1544" s="1" t="s">
        <v>12</v>
      </c>
      <c r="E1544" s="1">
        <v>439.13</v>
      </c>
      <c r="F1544" s="1">
        <v>3</v>
      </c>
      <c r="G1544" s="1">
        <v>1317.39</v>
      </c>
      <c r="H1544" s="1" t="s">
        <v>10</v>
      </c>
    </row>
    <row r="1545" spans="1:8" x14ac:dyDescent="0.35">
      <c r="A1545" s="2">
        <v>45194.069444444445</v>
      </c>
      <c r="B1545" s="3">
        <v>0.8212962962962963</v>
      </c>
      <c r="C1545" s="1" t="s">
        <v>14</v>
      </c>
      <c r="D1545" s="1" t="s">
        <v>9</v>
      </c>
      <c r="E1545" s="1">
        <v>189.75</v>
      </c>
      <c r="F1545" s="1">
        <v>5</v>
      </c>
      <c r="G1545" s="1">
        <v>948.75</v>
      </c>
      <c r="H1545" s="1" t="s">
        <v>71</v>
      </c>
    </row>
    <row r="1546" spans="1:8" x14ac:dyDescent="0.35">
      <c r="A1546" s="2">
        <v>45491.867361111108</v>
      </c>
      <c r="B1546" s="3">
        <v>0.87951388888888893</v>
      </c>
      <c r="C1546" s="1" t="s">
        <v>14</v>
      </c>
      <c r="D1546" s="1" t="s">
        <v>12</v>
      </c>
      <c r="E1546" s="1">
        <v>442.32</v>
      </c>
      <c r="F1546" s="1">
        <v>3</v>
      </c>
      <c r="G1546" s="1">
        <v>1326.96</v>
      </c>
      <c r="H1546" s="1" t="s">
        <v>262</v>
      </c>
    </row>
    <row r="1547" spans="1:8" x14ac:dyDescent="0.35">
      <c r="A1547" s="2">
        <v>45127.966666666667</v>
      </c>
      <c r="B1547" s="3">
        <v>0.12217592592592592</v>
      </c>
      <c r="C1547" s="1" t="s">
        <v>8</v>
      </c>
      <c r="D1547" s="1" t="s">
        <v>9</v>
      </c>
      <c r="E1547" s="1">
        <v>273.18</v>
      </c>
      <c r="F1547" s="1">
        <v>4</v>
      </c>
      <c r="G1547" s="1">
        <v>1092.72</v>
      </c>
      <c r="H1547" s="1" t="s">
        <v>359</v>
      </c>
    </row>
    <row r="1548" spans="1:8" x14ac:dyDescent="0.35">
      <c r="A1548" s="2">
        <v>44947.950694444444</v>
      </c>
      <c r="B1548" s="3">
        <v>0.25991898148148146</v>
      </c>
      <c r="C1548" s="1" t="s">
        <v>11</v>
      </c>
      <c r="D1548" s="1" t="s">
        <v>27</v>
      </c>
      <c r="E1548" s="1">
        <v>241.21</v>
      </c>
      <c r="F1548" s="1">
        <v>3</v>
      </c>
      <c r="G1548" s="1">
        <v>723.63</v>
      </c>
      <c r="H1548" s="1" t="s">
        <v>130</v>
      </c>
    </row>
    <row r="1549" spans="1:8" x14ac:dyDescent="0.35">
      <c r="A1549" s="2">
        <v>44955.711805555555</v>
      </c>
      <c r="B1549" s="3">
        <v>0.63065972222222222</v>
      </c>
      <c r="C1549" s="1" t="s">
        <v>8</v>
      </c>
      <c r="D1549" s="1" t="s">
        <v>20</v>
      </c>
      <c r="E1549" s="1">
        <v>445.34</v>
      </c>
      <c r="F1549" s="1">
        <v>5</v>
      </c>
      <c r="G1549" s="1">
        <v>2226.6999999999998</v>
      </c>
      <c r="H1549" s="1" t="s">
        <v>325</v>
      </c>
    </row>
    <row r="1550" spans="1:8" x14ac:dyDescent="0.35">
      <c r="A1550" s="2">
        <v>45273.361805555556</v>
      </c>
      <c r="B1550" s="3">
        <v>0.77866898148148145</v>
      </c>
      <c r="C1550" s="1" t="s">
        <v>14</v>
      </c>
      <c r="D1550" s="1" t="s">
        <v>20</v>
      </c>
      <c r="E1550" s="1">
        <v>358.78</v>
      </c>
      <c r="F1550" s="1">
        <v>1</v>
      </c>
      <c r="G1550" s="1">
        <v>358.78</v>
      </c>
      <c r="H1550" s="1" t="s">
        <v>179</v>
      </c>
    </row>
    <row r="1551" spans="1:8" x14ac:dyDescent="0.35">
      <c r="A1551" s="2">
        <v>45046.297222222223</v>
      </c>
      <c r="B1551" s="3">
        <v>0.34096064814814814</v>
      </c>
      <c r="C1551" s="1" t="s">
        <v>8</v>
      </c>
      <c r="D1551" s="1" t="s">
        <v>12</v>
      </c>
      <c r="E1551" s="1">
        <v>324.83999999999997</v>
      </c>
      <c r="F1551" s="1">
        <v>2</v>
      </c>
      <c r="G1551" s="1">
        <v>649.67999999999995</v>
      </c>
      <c r="H1551" s="1" t="s">
        <v>142</v>
      </c>
    </row>
    <row r="1552" spans="1:8" x14ac:dyDescent="0.35">
      <c r="A1552" s="2">
        <v>44960.330555555556</v>
      </c>
      <c r="B1552" s="3">
        <v>0.43563657407407402</v>
      </c>
      <c r="C1552" s="1" t="s">
        <v>14</v>
      </c>
      <c r="D1552" s="1" t="s">
        <v>20</v>
      </c>
      <c r="E1552" s="1">
        <v>42.3</v>
      </c>
      <c r="F1552" s="1">
        <v>2</v>
      </c>
      <c r="G1552" s="1">
        <v>84.6</v>
      </c>
      <c r="H1552" s="1" t="s">
        <v>408</v>
      </c>
    </row>
    <row r="1553" spans="1:8" x14ac:dyDescent="0.35">
      <c r="A1553" s="2">
        <v>45466.359722222223</v>
      </c>
      <c r="B1553" s="3">
        <v>0.14800925925925926</v>
      </c>
      <c r="C1553" s="1" t="s">
        <v>8</v>
      </c>
      <c r="D1553" s="1" t="s">
        <v>9</v>
      </c>
      <c r="E1553" s="1">
        <v>60.27</v>
      </c>
      <c r="F1553" s="1">
        <v>1</v>
      </c>
      <c r="G1553" s="1">
        <v>60.27</v>
      </c>
      <c r="H1553" s="1" t="s">
        <v>29</v>
      </c>
    </row>
    <row r="1554" spans="1:8" x14ac:dyDescent="0.35">
      <c r="A1554" s="2">
        <v>45182.334722222222</v>
      </c>
      <c r="B1554" s="3">
        <v>6.9027777777777785E-2</v>
      </c>
      <c r="C1554" s="1" t="s">
        <v>14</v>
      </c>
      <c r="D1554" s="1" t="s">
        <v>16</v>
      </c>
      <c r="E1554" s="1">
        <v>153.27000000000001</v>
      </c>
      <c r="F1554" s="1">
        <v>5</v>
      </c>
      <c r="G1554" s="1">
        <v>766.35</v>
      </c>
      <c r="H1554" s="1" t="s">
        <v>192</v>
      </c>
    </row>
    <row r="1555" spans="1:8" x14ac:dyDescent="0.35">
      <c r="A1555" s="2">
        <v>45476.425000000003</v>
      </c>
      <c r="B1555" s="3">
        <v>0.58450231481481485</v>
      </c>
      <c r="C1555" s="1" t="s">
        <v>11</v>
      </c>
      <c r="D1555" s="1" t="s">
        <v>20</v>
      </c>
      <c r="E1555" s="1">
        <v>192.86</v>
      </c>
      <c r="F1555" s="1">
        <v>1</v>
      </c>
      <c r="G1555" s="1">
        <v>192.86</v>
      </c>
      <c r="H1555" s="1" t="s">
        <v>342</v>
      </c>
    </row>
    <row r="1556" spans="1:8" x14ac:dyDescent="0.35">
      <c r="A1556" s="2">
        <v>44934.447916666664</v>
      </c>
      <c r="B1556" s="3">
        <v>0.20527777777777778</v>
      </c>
      <c r="C1556" s="1" t="s">
        <v>14</v>
      </c>
      <c r="D1556" s="1" t="s">
        <v>16</v>
      </c>
      <c r="E1556" s="1">
        <v>394.97</v>
      </c>
      <c r="F1556" s="1">
        <v>4</v>
      </c>
      <c r="G1556" s="1">
        <v>1579.88</v>
      </c>
      <c r="H1556" s="1" t="s">
        <v>302</v>
      </c>
    </row>
    <row r="1557" spans="1:8" x14ac:dyDescent="0.35">
      <c r="A1557" s="2">
        <v>45167.806250000001</v>
      </c>
      <c r="B1557" s="3">
        <v>0.79483796296296294</v>
      </c>
      <c r="C1557" s="1" t="s">
        <v>11</v>
      </c>
      <c r="D1557" s="1" t="s">
        <v>20</v>
      </c>
      <c r="E1557" s="1">
        <v>107.77</v>
      </c>
      <c r="F1557" s="1">
        <v>5</v>
      </c>
      <c r="G1557" s="1">
        <v>538.85</v>
      </c>
      <c r="H1557" s="1" t="s">
        <v>205</v>
      </c>
    </row>
    <row r="1558" spans="1:8" x14ac:dyDescent="0.35">
      <c r="A1558" s="2">
        <v>45553.722916666666</v>
      </c>
      <c r="B1558" s="3">
        <v>0.9802777777777778</v>
      </c>
      <c r="C1558" s="1" t="s">
        <v>8</v>
      </c>
      <c r="D1558" s="1" t="s">
        <v>12</v>
      </c>
      <c r="E1558" s="1">
        <v>161.65</v>
      </c>
      <c r="F1558" s="1">
        <v>2</v>
      </c>
      <c r="G1558" s="1">
        <v>323.3</v>
      </c>
      <c r="H1558" s="1" t="s">
        <v>33</v>
      </c>
    </row>
    <row r="1559" spans="1:8" x14ac:dyDescent="0.35">
      <c r="A1559" s="2">
        <v>45426.96875</v>
      </c>
      <c r="B1559" s="3">
        <v>0.40410879629629631</v>
      </c>
      <c r="C1559" s="1" t="s">
        <v>8</v>
      </c>
      <c r="D1559" s="1" t="s">
        <v>9</v>
      </c>
      <c r="E1559" s="1">
        <v>176.77</v>
      </c>
      <c r="F1559" s="1">
        <v>5</v>
      </c>
      <c r="G1559" s="1">
        <v>883.85</v>
      </c>
      <c r="H1559" s="1" t="s">
        <v>237</v>
      </c>
    </row>
    <row r="1560" spans="1:8" x14ac:dyDescent="0.35">
      <c r="A1560" s="2">
        <v>45375.588194444441</v>
      </c>
      <c r="B1560" s="3">
        <v>0.48251157407407402</v>
      </c>
      <c r="C1560" s="1" t="s">
        <v>14</v>
      </c>
      <c r="D1560" s="1" t="s">
        <v>20</v>
      </c>
      <c r="E1560" s="1">
        <v>444.42</v>
      </c>
      <c r="F1560" s="1">
        <v>4</v>
      </c>
      <c r="G1560" s="1">
        <v>1777.68</v>
      </c>
      <c r="H1560" s="1" t="s">
        <v>339</v>
      </c>
    </row>
    <row r="1561" spans="1:8" x14ac:dyDescent="0.35">
      <c r="A1561" s="2">
        <v>45498.947916666664</v>
      </c>
      <c r="B1561" s="3">
        <v>9.5381944444444436E-2</v>
      </c>
      <c r="C1561" s="1" t="s">
        <v>8</v>
      </c>
      <c r="D1561" s="1" t="s">
        <v>16</v>
      </c>
      <c r="E1561" s="1">
        <v>148.07</v>
      </c>
      <c r="F1561" s="1">
        <v>1</v>
      </c>
      <c r="G1561" s="1">
        <v>148.07</v>
      </c>
      <c r="H1561" s="1" t="s">
        <v>320</v>
      </c>
    </row>
    <row r="1562" spans="1:8" x14ac:dyDescent="0.35">
      <c r="A1562" s="2">
        <v>45388.288888888892</v>
      </c>
      <c r="B1562" s="3">
        <v>0.47464120370370372</v>
      </c>
      <c r="C1562" s="1" t="s">
        <v>8</v>
      </c>
      <c r="D1562" s="1" t="s">
        <v>9</v>
      </c>
      <c r="E1562" s="1">
        <v>191.56</v>
      </c>
      <c r="F1562" s="1">
        <v>5</v>
      </c>
      <c r="G1562" s="1">
        <v>957.8</v>
      </c>
      <c r="H1562" s="1" t="s">
        <v>329</v>
      </c>
    </row>
    <row r="1563" spans="1:8" x14ac:dyDescent="0.35">
      <c r="A1563" s="2">
        <v>45629.890277777777</v>
      </c>
      <c r="B1563" s="3">
        <v>0.15947916666666667</v>
      </c>
      <c r="C1563" s="1" t="s">
        <v>14</v>
      </c>
      <c r="D1563" s="1" t="s">
        <v>27</v>
      </c>
      <c r="E1563" s="1">
        <v>36.46</v>
      </c>
      <c r="F1563" s="1">
        <v>5</v>
      </c>
      <c r="G1563" s="1">
        <v>182.3</v>
      </c>
      <c r="H1563" s="1" t="s">
        <v>351</v>
      </c>
    </row>
    <row r="1564" spans="1:8" x14ac:dyDescent="0.35">
      <c r="A1564" s="2">
        <v>44969.329861111109</v>
      </c>
      <c r="B1564" s="3">
        <v>0.94403935185185184</v>
      </c>
      <c r="C1564" s="1" t="s">
        <v>11</v>
      </c>
      <c r="D1564" s="1" t="s">
        <v>16</v>
      </c>
      <c r="E1564" s="1">
        <v>471.85</v>
      </c>
      <c r="F1564" s="1">
        <v>4</v>
      </c>
      <c r="G1564" s="1">
        <v>1887.4</v>
      </c>
      <c r="H1564" s="1" t="s">
        <v>72</v>
      </c>
    </row>
    <row r="1565" spans="1:8" x14ac:dyDescent="0.35">
      <c r="A1565" s="2">
        <v>45197.977777777778</v>
      </c>
      <c r="B1565" s="3">
        <v>0.91381944444444441</v>
      </c>
      <c r="C1565" s="1" t="s">
        <v>8</v>
      </c>
      <c r="D1565" s="1" t="s">
        <v>20</v>
      </c>
      <c r="E1565" s="1">
        <v>121.97</v>
      </c>
      <c r="F1565" s="1">
        <v>1</v>
      </c>
      <c r="G1565" s="1">
        <v>121.97</v>
      </c>
      <c r="H1565" s="1" t="s">
        <v>407</v>
      </c>
    </row>
    <row r="1566" spans="1:8" x14ac:dyDescent="0.35">
      <c r="A1566" s="2">
        <v>45583.453472222223</v>
      </c>
      <c r="B1566" s="3">
        <v>0.44939814814814816</v>
      </c>
      <c r="C1566" s="1" t="s">
        <v>14</v>
      </c>
      <c r="D1566" s="1" t="s">
        <v>9</v>
      </c>
      <c r="E1566" s="1">
        <v>200.29</v>
      </c>
      <c r="F1566" s="1">
        <v>2</v>
      </c>
      <c r="G1566" s="1">
        <v>400.58</v>
      </c>
      <c r="H1566" s="1" t="s">
        <v>295</v>
      </c>
    </row>
    <row r="1567" spans="1:8" x14ac:dyDescent="0.35">
      <c r="A1567" s="2">
        <v>45005.722222222219</v>
      </c>
      <c r="B1567" s="3">
        <v>0.64861111111111114</v>
      </c>
      <c r="C1567" s="1" t="s">
        <v>8</v>
      </c>
      <c r="D1567" s="1" t="s">
        <v>27</v>
      </c>
      <c r="E1567" s="1">
        <v>418.8</v>
      </c>
      <c r="F1567" s="1">
        <v>3</v>
      </c>
      <c r="G1567" s="1">
        <v>1256.4000000000001</v>
      </c>
      <c r="H1567" s="1" t="s">
        <v>210</v>
      </c>
    </row>
    <row r="1568" spans="1:8" x14ac:dyDescent="0.35">
      <c r="A1568" s="2">
        <v>44990.630555555559</v>
      </c>
      <c r="B1568" s="3">
        <v>0.16468750000000001</v>
      </c>
      <c r="C1568" s="1" t="s">
        <v>14</v>
      </c>
      <c r="D1568" s="1" t="s">
        <v>9</v>
      </c>
      <c r="E1568" s="1">
        <v>373.49</v>
      </c>
      <c r="F1568" s="1">
        <v>3</v>
      </c>
      <c r="G1568" s="1">
        <v>1120.47</v>
      </c>
      <c r="H1568" s="1" t="s">
        <v>243</v>
      </c>
    </row>
    <row r="1569" spans="1:8" x14ac:dyDescent="0.35">
      <c r="A1569" s="2">
        <v>45005.82916666667</v>
      </c>
      <c r="B1569" s="3">
        <v>0.38914351851851853</v>
      </c>
      <c r="C1569" s="1" t="s">
        <v>14</v>
      </c>
      <c r="D1569" s="1" t="s">
        <v>16</v>
      </c>
      <c r="E1569" s="1">
        <v>368.63</v>
      </c>
      <c r="F1569" s="1">
        <v>1</v>
      </c>
      <c r="G1569" s="1">
        <v>368.63</v>
      </c>
      <c r="H1569" s="1" t="s">
        <v>291</v>
      </c>
    </row>
    <row r="1570" spans="1:8" x14ac:dyDescent="0.35">
      <c r="A1570" s="2">
        <v>45474.650694444441</v>
      </c>
      <c r="B1570" s="3">
        <v>0.12708333333333333</v>
      </c>
      <c r="C1570" s="1" t="s">
        <v>14</v>
      </c>
      <c r="D1570" s="1" t="s">
        <v>12</v>
      </c>
      <c r="E1570" s="1">
        <v>372.7</v>
      </c>
      <c r="F1570" s="1">
        <v>4</v>
      </c>
      <c r="G1570" s="1">
        <v>1490.8</v>
      </c>
      <c r="H1570" s="1" t="s">
        <v>302</v>
      </c>
    </row>
    <row r="1571" spans="1:8" x14ac:dyDescent="0.35">
      <c r="A1571" s="2">
        <v>45394.48541666667</v>
      </c>
      <c r="B1571" s="3">
        <v>0.56376157407407412</v>
      </c>
      <c r="C1571" s="1" t="s">
        <v>8</v>
      </c>
      <c r="D1571" s="1" t="s">
        <v>27</v>
      </c>
      <c r="E1571" s="1">
        <v>10.06</v>
      </c>
      <c r="F1571" s="1">
        <v>1</v>
      </c>
      <c r="G1571" s="1">
        <v>10.06</v>
      </c>
      <c r="H1571" s="1" t="s">
        <v>182</v>
      </c>
    </row>
    <row r="1572" spans="1:8" x14ac:dyDescent="0.35">
      <c r="A1572" s="2">
        <v>45025.686111111114</v>
      </c>
      <c r="B1572" s="3">
        <v>0.59832175925925923</v>
      </c>
      <c r="C1572" s="1" t="s">
        <v>11</v>
      </c>
      <c r="D1572" s="1" t="s">
        <v>12</v>
      </c>
      <c r="E1572" s="1">
        <v>338.83</v>
      </c>
      <c r="F1572" s="1">
        <v>1</v>
      </c>
      <c r="G1572" s="1">
        <v>338.83</v>
      </c>
      <c r="H1572" s="1" t="s">
        <v>235</v>
      </c>
    </row>
    <row r="1573" spans="1:8" x14ac:dyDescent="0.35">
      <c r="A1573" s="2">
        <v>45033.873611111114</v>
      </c>
      <c r="B1573" s="3">
        <v>0.21846064814814814</v>
      </c>
      <c r="C1573" s="1" t="s">
        <v>8</v>
      </c>
      <c r="D1573" s="1" t="s">
        <v>27</v>
      </c>
      <c r="E1573" s="1">
        <v>19.71</v>
      </c>
      <c r="F1573" s="1">
        <v>4</v>
      </c>
      <c r="G1573" s="1">
        <v>78.84</v>
      </c>
      <c r="H1573" s="1" t="s">
        <v>219</v>
      </c>
    </row>
    <row r="1574" spans="1:8" x14ac:dyDescent="0.35">
      <c r="A1574" s="2">
        <v>45039.192361111112</v>
      </c>
      <c r="B1574" s="3">
        <v>0.60405092592592591</v>
      </c>
      <c r="C1574" s="1" t="s">
        <v>8</v>
      </c>
      <c r="D1574" s="1" t="s">
        <v>27</v>
      </c>
      <c r="E1574" s="1">
        <v>473.9</v>
      </c>
      <c r="F1574" s="1">
        <v>5</v>
      </c>
      <c r="G1574" s="1">
        <v>2369.5</v>
      </c>
      <c r="H1574" s="1" t="s">
        <v>207</v>
      </c>
    </row>
    <row r="1575" spans="1:8" x14ac:dyDescent="0.35">
      <c r="A1575" s="2">
        <v>44948.462500000001</v>
      </c>
      <c r="B1575" s="3">
        <v>0.25052083333333336</v>
      </c>
      <c r="C1575" s="1" t="s">
        <v>14</v>
      </c>
      <c r="D1575" s="1" t="s">
        <v>9</v>
      </c>
      <c r="E1575" s="1">
        <v>375.51</v>
      </c>
      <c r="F1575" s="1">
        <v>3</v>
      </c>
      <c r="G1575" s="1">
        <v>1126.53</v>
      </c>
      <c r="H1575" s="1" t="s">
        <v>201</v>
      </c>
    </row>
    <row r="1576" spans="1:8" x14ac:dyDescent="0.35">
      <c r="A1576" s="2">
        <v>45030.470138888886</v>
      </c>
      <c r="B1576" s="3">
        <v>3.4513888888888893E-2</v>
      </c>
      <c r="C1576" s="1" t="s">
        <v>14</v>
      </c>
      <c r="D1576" s="1" t="s">
        <v>9</v>
      </c>
      <c r="E1576" s="1">
        <v>173.38</v>
      </c>
      <c r="F1576" s="1">
        <v>3</v>
      </c>
      <c r="G1576" s="1">
        <v>520.14</v>
      </c>
      <c r="H1576" s="1" t="s">
        <v>126</v>
      </c>
    </row>
    <row r="1577" spans="1:8" x14ac:dyDescent="0.35">
      <c r="A1577" s="2">
        <v>45579.376388888886</v>
      </c>
      <c r="B1577" s="3">
        <v>0.74055555555555552</v>
      </c>
      <c r="C1577" s="1" t="s">
        <v>14</v>
      </c>
      <c r="D1577" s="1" t="s">
        <v>9</v>
      </c>
      <c r="E1577" s="1">
        <v>39.71</v>
      </c>
      <c r="F1577" s="1">
        <v>4</v>
      </c>
      <c r="G1577" s="1">
        <v>158.84</v>
      </c>
      <c r="H1577" s="1" t="s">
        <v>363</v>
      </c>
    </row>
    <row r="1578" spans="1:8" x14ac:dyDescent="0.35">
      <c r="A1578" s="2">
        <v>45072.444444444445</v>
      </c>
      <c r="B1578" s="3">
        <v>0.82346064814814823</v>
      </c>
      <c r="C1578" s="1" t="s">
        <v>8</v>
      </c>
      <c r="D1578" s="1" t="s">
        <v>27</v>
      </c>
      <c r="E1578" s="1">
        <v>328.78</v>
      </c>
      <c r="F1578" s="1">
        <v>5</v>
      </c>
      <c r="G1578" s="1">
        <v>1643.9</v>
      </c>
      <c r="H1578" s="1" t="s">
        <v>342</v>
      </c>
    </row>
    <row r="1579" spans="1:8" x14ac:dyDescent="0.35">
      <c r="A1579" s="2">
        <v>45110.394444444442</v>
      </c>
      <c r="B1579" s="3">
        <v>0.42162037037037042</v>
      </c>
      <c r="C1579" s="1" t="s">
        <v>14</v>
      </c>
      <c r="D1579" s="1" t="s">
        <v>12</v>
      </c>
      <c r="E1579" s="1">
        <v>120.69</v>
      </c>
      <c r="F1579" s="1">
        <v>2</v>
      </c>
      <c r="G1579" s="1">
        <v>241.38</v>
      </c>
      <c r="H1579" s="1" t="s">
        <v>214</v>
      </c>
    </row>
    <row r="1580" spans="1:8" x14ac:dyDescent="0.35">
      <c r="A1580" s="2">
        <v>45478.93472222222</v>
      </c>
      <c r="B1580" s="3">
        <v>0.55483796296296295</v>
      </c>
      <c r="C1580" s="1" t="s">
        <v>8</v>
      </c>
      <c r="D1580" s="1" t="s">
        <v>27</v>
      </c>
      <c r="E1580" s="1">
        <v>449.23</v>
      </c>
      <c r="F1580" s="1">
        <v>5</v>
      </c>
      <c r="G1580" s="1">
        <v>2246.15</v>
      </c>
      <c r="H1580" s="1" t="s">
        <v>270</v>
      </c>
    </row>
    <row r="1581" spans="1:8" x14ac:dyDescent="0.35">
      <c r="A1581" s="2">
        <v>45125.134027777778</v>
      </c>
      <c r="B1581" s="3">
        <v>0.84211805555555552</v>
      </c>
      <c r="C1581" s="1" t="s">
        <v>11</v>
      </c>
      <c r="D1581" s="1" t="s">
        <v>20</v>
      </c>
      <c r="E1581" s="1">
        <v>214.09</v>
      </c>
      <c r="F1581" s="1">
        <v>5</v>
      </c>
      <c r="G1581" s="1">
        <v>1070.45</v>
      </c>
      <c r="H1581" s="1" t="s">
        <v>103</v>
      </c>
    </row>
    <row r="1582" spans="1:8" x14ac:dyDescent="0.35">
      <c r="A1582" s="2">
        <v>45036.761805555558</v>
      </c>
      <c r="B1582" s="3">
        <v>2.5925925925925925E-3</v>
      </c>
      <c r="C1582" s="1" t="s">
        <v>11</v>
      </c>
      <c r="D1582" s="1" t="s">
        <v>12</v>
      </c>
      <c r="E1582" s="1">
        <v>83.85</v>
      </c>
      <c r="F1582" s="1">
        <v>1</v>
      </c>
      <c r="G1582" s="1">
        <v>83.85</v>
      </c>
      <c r="H1582" s="1" t="s">
        <v>81</v>
      </c>
    </row>
    <row r="1583" spans="1:8" x14ac:dyDescent="0.35">
      <c r="A1583" s="2">
        <v>45666.166666666664</v>
      </c>
      <c r="B1583" s="3">
        <v>0.46392361111111113</v>
      </c>
      <c r="C1583" s="1" t="s">
        <v>11</v>
      </c>
      <c r="D1583" s="1" t="s">
        <v>12</v>
      </c>
      <c r="E1583" s="1">
        <v>320.29000000000002</v>
      </c>
      <c r="F1583" s="1">
        <v>5</v>
      </c>
      <c r="G1583" s="1">
        <v>1601.45</v>
      </c>
      <c r="H1583" s="1" t="s">
        <v>85</v>
      </c>
    </row>
    <row r="1584" spans="1:8" x14ac:dyDescent="0.35">
      <c r="A1584" s="2">
        <v>45545.705555555556</v>
      </c>
      <c r="B1584" s="3">
        <v>0.23165509259259257</v>
      </c>
      <c r="C1584" s="1" t="s">
        <v>8</v>
      </c>
      <c r="D1584" s="1" t="s">
        <v>16</v>
      </c>
      <c r="E1584" s="1">
        <v>316.81</v>
      </c>
      <c r="F1584" s="1">
        <v>1</v>
      </c>
      <c r="G1584" s="1">
        <v>316.81</v>
      </c>
      <c r="H1584" s="1" t="s">
        <v>211</v>
      </c>
    </row>
    <row r="1585" spans="1:8" x14ac:dyDescent="0.35">
      <c r="A1585" s="2">
        <v>45591.486111111109</v>
      </c>
      <c r="B1585" s="3">
        <v>0.48218749999999999</v>
      </c>
      <c r="C1585" s="1" t="s">
        <v>14</v>
      </c>
      <c r="D1585" s="1" t="s">
        <v>20</v>
      </c>
      <c r="E1585" s="1">
        <v>260.95</v>
      </c>
      <c r="F1585" s="1">
        <v>3</v>
      </c>
      <c r="G1585" s="1">
        <v>782.85</v>
      </c>
      <c r="H1585" s="1" t="s">
        <v>276</v>
      </c>
    </row>
    <row r="1586" spans="1:8" x14ac:dyDescent="0.35">
      <c r="A1586" s="2">
        <v>45046.729166666664</v>
      </c>
      <c r="B1586" s="3">
        <v>0.10002314814814815</v>
      </c>
      <c r="C1586" s="1" t="s">
        <v>11</v>
      </c>
      <c r="D1586" s="1" t="s">
        <v>27</v>
      </c>
      <c r="E1586" s="1">
        <v>282.91000000000003</v>
      </c>
      <c r="F1586" s="1">
        <v>1</v>
      </c>
      <c r="G1586" s="1">
        <v>282.91000000000003</v>
      </c>
      <c r="H1586" s="1" t="s">
        <v>59</v>
      </c>
    </row>
    <row r="1587" spans="1:8" x14ac:dyDescent="0.35">
      <c r="A1587" s="2">
        <v>45549.251388888886</v>
      </c>
      <c r="B1587" s="3">
        <v>0.94616898148148154</v>
      </c>
      <c r="C1587" s="1" t="s">
        <v>8</v>
      </c>
      <c r="D1587" s="1" t="s">
        <v>27</v>
      </c>
      <c r="E1587" s="1">
        <v>243.07</v>
      </c>
      <c r="F1587" s="1">
        <v>1</v>
      </c>
      <c r="G1587" s="1">
        <v>243.07</v>
      </c>
      <c r="H1587" s="1" t="s">
        <v>28</v>
      </c>
    </row>
    <row r="1588" spans="1:8" x14ac:dyDescent="0.35">
      <c r="A1588" s="2">
        <v>45096.895833333336</v>
      </c>
      <c r="B1588" s="3">
        <v>0.98594907407407406</v>
      </c>
      <c r="C1588" s="1" t="s">
        <v>8</v>
      </c>
      <c r="D1588" s="1" t="s">
        <v>12</v>
      </c>
      <c r="E1588" s="1">
        <v>265.57</v>
      </c>
      <c r="F1588" s="1">
        <v>4</v>
      </c>
      <c r="G1588" s="1">
        <v>1062.28</v>
      </c>
      <c r="H1588" s="1" t="s">
        <v>310</v>
      </c>
    </row>
    <row r="1589" spans="1:8" x14ac:dyDescent="0.35">
      <c r="A1589" s="2">
        <v>45572.261111111111</v>
      </c>
      <c r="B1589" s="3">
        <v>0.49960648148148151</v>
      </c>
      <c r="C1589" s="1" t="s">
        <v>14</v>
      </c>
      <c r="D1589" s="1" t="s">
        <v>20</v>
      </c>
      <c r="E1589" s="1">
        <v>275.93</v>
      </c>
      <c r="F1589" s="1">
        <v>4</v>
      </c>
      <c r="G1589" s="1">
        <v>1103.72</v>
      </c>
      <c r="H1589" s="1" t="s">
        <v>41</v>
      </c>
    </row>
    <row r="1590" spans="1:8" x14ac:dyDescent="0.35">
      <c r="A1590" s="2">
        <v>45570.762499999997</v>
      </c>
      <c r="B1590" s="3">
        <v>0.17243055555555556</v>
      </c>
      <c r="C1590" s="1" t="s">
        <v>8</v>
      </c>
      <c r="D1590" s="1" t="s">
        <v>16</v>
      </c>
      <c r="E1590" s="1">
        <v>77.92</v>
      </c>
      <c r="F1590" s="1">
        <v>3</v>
      </c>
      <c r="G1590" s="1">
        <v>233.76</v>
      </c>
      <c r="H1590" s="1" t="s">
        <v>246</v>
      </c>
    </row>
    <row r="1591" spans="1:8" x14ac:dyDescent="0.35">
      <c r="A1591" s="2">
        <v>45378.570833333331</v>
      </c>
      <c r="B1591" s="3">
        <v>0.59096064814814808</v>
      </c>
      <c r="C1591" s="1" t="s">
        <v>8</v>
      </c>
      <c r="D1591" s="1" t="s">
        <v>16</v>
      </c>
      <c r="E1591" s="1">
        <v>444.7</v>
      </c>
      <c r="F1591" s="1">
        <v>4</v>
      </c>
      <c r="G1591" s="1">
        <v>1778.8</v>
      </c>
      <c r="H1591" s="1" t="s">
        <v>380</v>
      </c>
    </row>
    <row r="1592" spans="1:8" x14ac:dyDescent="0.35">
      <c r="A1592" s="2">
        <v>45007.314583333333</v>
      </c>
      <c r="B1592" s="3">
        <v>0.83643518518518523</v>
      </c>
      <c r="C1592" s="1" t="s">
        <v>11</v>
      </c>
      <c r="D1592" s="1" t="s">
        <v>9</v>
      </c>
      <c r="E1592" s="1">
        <v>288.39999999999998</v>
      </c>
      <c r="F1592" s="1">
        <v>4</v>
      </c>
      <c r="G1592" s="1">
        <v>1153.5999999999999</v>
      </c>
      <c r="H1592" s="1" t="s">
        <v>96</v>
      </c>
    </row>
    <row r="1593" spans="1:8" x14ac:dyDescent="0.35">
      <c r="A1593" s="2">
        <v>45050.92291666667</v>
      </c>
      <c r="B1593" s="3">
        <v>0.66765046296296304</v>
      </c>
      <c r="C1593" s="1" t="s">
        <v>11</v>
      </c>
      <c r="D1593" s="1" t="s">
        <v>12</v>
      </c>
      <c r="E1593" s="1">
        <v>356.47</v>
      </c>
      <c r="F1593" s="1">
        <v>5</v>
      </c>
      <c r="G1593" s="1">
        <v>1782.35</v>
      </c>
      <c r="H1593" s="1" t="s">
        <v>268</v>
      </c>
    </row>
    <row r="1594" spans="1:8" x14ac:dyDescent="0.35">
      <c r="A1594" s="2">
        <v>45027.245833333334</v>
      </c>
      <c r="B1594" s="3">
        <v>0.66417824074074072</v>
      </c>
      <c r="C1594" s="1" t="s">
        <v>8</v>
      </c>
      <c r="D1594" s="1" t="s">
        <v>20</v>
      </c>
      <c r="E1594" s="1">
        <v>186.67</v>
      </c>
      <c r="F1594" s="1">
        <v>2</v>
      </c>
      <c r="G1594" s="1">
        <v>373.34</v>
      </c>
      <c r="H1594" s="1" t="s">
        <v>205</v>
      </c>
    </row>
    <row r="1595" spans="1:8" x14ac:dyDescent="0.35">
      <c r="A1595" s="2">
        <v>45142.067361111112</v>
      </c>
      <c r="B1595" s="3">
        <v>0.40121527777777777</v>
      </c>
      <c r="C1595" s="1" t="s">
        <v>11</v>
      </c>
      <c r="D1595" s="1" t="s">
        <v>16</v>
      </c>
      <c r="E1595" s="1">
        <v>150.12</v>
      </c>
      <c r="F1595" s="1">
        <v>5</v>
      </c>
      <c r="G1595" s="1">
        <v>750.6</v>
      </c>
      <c r="H1595" s="1" t="s">
        <v>227</v>
      </c>
    </row>
    <row r="1596" spans="1:8" x14ac:dyDescent="0.35">
      <c r="A1596" s="2">
        <v>45293.754166666666</v>
      </c>
      <c r="B1596" s="3">
        <v>0.79862268518518509</v>
      </c>
      <c r="C1596" s="1" t="s">
        <v>14</v>
      </c>
      <c r="D1596" s="1" t="s">
        <v>9</v>
      </c>
      <c r="E1596" s="1">
        <v>319.94</v>
      </c>
      <c r="F1596" s="1">
        <v>3</v>
      </c>
      <c r="G1596" s="1">
        <v>959.82</v>
      </c>
      <c r="H1596" s="1" t="s">
        <v>122</v>
      </c>
    </row>
    <row r="1597" spans="1:8" x14ac:dyDescent="0.35">
      <c r="A1597" s="2">
        <v>45565.861111111109</v>
      </c>
      <c r="B1597" s="3">
        <v>0.72770833333333329</v>
      </c>
      <c r="C1597" s="1" t="s">
        <v>14</v>
      </c>
      <c r="D1597" s="1" t="s">
        <v>16</v>
      </c>
      <c r="E1597" s="1">
        <v>26.53</v>
      </c>
      <c r="F1597" s="1">
        <v>5</v>
      </c>
      <c r="G1597" s="1">
        <v>132.65</v>
      </c>
      <c r="H1597" s="1" t="s">
        <v>328</v>
      </c>
    </row>
    <row r="1598" spans="1:8" x14ac:dyDescent="0.35">
      <c r="A1598" s="2">
        <v>45204.289583333331</v>
      </c>
      <c r="B1598" s="3">
        <v>0.98321759259259256</v>
      </c>
      <c r="C1598" s="1" t="s">
        <v>11</v>
      </c>
      <c r="D1598" s="1" t="s">
        <v>9</v>
      </c>
      <c r="E1598" s="1">
        <v>484</v>
      </c>
      <c r="F1598" s="1">
        <v>4</v>
      </c>
      <c r="G1598" s="1">
        <v>1936</v>
      </c>
      <c r="H1598" s="1" t="s">
        <v>393</v>
      </c>
    </row>
    <row r="1599" spans="1:8" x14ac:dyDescent="0.35">
      <c r="A1599" s="2">
        <v>45515.897222222222</v>
      </c>
      <c r="B1599" s="3">
        <v>0.61281249999999998</v>
      </c>
      <c r="C1599" s="1" t="s">
        <v>14</v>
      </c>
      <c r="D1599" s="1" t="s">
        <v>16</v>
      </c>
      <c r="E1599" s="1">
        <v>433.4</v>
      </c>
      <c r="F1599" s="1">
        <v>4</v>
      </c>
      <c r="G1599" s="1">
        <v>1733.6</v>
      </c>
      <c r="H1599" s="1" t="s">
        <v>177</v>
      </c>
    </row>
    <row r="1600" spans="1:8" x14ac:dyDescent="0.35">
      <c r="A1600" s="2">
        <v>45049.340277777781</v>
      </c>
      <c r="B1600" s="3">
        <v>0.35686342592592596</v>
      </c>
      <c r="C1600" s="1" t="s">
        <v>11</v>
      </c>
      <c r="D1600" s="1" t="s">
        <v>12</v>
      </c>
      <c r="E1600" s="1">
        <v>449.84</v>
      </c>
      <c r="F1600" s="1">
        <v>1</v>
      </c>
      <c r="G1600" s="1">
        <v>449.84</v>
      </c>
      <c r="H1600" s="1" t="s">
        <v>331</v>
      </c>
    </row>
    <row r="1601" spans="1:8" x14ac:dyDescent="0.35">
      <c r="A1601" s="2">
        <v>45357.834027777775</v>
      </c>
      <c r="B1601" s="3">
        <v>0.60142361111111109</v>
      </c>
      <c r="C1601" s="1" t="s">
        <v>11</v>
      </c>
      <c r="D1601" s="1" t="s">
        <v>20</v>
      </c>
      <c r="E1601" s="1">
        <v>397.36</v>
      </c>
      <c r="F1601" s="1">
        <v>3</v>
      </c>
      <c r="G1601" s="1">
        <v>1192.08</v>
      </c>
      <c r="H1601" s="1" t="s">
        <v>374</v>
      </c>
    </row>
    <row r="1602" spans="1:8" x14ac:dyDescent="0.35">
      <c r="A1602" s="2">
        <v>45581.57708333333</v>
      </c>
      <c r="B1602" s="3">
        <v>0.19833333333333333</v>
      </c>
      <c r="C1602" s="1" t="s">
        <v>14</v>
      </c>
      <c r="D1602" s="1" t="s">
        <v>9</v>
      </c>
      <c r="E1602" s="1">
        <v>204.09</v>
      </c>
      <c r="F1602" s="1">
        <v>2</v>
      </c>
      <c r="G1602" s="1">
        <v>408.18</v>
      </c>
      <c r="H1602" s="1" t="s">
        <v>119</v>
      </c>
    </row>
    <row r="1603" spans="1:8" x14ac:dyDescent="0.35">
      <c r="A1603" s="2">
        <v>45457.624305555553</v>
      </c>
      <c r="B1603" s="3">
        <v>0.61163194444444446</v>
      </c>
      <c r="C1603" s="1" t="s">
        <v>14</v>
      </c>
      <c r="D1603" s="1" t="s">
        <v>16</v>
      </c>
      <c r="E1603" s="1">
        <v>431.96</v>
      </c>
      <c r="F1603" s="1">
        <v>5</v>
      </c>
      <c r="G1603" s="1">
        <v>2159.8000000000002</v>
      </c>
      <c r="H1603" s="1" t="s">
        <v>212</v>
      </c>
    </row>
    <row r="1604" spans="1:8" x14ac:dyDescent="0.35">
      <c r="A1604" s="2">
        <v>45241.424305555556</v>
      </c>
      <c r="B1604" s="3">
        <v>0.96246527777777768</v>
      </c>
      <c r="C1604" s="1" t="s">
        <v>11</v>
      </c>
      <c r="D1604" s="1" t="s">
        <v>12</v>
      </c>
      <c r="E1604" s="1">
        <v>325.58</v>
      </c>
      <c r="F1604" s="1">
        <v>4</v>
      </c>
      <c r="G1604" s="1">
        <v>1302.32</v>
      </c>
      <c r="H1604" s="1" t="s">
        <v>270</v>
      </c>
    </row>
    <row r="1605" spans="1:8" x14ac:dyDescent="0.35">
      <c r="A1605" s="2">
        <v>45121.156944444447</v>
      </c>
      <c r="B1605" s="3">
        <v>0.57976851851851852</v>
      </c>
      <c r="C1605" s="1" t="s">
        <v>8</v>
      </c>
      <c r="D1605" s="1" t="s">
        <v>27</v>
      </c>
      <c r="E1605" s="1">
        <v>302.12</v>
      </c>
      <c r="F1605" s="1">
        <v>5</v>
      </c>
      <c r="G1605" s="1">
        <v>1510.6</v>
      </c>
      <c r="H1605" s="1" t="s">
        <v>409</v>
      </c>
    </row>
    <row r="1606" spans="1:8" x14ac:dyDescent="0.35">
      <c r="A1606" s="2">
        <v>44941.334027777775</v>
      </c>
      <c r="B1606" s="3">
        <v>0.58344907407407409</v>
      </c>
      <c r="C1606" s="1" t="s">
        <v>8</v>
      </c>
      <c r="D1606" s="1" t="s">
        <v>9</v>
      </c>
      <c r="E1606" s="1">
        <v>18.22</v>
      </c>
      <c r="F1606" s="1">
        <v>1</v>
      </c>
      <c r="G1606" s="1">
        <v>18.22</v>
      </c>
      <c r="H1606" s="1" t="s">
        <v>295</v>
      </c>
    </row>
    <row r="1607" spans="1:8" x14ac:dyDescent="0.35">
      <c r="A1607" s="2">
        <v>45240.256249999999</v>
      </c>
      <c r="B1607" s="3">
        <v>0.76284722222222223</v>
      </c>
      <c r="C1607" s="1" t="s">
        <v>11</v>
      </c>
      <c r="D1607" s="1" t="s">
        <v>27</v>
      </c>
      <c r="E1607" s="1">
        <v>99.87</v>
      </c>
      <c r="F1607" s="1">
        <v>4</v>
      </c>
      <c r="G1607" s="1">
        <v>399.48</v>
      </c>
      <c r="H1607" s="1" t="s">
        <v>286</v>
      </c>
    </row>
    <row r="1608" spans="1:8" x14ac:dyDescent="0.35">
      <c r="A1608" s="2">
        <v>45615.047222222223</v>
      </c>
      <c r="B1608" s="3">
        <v>0.64077546296296295</v>
      </c>
      <c r="C1608" s="1" t="s">
        <v>11</v>
      </c>
      <c r="D1608" s="1" t="s">
        <v>16</v>
      </c>
      <c r="E1608" s="1">
        <v>419.91</v>
      </c>
      <c r="F1608" s="1">
        <v>2</v>
      </c>
      <c r="G1608" s="1">
        <v>839.82</v>
      </c>
      <c r="H1608" s="1" t="s">
        <v>234</v>
      </c>
    </row>
    <row r="1609" spans="1:8" x14ac:dyDescent="0.35">
      <c r="A1609" s="2">
        <v>45174.915277777778</v>
      </c>
      <c r="B1609" s="3">
        <v>0.91087962962962965</v>
      </c>
      <c r="C1609" s="1" t="s">
        <v>8</v>
      </c>
      <c r="D1609" s="1" t="s">
        <v>16</v>
      </c>
      <c r="E1609" s="1">
        <v>423.98</v>
      </c>
      <c r="F1609" s="1">
        <v>1</v>
      </c>
      <c r="G1609" s="1">
        <v>423.98</v>
      </c>
      <c r="H1609" s="1" t="s">
        <v>219</v>
      </c>
    </row>
    <row r="1610" spans="1:8" x14ac:dyDescent="0.35">
      <c r="A1610" s="2">
        <v>45103.310416666667</v>
      </c>
      <c r="B1610" s="3">
        <v>0.15857638888888889</v>
      </c>
      <c r="C1610" s="1" t="s">
        <v>8</v>
      </c>
      <c r="D1610" s="1" t="s">
        <v>12</v>
      </c>
      <c r="E1610" s="1">
        <v>161.46</v>
      </c>
      <c r="F1610" s="1">
        <v>3</v>
      </c>
      <c r="G1610" s="1">
        <v>484.38</v>
      </c>
      <c r="H1610" s="1" t="s">
        <v>207</v>
      </c>
    </row>
    <row r="1611" spans="1:8" x14ac:dyDescent="0.35">
      <c r="A1611" s="2">
        <v>44943.066666666666</v>
      </c>
      <c r="B1611" s="3">
        <v>8.880787037037037E-2</v>
      </c>
      <c r="C1611" s="1" t="s">
        <v>11</v>
      </c>
      <c r="D1611" s="1" t="s">
        <v>27</v>
      </c>
      <c r="E1611" s="1">
        <v>399.81</v>
      </c>
      <c r="F1611" s="1">
        <v>2</v>
      </c>
      <c r="G1611" s="1">
        <v>799.62</v>
      </c>
      <c r="H1611" s="1" t="s">
        <v>299</v>
      </c>
    </row>
    <row r="1612" spans="1:8" x14ac:dyDescent="0.35">
      <c r="A1612" s="2">
        <v>44935.845833333333</v>
      </c>
      <c r="B1612" s="3">
        <v>0.3190162037037037</v>
      </c>
      <c r="C1612" s="1" t="s">
        <v>14</v>
      </c>
      <c r="D1612" s="1" t="s">
        <v>16</v>
      </c>
      <c r="E1612" s="1">
        <v>109.81</v>
      </c>
      <c r="F1612" s="1">
        <v>1</v>
      </c>
      <c r="G1612" s="1">
        <v>109.81</v>
      </c>
      <c r="H1612" s="1" t="s">
        <v>201</v>
      </c>
    </row>
    <row r="1613" spans="1:8" x14ac:dyDescent="0.35">
      <c r="A1613" s="2">
        <v>45473.243055555555</v>
      </c>
      <c r="B1613" s="3">
        <v>0.85371527777777778</v>
      </c>
      <c r="C1613" s="1" t="s">
        <v>11</v>
      </c>
      <c r="D1613" s="1" t="s">
        <v>16</v>
      </c>
      <c r="E1613" s="1">
        <v>276</v>
      </c>
      <c r="F1613" s="1">
        <v>5</v>
      </c>
      <c r="G1613" s="1">
        <v>1380</v>
      </c>
      <c r="H1613" s="1" t="s">
        <v>335</v>
      </c>
    </row>
    <row r="1614" spans="1:8" x14ac:dyDescent="0.35">
      <c r="A1614" s="2">
        <v>45300.252083333333</v>
      </c>
      <c r="B1614" s="3">
        <v>2.5150462962962961E-2</v>
      </c>
      <c r="C1614" s="1" t="s">
        <v>8</v>
      </c>
      <c r="D1614" s="1" t="s">
        <v>16</v>
      </c>
      <c r="E1614" s="1">
        <v>181.08</v>
      </c>
      <c r="F1614" s="1">
        <v>2</v>
      </c>
      <c r="G1614" s="1">
        <v>362.16</v>
      </c>
      <c r="H1614" s="1" t="s">
        <v>348</v>
      </c>
    </row>
    <row r="1615" spans="1:8" x14ac:dyDescent="0.35">
      <c r="A1615" s="2">
        <v>45623.409722222219</v>
      </c>
      <c r="B1615" s="3">
        <v>0.60611111111111116</v>
      </c>
      <c r="C1615" s="1" t="s">
        <v>8</v>
      </c>
      <c r="D1615" s="1" t="s">
        <v>20</v>
      </c>
      <c r="E1615" s="1">
        <v>65.44</v>
      </c>
      <c r="F1615" s="1">
        <v>2</v>
      </c>
      <c r="G1615" s="1">
        <v>130.88</v>
      </c>
      <c r="H1615" s="1" t="s">
        <v>23</v>
      </c>
    </row>
    <row r="1616" spans="1:8" x14ac:dyDescent="0.35">
      <c r="A1616" s="2">
        <v>45073.162499999999</v>
      </c>
      <c r="B1616" s="3">
        <v>0.14798611111111112</v>
      </c>
      <c r="C1616" s="1" t="s">
        <v>8</v>
      </c>
      <c r="D1616" s="1" t="s">
        <v>12</v>
      </c>
      <c r="E1616" s="1">
        <v>174.24</v>
      </c>
      <c r="F1616" s="1">
        <v>2</v>
      </c>
      <c r="G1616" s="1">
        <v>348.48</v>
      </c>
      <c r="H1616" s="1" t="s">
        <v>120</v>
      </c>
    </row>
    <row r="1617" spans="1:8" x14ac:dyDescent="0.35">
      <c r="A1617" s="2">
        <v>45043.664583333331</v>
      </c>
      <c r="B1617" s="3">
        <v>0.93890046296296292</v>
      </c>
      <c r="C1617" s="1" t="s">
        <v>8</v>
      </c>
      <c r="D1617" s="1" t="s">
        <v>9</v>
      </c>
      <c r="E1617" s="1">
        <v>252.78</v>
      </c>
      <c r="F1617" s="1">
        <v>1</v>
      </c>
      <c r="G1617" s="1">
        <v>252.78</v>
      </c>
      <c r="H1617" s="1" t="s">
        <v>349</v>
      </c>
    </row>
    <row r="1618" spans="1:8" x14ac:dyDescent="0.35">
      <c r="A1618" s="2">
        <v>45268.52847222222</v>
      </c>
      <c r="B1618" s="3">
        <v>0.34684027777777776</v>
      </c>
      <c r="C1618" s="1" t="s">
        <v>14</v>
      </c>
      <c r="D1618" s="1" t="s">
        <v>12</v>
      </c>
      <c r="E1618" s="1">
        <v>353.13</v>
      </c>
      <c r="F1618" s="1">
        <v>3</v>
      </c>
      <c r="G1618" s="1">
        <v>1059.3900000000001</v>
      </c>
      <c r="H1618" s="1" t="s">
        <v>311</v>
      </c>
    </row>
    <row r="1619" spans="1:8" x14ac:dyDescent="0.35">
      <c r="A1619" s="2">
        <v>45067.845833333333</v>
      </c>
      <c r="B1619" s="3">
        <v>0.18084490740740741</v>
      </c>
      <c r="C1619" s="1" t="s">
        <v>14</v>
      </c>
      <c r="D1619" s="1" t="s">
        <v>16</v>
      </c>
      <c r="E1619" s="1">
        <v>363.19</v>
      </c>
      <c r="F1619" s="1">
        <v>1</v>
      </c>
      <c r="G1619" s="1">
        <v>363.19</v>
      </c>
      <c r="H1619" s="1" t="s">
        <v>365</v>
      </c>
    </row>
    <row r="1620" spans="1:8" x14ac:dyDescent="0.35">
      <c r="A1620" s="2">
        <v>45449.995138888888</v>
      </c>
      <c r="B1620" s="3">
        <v>0.1935648148148148</v>
      </c>
      <c r="C1620" s="1" t="s">
        <v>14</v>
      </c>
      <c r="D1620" s="1" t="s">
        <v>12</v>
      </c>
      <c r="E1620" s="1">
        <v>269.23</v>
      </c>
      <c r="F1620" s="1">
        <v>5</v>
      </c>
      <c r="G1620" s="1">
        <v>1346.15</v>
      </c>
      <c r="H1620" s="1" t="s">
        <v>203</v>
      </c>
    </row>
    <row r="1621" spans="1:8" x14ac:dyDescent="0.35">
      <c r="A1621" s="2">
        <v>44943.784722222219</v>
      </c>
      <c r="B1621" s="3">
        <v>0.34825231481481483</v>
      </c>
      <c r="C1621" s="1" t="s">
        <v>14</v>
      </c>
      <c r="D1621" s="1" t="s">
        <v>16</v>
      </c>
      <c r="E1621" s="1">
        <v>486.36</v>
      </c>
      <c r="F1621" s="1">
        <v>5</v>
      </c>
      <c r="G1621" s="1">
        <v>2431.8000000000002</v>
      </c>
      <c r="H1621" s="1" t="s">
        <v>73</v>
      </c>
    </row>
    <row r="1622" spans="1:8" x14ac:dyDescent="0.35">
      <c r="A1622" s="2">
        <v>45095.968055555553</v>
      </c>
      <c r="B1622" s="3">
        <v>0.44831018518518517</v>
      </c>
      <c r="C1622" s="1" t="s">
        <v>8</v>
      </c>
      <c r="D1622" s="1" t="s">
        <v>12</v>
      </c>
      <c r="E1622" s="1">
        <v>58.51</v>
      </c>
      <c r="F1622" s="1">
        <v>3</v>
      </c>
      <c r="G1622" s="1">
        <v>175.53</v>
      </c>
      <c r="H1622" s="1" t="s">
        <v>354</v>
      </c>
    </row>
    <row r="1623" spans="1:8" x14ac:dyDescent="0.35">
      <c r="A1623" s="2">
        <v>45298.085416666669</v>
      </c>
      <c r="B1623" s="3">
        <v>0.63907407407407402</v>
      </c>
      <c r="C1623" s="1" t="s">
        <v>11</v>
      </c>
      <c r="D1623" s="1" t="s">
        <v>20</v>
      </c>
      <c r="E1623" s="1">
        <v>213.29</v>
      </c>
      <c r="F1623" s="1">
        <v>3</v>
      </c>
      <c r="G1623" s="1">
        <v>639.87</v>
      </c>
      <c r="H1623" s="1" t="s">
        <v>181</v>
      </c>
    </row>
    <row r="1624" spans="1:8" x14ac:dyDescent="0.35">
      <c r="A1624" s="2">
        <v>45050.98541666667</v>
      </c>
      <c r="B1624" s="3">
        <v>0.59607638888888892</v>
      </c>
      <c r="C1624" s="1" t="s">
        <v>8</v>
      </c>
      <c r="D1624" s="1" t="s">
        <v>16</v>
      </c>
      <c r="E1624" s="1">
        <v>203.54</v>
      </c>
      <c r="F1624" s="1">
        <v>5</v>
      </c>
      <c r="G1624" s="1">
        <v>1017.7</v>
      </c>
      <c r="H1624" s="1" t="s">
        <v>125</v>
      </c>
    </row>
    <row r="1625" spans="1:8" x14ac:dyDescent="0.35">
      <c r="A1625" s="2">
        <v>45167.990277777775</v>
      </c>
      <c r="B1625" s="3">
        <v>0.29158564814814814</v>
      </c>
      <c r="C1625" s="1" t="s">
        <v>8</v>
      </c>
      <c r="D1625" s="1" t="s">
        <v>16</v>
      </c>
      <c r="E1625" s="1">
        <v>451.15</v>
      </c>
      <c r="F1625" s="1">
        <v>1</v>
      </c>
      <c r="G1625" s="1">
        <v>451.15</v>
      </c>
      <c r="H1625" s="1" t="s">
        <v>141</v>
      </c>
    </row>
    <row r="1626" spans="1:8" x14ac:dyDescent="0.35">
      <c r="A1626" s="2">
        <v>45546.120138888888</v>
      </c>
      <c r="B1626" s="3">
        <v>0.76811342592592602</v>
      </c>
      <c r="C1626" s="1" t="s">
        <v>14</v>
      </c>
      <c r="D1626" s="1" t="s">
        <v>9</v>
      </c>
      <c r="E1626" s="1">
        <v>219.14</v>
      </c>
      <c r="F1626" s="1">
        <v>1</v>
      </c>
      <c r="G1626" s="1">
        <v>219.14</v>
      </c>
      <c r="H1626" s="1" t="s">
        <v>105</v>
      </c>
    </row>
    <row r="1627" spans="1:8" x14ac:dyDescent="0.35">
      <c r="A1627" s="2">
        <v>45053.135416666664</v>
      </c>
      <c r="B1627" s="3">
        <v>0.21429398148148149</v>
      </c>
      <c r="C1627" s="1" t="s">
        <v>11</v>
      </c>
      <c r="D1627" s="1" t="s">
        <v>16</v>
      </c>
      <c r="E1627" s="1">
        <v>192.64</v>
      </c>
      <c r="F1627" s="1">
        <v>5</v>
      </c>
      <c r="G1627" s="1">
        <v>963.2</v>
      </c>
      <c r="H1627" s="1" t="s">
        <v>45</v>
      </c>
    </row>
    <row r="1628" spans="1:8" x14ac:dyDescent="0.35">
      <c r="A1628" s="2">
        <v>45121.870138888888</v>
      </c>
      <c r="B1628" s="3">
        <v>0.43417824074074068</v>
      </c>
      <c r="C1628" s="1" t="s">
        <v>8</v>
      </c>
      <c r="D1628" s="1" t="s">
        <v>20</v>
      </c>
      <c r="E1628" s="1">
        <v>278.33</v>
      </c>
      <c r="F1628" s="1">
        <v>2</v>
      </c>
      <c r="G1628" s="1">
        <v>556.66</v>
      </c>
      <c r="H1628" s="1" t="s">
        <v>134</v>
      </c>
    </row>
    <row r="1629" spans="1:8" x14ac:dyDescent="0.35">
      <c r="A1629" s="2">
        <v>45440.397222222222</v>
      </c>
      <c r="B1629" s="3">
        <v>0.31959490740740742</v>
      </c>
      <c r="C1629" s="1" t="s">
        <v>14</v>
      </c>
      <c r="D1629" s="1" t="s">
        <v>9</v>
      </c>
      <c r="E1629" s="1">
        <v>165.83</v>
      </c>
      <c r="F1629" s="1">
        <v>2</v>
      </c>
      <c r="G1629" s="1">
        <v>331.66</v>
      </c>
      <c r="H1629" s="1" t="s">
        <v>302</v>
      </c>
    </row>
    <row r="1630" spans="1:8" x14ac:dyDescent="0.35">
      <c r="A1630" s="2">
        <v>45666.655555555553</v>
      </c>
      <c r="B1630" s="3">
        <v>0.91030092592592593</v>
      </c>
      <c r="C1630" s="1" t="s">
        <v>11</v>
      </c>
      <c r="D1630" s="1" t="s">
        <v>16</v>
      </c>
      <c r="E1630" s="1">
        <v>186.59</v>
      </c>
      <c r="F1630" s="1">
        <v>1</v>
      </c>
      <c r="G1630" s="1">
        <v>186.59</v>
      </c>
      <c r="H1630" s="1" t="s">
        <v>334</v>
      </c>
    </row>
    <row r="1631" spans="1:8" x14ac:dyDescent="0.35">
      <c r="A1631" s="2">
        <v>45476.456944444442</v>
      </c>
      <c r="B1631" s="3">
        <v>0.2923263888888889</v>
      </c>
      <c r="C1631" s="1" t="s">
        <v>14</v>
      </c>
      <c r="D1631" s="1" t="s">
        <v>12</v>
      </c>
      <c r="E1631" s="1">
        <v>255.41</v>
      </c>
      <c r="F1631" s="1">
        <v>5</v>
      </c>
      <c r="G1631" s="1">
        <v>1277.05</v>
      </c>
      <c r="H1631" s="1" t="s">
        <v>277</v>
      </c>
    </row>
    <row r="1632" spans="1:8" x14ac:dyDescent="0.35">
      <c r="A1632" s="2">
        <v>45657.224999999999</v>
      </c>
      <c r="B1632" s="3">
        <v>0.46181712962962962</v>
      </c>
      <c r="C1632" s="1" t="s">
        <v>11</v>
      </c>
      <c r="D1632" s="1" t="s">
        <v>27</v>
      </c>
      <c r="E1632" s="1">
        <v>302.89999999999998</v>
      </c>
      <c r="F1632" s="1">
        <v>1</v>
      </c>
      <c r="G1632" s="1">
        <v>302.89999999999998</v>
      </c>
      <c r="H1632" s="1" t="s">
        <v>264</v>
      </c>
    </row>
    <row r="1633" spans="1:8" x14ac:dyDescent="0.35">
      <c r="A1633" s="2">
        <v>45595.261805555558</v>
      </c>
      <c r="B1633" s="3">
        <v>0.22537037037037036</v>
      </c>
      <c r="C1633" s="1" t="s">
        <v>14</v>
      </c>
      <c r="D1633" s="1" t="s">
        <v>20</v>
      </c>
      <c r="E1633" s="1">
        <v>409.69</v>
      </c>
      <c r="F1633" s="1">
        <v>5</v>
      </c>
      <c r="G1633" s="1">
        <v>2048.4499999999998</v>
      </c>
      <c r="H1633" s="1" t="s">
        <v>105</v>
      </c>
    </row>
    <row r="1634" spans="1:8" x14ac:dyDescent="0.35">
      <c r="A1634" s="2">
        <v>45158.143750000003</v>
      </c>
      <c r="B1634" s="3">
        <v>4.628472222222222E-2</v>
      </c>
      <c r="C1634" s="1" t="s">
        <v>8</v>
      </c>
      <c r="D1634" s="1" t="s">
        <v>16</v>
      </c>
      <c r="E1634" s="1">
        <v>370.37</v>
      </c>
      <c r="F1634" s="1">
        <v>5</v>
      </c>
      <c r="G1634" s="1">
        <v>1851.85</v>
      </c>
      <c r="H1634" s="1" t="s">
        <v>298</v>
      </c>
    </row>
    <row r="1635" spans="1:8" x14ac:dyDescent="0.35">
      <c r="A1635" s="2">
        <v>44938.656944444447</v>
      </c>
      <c r="B1635" s="3">
        <v>0.89200231481481485</v>
      </c>
      <c r="C1635" s="1" t="s">
        <v>8</v>
      </c>
      <c r="D1635" s="1" t="s">
        <v>20</v>
      </c>
      <c r="E1635" s="1">
        <v>163.52000000000001</v>
      </c>
      <c r="F1635" s="1">
        <v>2</v>
      </c>
      <c r="G1635" s="1">
        <v>327.04000000000002</v>
      </c>
      <c r="H1635" s="1" t="s">
        <v>262</v>
      </c>
    </row>
    <row r="1636" spans="1:8" x14ac:dyDescent="0.35">
      <c r="A1636" s="2">
        <v>45343.281944444447</v>
      </c>
      <c r="B1636" s="3">
        <v>0.30912037037037038</v>
      </c>
      <c r="C1636" s="1" t="s">
        <v>14</v>
      </c>
      <c r="D1636" s="1" t="s">
        <v>9</v>
      </c>
      <c r="E1636" s="1">
        <v>195.61</v>
      </c>
      <c r="F1636" s="1">
        <v>4</v>
      </c>
      <c r="G1636" s="1">
        <v>782.44</v>
      </c>
      <c r="H1636" s="1" t="s">
        <v>42</v>
      </c>
    </row>
    <row r="1637" spans="1:8" x14ac:dyDescent="0.35">
      <c r="A1637" s="2">
        <v>45495.869444444441</v>
      </c>
      <c r="B1637" s="3">
        <v>0.38761574074074073</v>
      </c>
      <c r="C1637" s="1" t="s">
        <v>8</v>
      </c>
      <c r="D1637" s="1" t="s">
        <v>16</v>
      </c>
      <c r="E1637" s="1">
        <v>154.74</v>
      </c>
      <c r="F1637" s="1">
        <v>3</v>
      </c>
      <c r="G1637" s="1">
        <v>464.22</v>
      </c>
      <c r="H1637" s="1" t="s">
        <v>409</v>
      </c>
    </row>
    <row r="1638" spans="1:8" x14ac:dyDescent="0.35">
      <c r="A1638" s="2">
        <v>45370.18472222222</v>
      </c>
      <c r="B1638" s="3">
        <v>6.1307870370370367E-2</v>
      </c>
      <c r="C1638" s="1" t="s">
        <v>11</v>
      </c>
      <c r="D1638" s="1" t="s">
        <v>9</v>
      </c>
      <c r="E1638" s="1">
        <v>87.69</v>
      </c>
      <c r="F1638" s="1">
        <v>3</v>
      </c>
      <c r="G1638" s="1">
        <v>263.07</v>
      </c>
      <c r="H1638" s="1" t="s">
        <v>72</v>
      </c>
    </row>
    <row r="1639" spans="1:8" x14ac:dyDescent="0.35">
      <c r="A1639" s="2">
        <v>44973.727777777778</v>
      </c>
      <c r="B1639" s="3">
        <v>0.10892361111111111</v>
      </c>
      <c r="C1639" s="1" t="s">
        <v>14</v>
      </c>
      <c r="D1639" s="1" t="s">
        <v>20</v>
      </c>
      <c r="E1639" s="1">
        <v>91.36</v>
      </c>
      <c r="F1639" s="1">
        <v>1</v>
      </c>
      <c r="G1639" s="1">
        <v>91.36</v>
      </c>
      <c r="H1639" s="1" t="s">
        <v>368</v>
      </c>
    </row>
    <row r="1640" spans="1:8" x14ac:dyDescent="0.35">
      <c r="A1640" s="2">
        <v>45519.338194444441</v>
      </c>
      <c r="B1640" s="3">
        <v>0.94844907407407408</v>
      </c>
      <c r="C1640" s="1" t="s">
        <v>14</v>
      </c>
      <c r="D1640" s="1" t="s">
        <v>20</v>
      </c>
      <c r="E1640" s="1">
        <v>197.27</v>
      </c>
      <c r="F1640" s="1">
        <v>5</v>
      </c>
      <c r="G1640" s="1">
        <v>986.35</v>
      </c>
      <c r="H1640" s="1" t="s">
        <v>56</v>
      </c>
    </row>
    <row r="1641" spans="1:8" x14ac:dyDescent="0.35">
      <c r="A1641" s="2">
        <v>45632.342361111114</v>
      </c>
      <c r="B1641" s="3">
        <v>0.93714120370370368</v>
      </c>
      <c r="C1641" s="1" t="s">
        <v>11</v>
      </c>
      <c r="D1641" s="1" t="s">
        <v>16</v>
      </c>
      <c r="E1641" s="1">
        <v>444.24</v>
      </c>
      <c r="F1641" s="1">
        <v>3</v>
      </c>
      <c r="G1641" s="1">
        <v>1332.72</v>
      </c>
      <c r="H1641" s="1" t="s">
        <v>44</v>
      </c>
    </row>
    <row r="1642" spans="1:8" x14ac:dyDescent="0.35">
      <c r="A1642" s="2">
        <v>45162.277083333334</v>
      </c>
      <c r="B1642" s="3">
        <v>0.79129629629629628</v>
      </c>
      <c r="C1642" s="1" t="s">
        <v>8</v>
      </c>
      <c r="D1642" s="1" t="s">
        <v>16</v>
      </c>
      <c r="E1642" s="1">
        <v>316.93</v>
      </c>
      <c r="F1642" s="1">
        <v>2</v>
      </c>
      <c r="G1642" s="1">
        <v>633.86</v>
      </c>
      <c r="H1642" s="1" t="s">
        <v>66</v>
      </c>
    </row>
    <row r="1643" spans="1:8" x14ac:dyDescent="0.35">
      <c r="A1643" s="2">
        <v>45516.038194444445</v>
      </c>
      <c r="B1643" s="3">
        <v>0.91113425925925917</v>
      </c>
      <c r="C1643" s="1" t="s">
        <v>14</v>
      </c>
      <c r="D1643" s="1" t="s">
        <v>20</v>
      </c>
      <c r="E1643" s="1">
        <v>196.78</v>
      </c>
      <c r="F1643" s="1">
        <v>1</v>
      </c>
      <c r="G1643" s="1">
        <v>196.78</v>
      </c>
      <c r="H1643" s="1" t="s">
        <v>217</v>
      </c>
    </row>
    <row r="1644" spans="1:8" x14ac:dyDescent="0.35">
      <c r="A1644" s="2">
        <v>45337.844444444447</v>
      </c>
      <c r="B1644" s="3">
        <v>0.37201388888888887</v>
      </c>
      <c r="C1644" s="1" t="s">
        <v>8</v>
      </c>
      <c r="D1644" s="1" t="s">
        <v>27</v>
      </c>
      <c r="E1644" s="1">
        <v>126.32</v>
      </c>
      <c r="F1644" s="1">
        <v>3</v>
      </c>
      <c r="G1644" s="1">
        <v>378.96</v>
      </c>
      <c r="H1644" s="1" t="s">
        <v>50</v>
      </c>
    </row>
    <row r="1645" spans="1:8" x14ac:dyDescent="0.35">
      <c r="A1645" s="2">
        <v>45220.967361111114</v>
      </c>
      <c r="B1645" s="3">
        <v>0.79158564814814814</v>
      </c>
      <c r="C1645" s="1" t="s">
        <v>11</v>
      </c>
      <c r="D1645" s="1" t="s">
        <v>20</v>
      </c>
      <c r="E1645" s="1">
        <v>402.85</v>
      </c>
      <c r="F1645" s="1">
        <v>2</v>
      </c>
      <c r="G1645" s="1">
        <v>805.7</v>
      </c>
      <c r="H1645" s="1" t="s">
        <v>61</v>
      </c>
    </row>
    <row r="1646" spans="1:8" x14ac:dyDescent="0.35">
      <c r="A1646" s="2">
        <v>44983.472222222219</v>
      </c>
      <c r="B1646" s="3">
        <v>0.73783564814814817</v>
      </c>
      <c r="C1646" s="1" t="s">
        <v>11</v>
      </c>
      <c r="D1646" s="1" t="s">
        <v>12</v>
      </c>
      <c r="E1646" s="1">
        <v>434.47</v>
      </c>
      <c r="F1646" s="1">
        <v>1</v>
      </c>
      <c r="G1646" s="1">
        <v>434.47</v>
      </c>
      <c r="H1646" s="1" t="s">
        <v>336</v>
      </c>
    </row>
    <row r="1647" spans="1:8" x14ac:dyDescent="0.35">
      <c r="A1647" s="2">
        <v>45372.529166666667</v>
      </c>
      <c r="B1647" s="3">
        <v>0.83983796296296298</v>
      </c>
      <c r="C1647" s="1" t="s">
        <v>8</v>
      </c>
      <c r="D1647" s="1" t="s">
        <v>9</v>
      </c>
      <c r="E1647" s="1">
        <v>290.19</v>
      </c>
      <c r="F1647" s="1">
        <v>2</v>
      </c>
      <c r="G1647" s="1">
        <v>580.38</v>
      </c>
      <c r="H1647" s="1" t="s">
        <v>338</v>
      </c>
    </row>
    <row r="1648" spans="1:8" x14ac:dyDescent="0.35">
      <c r="A1648" s="2">
        <v>45398.060416666667</v>
      </c>
      <c r="B1648" s="3">
        <v>0.38011574074074073</v>
      </c>
      <c r="C1648" s="1" t="s">
        <v>11</v>
      </c>
      <c r="D1648" s="1" t="s">
        <v>12</v>
      </c>
      <c r="E1648" s="1">
        <v>142.81</v>
      </c>
      <c r="F1648" s="1">
        <v>5</v>
      </c>
      <c r="G1648" s="1">
        <v>714.05</v>
      </c>
      <c r="H1648" s="1" t="s">
        <v>279</v>
      </c>
    </row>
    <row r="1649" spans="1:8" x14ac:dyDescent="0.35">
      <c r="A1649" s="2">
        <v>45229.705555555556</v>
      </c>
      <c r="B1649" s="3">
        <v>0.44489583333333332</v>
      </c>
      <c r="C1649" s="1" t="s">
        <v>11</v>
      </c>
      <c r="D1649" s="1" t="s">
        <v>20</v>
      </c>
      <c r="E1649" s="1">
        <v>75.56</v>
      </c>
      <c r="F1649" s="1">
        <v>2</v>
      </c>
      <c r="G1649" s="1">
        <v>151.12</v>
      </c>
      <c r="H1649" s="1" t="s">
        <v>327</v>
      </c>
    </row>
    <row r="1650" spans="1:8" x14ac:dyDescent="0.35">
      <c r="A1650" s="2">
        <v>44983.575694444444</v>
      </c>
      <c r="B1650" s="3">
        <v>0.4180787037037037</v>
      </c>
      <c r="C1650" s="1" t="s">
        <v>8</v>
      </c>
      <c r="D1650" s="1" t="s">
        <v>27</v>
      </c>
      <c r="E1650" s="1">
        <v>389.68</v>
      </c>
      <c r="F1650" s="1">
        <v>4</v>
      </c>
      <c r="G1650" s="1">
        <v>1558.72</v>
      </c>
      <c r="H1650" s="1" t="s">
        <v>398</v>
      </c>
    </row>
    <row r="1651" spans="1:8" x14ac:dyDescent="0.35">
      <c r="A1651" s="2">
        <v>45201.715277777781</v>
      </c>
      <c r="B1651" s="3">
        <v>0.87046296296296299</v>
      </c>
      <c r="C1651" s="1" t="s">
        <v>11</v>
      </c>
      <c r="D1651" s="1" t="s">
        <v>9</v>
      </c>
      <c r="E1651" s="1">
        <v>237.81</v>
      </c>
      <c r="F1651" s="1">
        <v>3</v>
      </c>
      <c r="G1651" s="1">
        <v>713.43</v>
      </c>
      <c r="H1651" s="1" t="s">
        <v>334</v>
      </c>
    </row>
    <row r="1652" spans="1:8" x14ac:dyDescent="0.35">
      <c r="A1652" s="2">
        <v>44979.931250000001</v>
      </c>
      <c r="B1652" s="3">
        <v>0.51478009259259261</v>
      </c>
      <c r="C1652" s="1" t="s">
        <v>11</v>
      </c>
      <c r="D1652" s="1" t="s">
        <v>20</v>
      </c>
      <c r="E1652" s="1">
        <v>474.93</v>
      </c>
      <c r="F1652" s="1">
        <v>2</v>
      </c>
      <c r="G1652" s="1">
        <v>949.86</v>
      </c>
      <c r="H1652" s="1" t="s">
        <v>10</v>
      </c>
    </row>
    <row r="1653" spans="1:8" x14ac:dyDescent="0.35">
      <c r="A1653" s="2">
        <v>45181.167361111111</v>
      </c>
      <c r="B1653" s="3">
        <v>0.85487268518518522</v>
      </c>
      <c r="C1653" s="1" t="s">
        <v>14</v>
      </c>
      <c r="D1653" s="1" t="s">
        <v>12</v>
      </c>
      <c r="E1653" s="1">
        <v>375.96</v>
      </c>
      <c r="F1653" s="1">
        <v>3</v>
      </c>
      <c r="G1653" s="1">
        <v>1127.8800000000001</v>
      </c>
      <c r="H1653" s="1" t="s">
        <v>254</v>
      </c>
    </row>
    <row r="1654" spans="1:8" x14ac:dyDescent="0.35">
      <c r="A1654" s="2">
        <v>45267.603472222225</v>
      </c>
      <c r="B1654" s="3">
        <v>0.5397453703703704</v>
      </c>
      <c r="C1654" s="1" t="s">
        <v>14</v>
      </c>
      <c r="D1654" s="1" t="s">
        <v>9</v>
      </c>
      <c r="E1654" s="1">
        <v>229.73</v>
      </c>
      <c r="F1654" s="1">
        <v>3</v>
      </c>
      <c r="G1654" s="1">
        <v>689.19</v>
      </c>
      <c r="H1654" s="1" t="s">
        <v>160</v>
      </c>
    </row>
    <row r="1655" spans="1:8" x14ac:dyDescent="0.35">
      <c r="A1655" s="2">
        <v>45168.012499999997</v>
      </c>
      <c r="B1655" s="3">
        <v>0.1297800925925926</v>
      </c>
      <c r="C1655" s="1" t="s">
        <v>8</v>
      </c>
      <c r="D1655" s="1" t="s">
        <v>27</v>
      </c>
      <c r="E1655" s="1">
        <v>54.15</v>
      </c>
      <c r="F1655" s="1">
        <v>3</v>
      </c>
      <c r="G1655" s="1">
        <v>162.44999999999999</v>
      </c>
      <c r="H1655" s="1" t="s">
        <v>41</v>
      </c>
    </row>
    <row r="1656" spans="1:8" x14ac:dyDescent="0.35">
      <c r="A1656" s="2">
        <v>45320.365277777775</v>
      </c>
      <c r="B1656" s="3">
        <v>0.58733796296296303</v>
      </c>
      <c r="C1656" s="1" t="s">
        <v>11</v>
      </c>
      <c r="D1656" s="1" t="s">
        <v>16</v>
      </c>
      <c r="E1656" s="1">
        <v>253.09</v>
      </c>
      <c r="F1656" s="1">
        <v>1</v>
      </c>
      <c r="G1656" s="1">
        <v>253.09</v>
      </c>
      <c r="H1656" s="1" t="s">
        <v>225</v>
      </c>
    </row>
    <row r="1657" spans="1:8" x14ac:dyDescent="0.35">
      <c r="A1657" s="2">
        <v>45100.71875</v>
      </c>
      <c r="B1657" s="3">
        <v>0.84940972222222222</v>
      </c>
      <c r="C1657" s="1" t="s">
        <v>8</v>
      </c>
      <c r="D1657" s="1" t="s">
        <v>16</v>
      </c>
      <c r="E1657" s="1">
        <v>487.67</v>
      </c>
      <c r="F1657" s="1">
        <v>2</v>
      </c>
      <c r="G1657" s="1">
        <v>975.34</v>
      </c>
      <c r="H1657" s="1" t="s">
        <v>124</v>
      </c>
    </row>
    <row r="1658" spans="1:8" x14ac:dyDescent="0.35">
      <c r="A1658" s="2">
        <v>44983.786111111112</v>
      </c>
      <c r="B1658" s="3">
        <v>0.20233796296296294</v>
      </c>
      <c r="C1658" s="1" t="s">
        <v>8</v>
      </c>
      <c r="D1658" s="1" t="s">
        <v>27</v>
      </c>
      <c r="E1658" s="1">
        <v>189.32</v>
      </c>
      <c r="F1658" s="1">
        <v>2</v>
      </c>
      <c r="G1658" s="1">
        <v>378.64</v>
      </c>
      <c r="H1658" s="1" t="s">
        <v>297</v>
      </c>
    </row>
    <row r="1659" spans="1:8" x14ac:dyDescent="0.35">
      <c r="A1659" s="2">
        <v>45076.225694444445</v>
      </c>
      <c r="B1659" s="3">
        <v>0.6844675925925926</v>
      </c>
      <c r="C1659" s="1" t="s">
        <v>8</v>
      </c>
      <c r="D1659" s="1" t="s">
        <v>16</v>
      </c>
      <c r="E1659" s="1">
        <v>402.02</v>
      </c>
      <c r="F1659" s="1">
        <v>2</v>
      </c>
      <c r="G1659" s="1">
        <v>804.04</v>
      </c>
      <c r="H1659" s="1" t="s">
        <v>322</v>
      </c>
    </row>
    <row r="1660" spans="1:8" x14ac:dyDescent="0.35">
      <c r="A1660" s="2">
        <v>45414.09652777778</v>
      </c>
      <c r="B1660" s="3">
        <v>5.8923611111111107E-2</v>
      </c>
      <c r="C1660" s="1" t="s">
        <v>14</v>
      </c>
      <c r="D1660" s="1" t="s">
        <v>9</v>
      </c>
      <c r="E1660" s="1">
        <v>245.59</v>
      </c>
      <c r="F1660" s="1">
        <v>5</v>
      </c>
      <c r="G1660" s="1">
        <v>1227.95</v>
      </c>
      <c r="H1660" s="1" t="s">
        <v>367</v>
      </c>
    </row>
    <row r="1661" spans="1:8" x14ac:dyDescent="0.35">
      <c r="A1661" s="2">
        <v>45283.282638888886</v>
      </c>
      <c r="B1661" s="3">
        <v>0.54847222222222225</v>
      </c>
      <c r="C1661" s="1" t="s">
        <v>8</v>
      </c>
      <c r="D1661" s="1" t="s">
        <v>20</v>
      </c>
      <c r="E1661" s="1">
        <v>208.26</v>
      </c>
      <c r="F1661" s="1">
        <v>4</v>
      </c>
      <c r="G1661" s="1">
        <v>833.04</v>
      </c>
      <c r="H1661" s="1" t="s">
        <v>288</v>
      </c>
    </row>
    <row r="1662" spans="1:8" x14ac:dyDescent="0.35">
      <c r="A1662" s="2">
        <v>45167.084722222222</v>
      </c>
      <c r="B1662" s="3">
        <v>0.23488425925925926</v>
      </c>
      <c r="C1662" s="1" t="s">
        <v>8</v>
      </c>
      <c r="D1662" s="1" t="s">
        <v>9</v>
      </c>
      <c r="E1662" s="1">
        <v>472.98</v>
      </c>
      <c r="F1662" s="1">
        <v>2</v>
      </c>
      <c r="G1662" s="1">
        <v>945.96</v>
      </c>
      <c r="H1662" s="1" t="s">
        <v>180</v>
      </c>
    </row>
    <row r="1663" spans="1:8" x14ac:dyDescent="0.35">
      <c r="A1663" s="2">
        <v>45141.853472222225</v>
      </c>
      <c r="B1663" s="3">
        <v>0.47531250000000003</v>
      </c>
      <c r="C1663" s="1" t="s">
        <v>14</v>
      </c>
      <c r="D1663" s="1" t="s">
        <v>27</v>
      </c>
      <c r="E1663" s="1">
        <v>251.35</v>
      </c>
      <c r="F1663" s="1">
        <v>2</v>
      </c>
      <c r="G1663" s="1">
        <v>502.7</v>
      </c>
      <c r="H1663" s="1" t="s">
        <v>125</v>
      </c>
    </row>
    <row r="1664" spans="1:8" x14ac:dyDescent="0.35">
      <c r="A1664" s="2">
        <v>45334.402777777781</v>
      </c>
      <c r="B1664" s="3">
        <v>0.81550925925925932</v>
      </c>
      <c r="C1664" s="1" t="s">
        <v>14</v>
      </c>
      <c r="D1664" s="1" t="s">
        <v>27</v>
      </c>
      <c r="E1664" s="1">
        <v>289.8</v>
      </c>
      <c r="F1664" s="1">
        <v>4</v>
      </c>
      <c r="G1664" s="1">
        <v>1159.2</v>
      </c>
      <c r="H1664" s="1" t="s">
        <v>309</v>
      </c>
    </row>
    <row r="1665" spans="1:8" x14ac:dyDescent="0.35">
      <c r="A1665" s="2">
        <v>44954.376388888886</v>
      </c>
      <c r="B1665" s="3">
        <v>3.4895833333333334E-2</v>
      </c>
      <c r="C1665" s="1" t="s">
        <v>14</v>
      </c>
      <c r="D1665" s="1" t="s">
        <v>27</v>
      </c>
      <c r="E1665" s="1">
        <v>187.26</v>
      </c>
      <c r="F1665" s="1">
        <v>3</v>
      </c>
      <c r="G1665" s="1">
        <v>561.78</v>
      </c>
      <c r="H1665" s="1" t="s">
        <v>348</v>
      </c>
    </row>
    <row r="1666" spans="1:8" x14ac:dyDescent="0.35">
      <c r="A1666" s="2">
        <v>45377.080555555556</v>
      </c>
      <c r="B1666" s="3">
        <v>0.74174768518518519</v>
      </c>
      <c r="C1666" s="1" t="s">
        <v>11</v>
      </c>
      <c r="D1666" s="1" t="s">
        <v>12</v>
      </c>
      <c r="E1666" s="1">
        <v>236.74</v>
      </c>
      <c r="F1666" s="1">
        <v>1</v>
      </c>
      <c r="G1666" s="1">
        <v>236.74</v>
      </c>
      <c r="H1666" s="1" t="s">
        <v>68</v>
      </c>
    </row>
    <row r="1667" spans="1:8" x14ac:dyDescent="0.35">
      <c r="A1667" s="2">
        <v>44973.964583333334</v>
      </c>
      <c r="B1667" s="3">
        <v>0.5083333333333333</v>
      </c>
      <c r="C1667" s="1" t="s">
        <v>14</v>
      </c>
      <c r="D1667" s="1" t="s">
        <v>20</v>
      </c>
      <c r="E1667" s="1">
        <v>495.8</v>
      </c>
      <c r="F1667" s="1">
        <v>3</v>
      </c>
      <c r="G1667" s="1">
        <v>1487.4</v>
      </c>
      <c r="H1667" s="1" t="s">
        <v>327</v>
      </c>
    </row>
    <row r="1668" spans="1:8" x14ac:dyDescent="0.35">
      <c r="A1668" s="2">
        <v>45327.333333333336</v>
      </c>
      <c r="B1668" s="3">
        <v>0.81478009259259254</v>
      </c>
      <c r="C1668" s="1" t="s">
        <v>11</v>
      </c>
      <c r="D1668" s="1" t="s">
        <v>27</v>
      </c>
      <c r="E1668" s="1">
        <v>40.21</v>
      </c>
      <c r="F1668" s="1">
        <v>5</v>
      </c>
      <c r="G1668" s="1">
        <v>201.05</v>
      </c>
      <c r="H1668" s="1" t="s">
        <v>141</v>
      </c>
    </row>
    <row r="1669" spans="1:8" x14ac:dyDescent="0.35">
      <c r="A1669" s="2">
        <v>45353.813888888886</v>
      </c>
      <c r="B1669" s="3">
        <v>0.84195601851851853</v>
      </c>
      <c r="C1669" s="1" t="s">
        <v>8</v>
      </c>
      <c r="D1669" s="1" t="s">
        <v>12</v>
      </c>
      <c r="E1669" s="1">
        <v>437.14</v>
      </c>
      <c r="F1669" s="1">
        <v>5</v>
      </c>
      <c r="G1669" s="1">
        <v>2185.6999999999998</v>
      </c>
      <c r="H1669" s="1" t="s">
        <v>166</v>
      </c>
    </row>
    <row r="1670" spans="1:8" x14ac:dyDescent="0.35">
      <c r="A1670" s="2">
        <v>45223.413888888892</v>
      </c>
      <c r="B1670" s="3">
        <v>0.43111111111111117</v>
      </c>
      <c r="C1670" s="1" t="s">
        <v>11</v>
      </c>
      <c r="D1670" s="1" t="s">
        <v>9</v>
      </c>
      <c r="E1670" s="1">
        <v>443.46</v>
      </c>
      <c r="F1670" s="1">
        <v>5</v>
      </c>
      <c r="G1670" s="1">
        <v>2217.3000000000002</v>
      </c>
      <c r="H1670" s="1" t="s">
        <v>61</v>
      </c>
    </row>
    <row r="1671" spans="1:8" x14ac:dyDescent="0.35">
      <c r="A1671" s="2">
        <v>45234.959027777775</v>
      </c>
      <c r="B1671" s="3">
        <v>0.89459490740740744</v>
      </c>
      <c r="C1671" s="1" t="s">
        <v>8</v>
      </c>
      <c r="D1671" s="1" t="s">
        <v>12</v>
      </c>
      <c r="E1671" s="1">
        <v>17.829999999999998</v>
      </c>
      <c r="F1671" s="1">
        <v>4</v>
      </c>
      <c r="G1671" s="1">
        <v>71.319999999999993</v>
      </c>
      <c r="H1671" s="1" t="s">
        <v>342</v>
      </c>
    </row>
    <row r="1672" spans="1:8" x14ac:dyDescent="0.35">
      <c r="A1672" s="2">
        <v>45230.204861111109</v>
      </c>
      <c r="B1672" s="3">
        <v>0.1252662037037037</v>
      </c>
      <c r="C1672" s="1" t="s">
        <v>8</v>
      </c>
      <c r="D1672" s="1" t="s">
        <v>12</v>
      </c>
      <c r="E1672" s="1">
        <v>207.21</v>
      </c>
      <c r="F1672" s="1">
        <v>1</v>
      </c>
      <c r="G1672" s="1">
        <v>207.21</v>
      </c>
      <c r="H1672" s="1" t="s">
        <v>373</v>
      </c>
    </row>
    <row r="1673" spans="1:8" x14ac:dyDescent="0.35">
      <c r="A1673" s="2">
        <v>45305.880555555559</v>
      </c>
      <c r="B1673" s="3">
        <v>0.36021990740740745</v>
      </c>
      <c r="C1673" s="1" t="s">
        <v>8</v>
      </c>
      <c r="D1673" s="1" t="s">
        <v>20</v>
      </c>
      <c r="E1673" s="1">
        <v>264.23</v>
      </c>
      <c r="F1673" s="1">
        <v>1</v>
      </c>
      <c r="G1673" s="1">
        <v>264.23</v>
      </c>
      <c r="H1673" s="1" t="s">
        <v>386</v>
      </c>
    </row>
    <row r="1674" spans="1:8" x14ac:dyDescent="0.35">
      <c r="A1674" s="2">
        <v>45076.044444444444</v>
      </c>
      <c r="B1674" s="3">
        <v>0.48734953703703704</v>
      </c>
      <c r="C1674" s="1" t="s">
        <v>14</v>
      </c>
      <c r="D1674" s="1" t="s">
        <v>12</v>
      </c>
      <c r="E1674" s="1">
        <v>413.3</v>
      </c>
      <c r="F1674" s="1">
        <v>5</v>
      </c>
      <c r="G1674" s="1">
        <v>2066.5</v>
      </c>
      <c r="H1674" s="1" t="s">
        <v>384</v>
      </c>
    </row>
    <row r="1675" spans="1:8" x14ac:dyDescent="0.35">
      <c r="A1675" s="2">
        <v>45604.323611111111</v>
      </c>
      <c r="B1675" s="3">
        <v>0.5267708333333333</v>
      </c>
      <c r="C1675" s="1" t="s">
        <v>8</v>
      </c>
      <c r="D1675" s="1" t="s">
        <v>9</v>
      </c>
      <c r="E1675" s="1">
        <v>163.12</v>
      </c>
      <c r="F1675" s="1">
        <v>1</v>
      </c>
      <c r="G1675" s="1">
        <v>163.12</v>
      </c>
      <c r="H1675" s="1" t="s">
        <v>290</v>
      </c>
    </row>
    <row r="1676" spans="1:8" x14ac:dyDescent="0.35">
      <c r="A1676" s="2">
        <v>45655.070138888892</v>
      </c>
      <c r="B1676" s="3">
        <v>0.8800810185185185</v>
      </c>
      <c r="C1676" s="1" t="s">
        <v>11</v>
      </c>
      <c r="D1676" s="1" t="s">
        <v>27</v>
      </c>
      <c r="E1676" s="1">
        <v>156.81</v>
      </c>
      <c r="F1676" s="1">
        <v>4</v>
      </c>
      <c r="G1676" s="1">
        <v>627.24</v>
      </c>
      <c r="H1676" s="1" t="s">
        <v>150</v>
      </c>
    </row>
    <row r="1677" spans="1:8" x14ac:dyDescent="0.35">
      <c r="A1677" s="2">
        <v>45556.025694444441</v>
      </c>
      <c r="B1677" s="3">
        <v>7.1805555555555553E-2</v>
      </c>
      <c r="C1677" s="1" t="s">
        <v>14</v>
      </c>
      <c r="D1677" s="1" t="s">
        <v>20</v>
      </c>
      <c r="E1677" s="1">
        <v>354.63</v>
      </c>
      <c r="F1677" s="1">
        <v>2</v>
      </c>
      <c r="G1677" s="1">
        <v>709.26</v>
      </c>
      <c r="H1677" s="1" t="s">
        <v>89</v>
      </c>
    </row>
    <row r="1678" spans="1:8" x14ac:dyDescent="0.35">
      <c r="A1678" s="2">
        <v>45467.509027777778</v>
      </c>
      <c r="B1678" s="3">
        <v>0.30396990740740742</v>
      </c>
      <c r="C1678" s="1" t="s">
        <v>14</v>
      </c>
      <c r="D1678" s="1" t="s">
        <v>12</v>
      </c>
      <c r="E1678" s="1">
        <v>248.66</v>
      </c>
      <c r="F1678" s="1">
        <v>4</v>
      </c>
      <c r="G1678" s="1">
        <v>994.64</v>
      </c>
      <c r="H1678" s="1" t="s">
        <v>56</v>
      </c>
    </row>
    <row r="1679" spans="1:8" x14ac:dyDescent="0.35">
      <c r="A1679" s="2">
        <v>45513.762499999997</v>
      </c>
      <c r="B1679" s="3">
        <v>0.1055787037037037</v>
      </c>
      <c r="C1679" s="1" t="s">
        <v>11</v>
      </c>
      <c r="D1679" s="1" t="s">
        <v>12</v>
      </c>
      <c r="E1679" s="1">
        <v>362.71</v>
      </c>
      <c r="F1679" s="1">
        <v>1</v>
      </c>
      <c r="G1679" s="1">
        <v>362.71</v>
      </c>
      <c r="H1679" s="1" t="s">
        <v>156</v>
      </c>
    </row>
    <row r="1680" spans="1:8" x14ac:dyDescent="0.35">
      <c r="A1680" s="2">
        <v>44957.038888888892</v>
      </c>
      <c r="B1680" s="3">
        <v>0.18546296296296297</v>
      </c>
      <c r="C1680" s="1" t="s">
        <v>8</v>
      </c>
      <c r="D1680" s="1" t="s">
        <v>9</v>
      </c>
      <c r="E1680" s="1">
        <v>227.18</v>
      </c>
      <c r="F1680" s="1">
        <v>2</v>
      </c>
      <c r="G1680" s="1">
        <v>454.36</v>
      </c>
      <c r="H1680" s="1" t="s">
        <v>68</v>
      </c>
    </row>
    <row r="1681" spans="1:8" x14ac:dyDescent="0.35">
      <c r="A1681" s="2">
        <v>45063.814583333333</v>
      </c>
      <c r="B1681" s="3">
        <v>0.68716435185185187</v>
      </c>
      <c r="C1681" s="1" t="s">
        <v>8</v>
      </c>
      <c r="D1681" s="1" t="s">
        <v>12</v>
      </c>
      <c r="E1681" s="1">
        <v>220.03</v>
      </c>
      <c r="F1681" s="1">
        <v>5</v>
      </c>
      <c r="G1681" s="1">
        <v>1100.1500000000001</v>
      </c>
      <c r="H1681" s="1" t="s">
        <v>386</v>
      </c>
    </row>
    <row r="1682" spans="1:8" x14ac:dyDescent="0.35">
      <c r="A1682" s="2">
        <v>45095.154861111114</v>
      </c>
      <c r="B1682" s="3">
        <v>0.50633101851851847</v>
      </c>
      <c r="C1682" s="1" t="s">
        <v>14</v>
      </c>
      <c r="D1682" s="1" t="s">
        <v>16</v>
      </c>
      <c r="E1682" s="1">
        <v>79.349999999999994</v>
      </c>
      <c r="F1682" s="1">
        <v>2</v>
      </c>
      <c r="G1682" s="1">
        <v>158.69999999999999</v>
      </c>
      <c r="H1682" s="1" t="s">
        <v>36</v>
      </c>
    </row>
    <row r="1683" spans="1:8" x14ac:dyDescent="0.35">
      <c r="A1683" s="2">
        <v>45066.915972222225</v>
      </c>
      <c r="B1683" s="3">
        <v>0.89278935185185182</v>
      </c>
      <c r="C1683" s="1" t="s">
        <v>11</v>
      </c>
      <c r="D1683" s="1" t="s">
        <v>20</v>
      </c>
      <c r="E1683" s="1">
        <v>322.51</v>
      </c>
      <c r="F1683" s="1">
        <v>2</v>
      </c>
      <c r="G1683" s="1">
        <v>645.02</v>
      </c>
      <c r="H1683" s="1" t="s">
        <v>135</v>
      </c>
    </row>
    <row r="1684" spans="1:8" x14ac:dyDescent="0.35">
      <c r="A1684" s="2">
        <v>44938.845833333333</v>
      </c>
      <c r="B1684" s="3">
        <v>0.94597222222222221</v>
      </c>
      <c r="C1684" s="1" t="s">
        <v>11</v>
      </c>
      <c r="D1684" s="1" t="s">
        <v>16</v>
      </c>
      <c r="E1684" s="1">
        <v>294.32</v>
      </c>
      <c r="F1684" s="1">
        <v>5</v>
      </c>
      <c r="G1684" s="1">
        <v>1471.6</v>
      </c>
      <c r="H1684" s="1" t="s">
        <v>52</v>
      </c>
    </row>
    <row r="1685" spans="1:8" x14ac:dyDescent="0.35">
      <c r="A1685" s="2">
        <v>45559.459027777775</v>
      </c>
      <c r="B1685" s="3">
        <v>0.17633101851851851</v>
      </c>
      <c r="C1685" s="1" t="s">
        <v>14</v>
      </c>
      <c r="D1685" s="1" t="s">
        <v>27</v>
      </c>
      <c r="E1685" s="1">
        <v>282.58999999999997</v>
      </c>
      <c r="F1685" s="1">
        <v>1</v>
      </c>
      <c r="G1685" s="1">
        <v>282.58999999999997</v>
      </c>
      <c r="H1685" s="1" t="s">
        <v>376</v>
      </c>
    </row>
    <row r="1686" spans="1:8" x14ac:dyDescent="0.35">
      <c r="A1686" s="2">
        <v>45158.42083333333</v>
      </c>
      <c r="B1686" s="3">
        <v>0.9897569444444444</v>
      </c>
      <c r="C1686" s="1" t="s">
        <v>11</v>
      </c>
      <c r="D1686" s="1" t="s">
        <v>20</v>
      </c>
      <c r="E1686" s="1">
        <v>298.19</v>
      </c>
      <c r="F1686" s="1">
        <v>5</v>
      </c>
      <c r="G1686" s="1">
        <v>1490.95</v>
      </c>
      <c r="H1686" s="1" t="s">
        <v>140</v>
      </c>
    </row>
    <row r="1687" spans="1:8" x14ac:dyDescent="0.35">
      <c r="A1687" s="2">
        <v>44982.458333333336</v>
      </c>
      <c r="B1687" s="3">
        <v>0.82232638888888887</v>
      </c>
      <c r="C1687" s="1" t="s">
        <v>14</v>
      </c>
      <c r="D1687" s="1" t="s">
        <v>9</v>
      </c>
      <c r="E1687" s="1">
        <v>281.14</v>
      </c>
      <c r="F1687" s="1">
        <v>5</v>
      </c>
      <c r="G1687" s="1">
        <v>1405.7</v>
      </c>
      <c r="H1687" s="1" t="s">
        <v>237</v>
      </c>
    </row>
    <row r="1688" spans="1:8" x14ac:dyDescent="0.35">
      <c r="A1688" s="2">
        <v>45314.756944444445</v>
      </c>
      <c r="B1688" s="3">
        <v>0.82209490740740743</v>
      </c>
      <c r="C1688" s="1" t="s">
        <v>14</v>
      </c>
      <c r="D1688" s="1" t="s">
        <v>16</v>
      </c>
      <c r="E1688" s="1">
        <v>258.08</v>
      </c>
      <c r="F1688" s="1">
        <v>1</v>
      </c>
      <c r="G1688" s="1">
        <v>258.08</v>
      </c>
      <c r="H1688" s="1" t="s">
        <v>34</v>
      </c>
    </row>
    <row r="1689" spans="1:8" x14ac:dyDescent="0.35">
      <c r="A1689" s="2">
        <v>45624.904166666667</v>
      </c>
      <c r="B1689" s="3">
        <v>0.34232638888888883</v>
      </c>
      <c r="C1689" s="1" t="s">
        <v>14</v>
      </c>
      <c r="D1689" s="1" t="s">
        <v>9</v>
      </c>
      <c r="E1689" s="1">
        <v>71.31</v>
      </c>
      <c r="F1689" s="1">
        <v>5</v>
      </c>
      <c r="G1689" s="1">
        <v>356.55</v>
      </c>
      <c r="H1689" s="1" t="s">
        <v>118</v>
      </c>
    </row>
    <row r="1690" spans="1:8" x14ac:dyDescent="0.35">
      <c r="A1690" s="2">
        <v>45529.70208333333</v>
      </c>
      <c r="B1690" s="3">
        <v>0.66016203703703702</v>
      </c>
      <c r="C1690" s="1" t="s">
        <v>8</v>
      </c>
      <c r="D1690" s="1" t="s">
        <v>12</v>
      </c>
      <c r="E1690" s="1">
        <v>344.16</v>
      </c>
      <c r="F1690" s="1">
        <v>1</v>
      </c>
      <c r="G1690" s="1">
        <v>344.16</v>
      </c>
      <c r="H1690" s="1" t="s">
        <v>124</v>
      </c>
    </row>
    <row r="1691" spans="1:8" x14ac:dyDescent="0.35">
      <c r="A1691" s="2">
        <v>45620.706944444442</v>
      </c>
      <c r="B1691" s="3">
        <v>0.17484953703703701</v>
      </c>
      <c r="C1691" s="1" t="s">
        <v>14</v>
      </c>
      <c r="D1691" s="1" t="s">
        <v>27</v>
      </c>
      <c r="E1691" s="1">
        <v>258.62</v>
      </c>
      <c r="F1691" s="1">
        <v>1</v>
      </c>
      <c r="G1691" s="1">
        <v>258.62</v>
      </c>
      <c r="H1691" s="1" t="s">
        <v>274</v>
      </c>
    </row>
    <row r="1692" spans="1:8" x14ac:dyDescent="0.35">
      <c r="A1692" s="2">
        <v>45595.720138888886</v>
      </c>
      <c r="B1692" s="3">
        <v>3.9131944444444448E-2</v>
      </c>
      <c r="C1692" s="1" t="s">
        <v>11</v>
      </c>
      <c r="D1692" s="1" t="s">
        <v>27</v>
      </c>
      <c r="E1692" s="1">
        <v>301.44</v>
      </c>
      <c r="F1692" s="1">
        <v>3</v>
      </c>
      <c r="G1692" s="1">
        <v>904.32</v>
      </c>
      <c r="H1692" s="1" t="s">
        <v>252</v>
      </c>
    </row>
    <row r="1693" spans="1:8" x14ac:dyDescent="0.35">
      <c r="A1693" s="2">
        <v>45179.071527777778</v>
      </c>
      <c r="B1693" s="3">
        <v>0.13127314814814814</v>
      </c>
      <c r="C1693" s="1" t="s">
        <v>11</v>
      </c>
      <c r="D1693" s="1" t="s">
        <v>16</v>
      </c>
      <c r="E1693" s="1">
        <v>27.59</v>
      </c>
      <c r="F1693" s="1">
        <v>5</v>
      </c>
      <c r="G1693" s="1">
        <v>137.94999999999999</v>
      </c>
      <c r="H1693" s="1" t="s">
        <v>21</v>
      </c>
    </row>
    <row r="1694" spans="1:8" x14ac:dyDescent="0.35">
      <c r="A1694" s="2">
        <v>45449.627083333333</v>
      </c>
      <c r="B1694" s="3">
        <v>0.40203703703703703</v>
      </c>
      <c r="C1694" s="1" t="s">
        <v>8</v>
      </c>
      <c r="D1694" s="1" t="s">
        <v>20</v>
      </c>
      <c r="E1694" s="1">
        <v>145.34</v>
      </c>
      <c r="F1694" s="1">
        <v>3</v>
      </c>
      <c r="G1694" s="1">
        <v>436.02</v>
      </c>
      <c r="H1694" s="1" t="s">
        <v>137</v>
      </c>
    </row>
    <row r="1695" spans="1:8" x14ac:dyDescent="0.35">
      <c r="A1695" s="2">
        <v>45298.981249999997</v>
      </c>
      <c r="B1695" s="3">
        <v>0.82050925925925933</v>
      </c>
      <c r="C1695" s="1" t="s">
        <v>14</v>
      </c>
      <c r="D1695" s="1" t="s">
        <v>20</v>
      </c>
      <c r="E1695" s="1">
        <v>236.65</v>
      </c>
      <c r="F1695" s="1">
        <v>1</v>
      </c>
      <c r="G1695" s="1">
        <v>236.65</v>
      </c>
      <c r="H1695" s="1" t="s">
        <v>95</v>
      </c>
    </row>
    <row r="1696" spans="1:8" x14ac:dyDescent="0.35">
      <c r="A1696" s="2">
        <v>45656.26458333333</v>
      </c>
      <c r="B1696" s="3">
        <v>0.47009259259259256</v>
      </c>
      <c r="C1696" s="1" t="s">
        <v>11</v>
      </c>
      <c r="D1696" s="1" t="s">
        <v>27</v>
      </c>
      <c r="E1696" s="1">
        <v>370.82</v>
      </c>
      <c r="F1696" s="1">
        <v>2</v>
      </c>
      <c r="G1696" s="1">
        <v>741.64</v>
      </c>
      <c r="H1696" s="1" t="s">
        <v>71</v>
      </c>
    </row>
    <row r="1697" spans="1:8" x14ac:dyDescent="0.35">
      <c r="A1697" s="2">
        <v>45345.684027777781</v>
      </c>
      <c r="B1697" s="3">
        <v>2.7534722222222221E-2</v>
      </c>
      <c r="C1697" s="1" t="s">
        <v>14</v>
      </c>
      <c r="D1697" s="1" t="s">
        <v>27</v>
      </c>
      <c r="E1697" s="1">
        <v>59.19</v>
      </c>
      <c r="F1697" s="1">
        <v>3</v>
      </c>
      <c r="G1697" s="1">
        <v>177.57</v>
      </c>
      <c r="H1697" s="1" t="s">
        <v>332</v>
      </c>
    </row>
    <row r="1698" spans="1:8" x14ac:dyDescent="0.35">
      <c r="A1698" s="2">
        <v>45437.282638888886</v>
      </c>
      <c r="B1698" s="3">
        <v>0.75410879629629635</v>
      </c>
      <c r="C1698" s="1" t="s">
        <v>8</v>
      </c>
      <c r="D1698" s="1" t="s">
        <v>16</v>
      </c>
      <c r="E1698" s="1">
        <v>366.11</v>
      </c>
      <c r="F1698" s="1">
        <v>1</v>
      </c>
      <c r="G1698" s="1">
        <v>366.11</v>
      </c>
      <c r="H1698" s="1" t="s">
        <v>115</v>
      </c>
    </row>
    <row r="1699" spans="1:8" x14ac:dyDescent="0.35">
      <c r="A1699" s="2">
        <v>45261.876388888886</v>
      </c>
      <c r="B1699" s="3">
        <v>0.16403935185185184</v>
      </c>
      <c r="C1699" s="1" t="s">
        <v>11</v>
      </c>
      <c r="D1699" s="1" t="s">
        <v>9</v>
      </c>
      <c r="E1699" s="1">
        <v>62.75</v>
      </c>
      <c r="F1699" s="1">
        <v>3</v>
      </c>
      <c r="G1699" s="1">
        <v>188.25</v>
      </c>
      <c r="H1699" s="1" t="s">
        <v>209</v>
      </c>
    </row>
    <row r="1700" spans="1:8" x14ac:dyDescent="0.35">
      <c r="A1700" s="2">
        <v>45397.195138888892</v>
      </c>
      <c r="B1700" s="3">
        <v>0.79228009259259258</v>
      </c>
      <c r="C1700" s="1" t="s">
        <v>11</v>
      </c>
      <c r="D1700" s="1" t="s">
        <v>27</v>
      </c>
      <c r="E1700" s="1">
        <v>319.83</v>
      </c>
      <c r="F1700" s="1">
        <v>4</v>
      </c>
      <c r="G1700" s="1">
        <v>1279.32</v>
      </c>
      <c r="H1700" s="1" t="s">
        <v>235</v>
      </c>
    </row>
    <row r="1701" spans="1:8" x14ac:dyDescent="0.35">
      <c r="A1701" s="2">
        <v>45388.874305555553</v>
      </c>
      <c r="B1701" s="3">
        <v>0.8728935185185186</v>
      </c>
      <c r="C1701" s="1" t="s">
        <v>8</v>
      </c>
      <c r="D1701" s="1" t="s">
        <v>9</v>
      </c>
      <c r="E1701" s="1">
        <v>409.86</v>
      </c>
      <c r="F1701" s="1">
        <v>4</v>
      </c>
      <c r="G1701" s="1">
        <v>1639.44</v>
      </c>
      <c r="H1701" s="1" t="s">
        <v>318</v>
      </c>
    </row>
    <row r="1702" spans="1:8" x14ac:dyDescent="0.35">
      <c r="A1702" s="2">
        <v>45470.327777777777</v>
      </c>
      <c r="B1702" s="3">
        <v>0.48719907407407409</v>
      </c>
      <c r="C1702" s="1" t="s">
        <v>11</v>
      </c>
      <c r="D1702" s="1" t="s">
        <v>27</v>
      </c>
      <c r="E1702" s="1">
        <v>58.27</v>
      </c>
      <c r="F1702" s="1">
        <v>1</v>
      </c>
      <c r="G1702" s="1">
        <v>58.27</v>
      </c>
      <c r="H1702" s="1" t="s">
        <v>391</v>
      </c>
    </row>
    <row r="1703" spans="1:8" x14ac:dyDescent="0.35">
      <c r="A1703" s="2">
        <v>45479.498611111114</v>
      </c>
      <c r="B1703" s="3">
        <v>0.74472222222222229</v>
      </c>
      <c r="C1703" s="1" t="s">
        <v>8</v>
      </c>
      <c r="D1703" s="1" t="s">
        <v>27</v>
      </c>
      <c r="E1703" s="1">
        <v>360.85</v>
      </c>
      <c r="F1703" s="1">
        <v>2</v>
      </c>
      <c r="G1703" s="1">
        <v>721.7</v>
      </c>
      <c r="H1703" s="1" t="s">
        <v>410</v>
      </c>
    </row>
    <row r="1704" spans="1:8" x14ac:dyDescent="0.35">
      <c r="A1704" s="2">
        <v>45405.421527777777</v>
      </c>
      <c r="B1704" s="3">
        <v>0.86849537037037028</v>
      </c>
      <c r="C1704" s="1" t="s">
        <v>11</v>
      </c>
      <c r="D1704" s="1" t="s">
        <v>20</v>
      </c>
      <c r="E1704" s="1">
        <v>67.11</v>
      </c>
      <c r="F1704" s="1">
        <v>2</v>
      </c>
      <c r="G1704" s="1">
        <v>134.22</v>
      </c>
      <c r="H1704" s="1" t="s">
        <v>319</v>
      </c>
    </row>
    <row r="1705" spans="1:8" x14ac:dyDescent="0.35">
      <c r="A1705" s="2">
        <v>44944.017361111109</v>
      </c>
      <c r="B1705" s="3">
        <v>0.76460648148148147</v>
      </c>
      <c r="C1705" s="1" t="s">
        <v>11</v>
      </c>
      <c r="D1705" s="1" t="s">
        <v>12</v>
      </c>
      <c r="E1705" s="1">
        <v>369.11</v>
      </c>
      <c r="F1705" s="1">
        <v>1</v>
      </c>
      <c r="G1705" s="1">
        <v>369.11</v>
      </c>
      <c r="H1705" s="1" t="s">
        <v>179</v>
      </c>
    </row>
    <row r="1706" spans="1:8" x14ac:dyDescent="0.35">
      <c r="A1706" s="2">
        <v>45331.784722222219</v>
      </c>
      <c r="B1706" s="3">
        <v>5.2905092592592594E-2</v>
      </c>
      <c r="C1706" s="1" t="s">
        <v>14</v>
      </c>
      <c r="D1706" s="1" t="s">
        <v>20</v>
      </c>
      <c r="E1706" s="1">
        <v>16.600000000000001</v>
      </c>
      <c r="F1706" s="1">
        <v>5</v>
      </c>
      <c r="G1706" s="1">
        <v>83</v>
      </c>
      <c r="H1706" s="1" t="s">
        <v>393</v>
      </c>
    </row>
    <row r="1707" spans="1:8" x14ac:dyDescent="0.35">
      <c r="A1707" s="2">
        <v>45648.595833333333</v>
      </c>
      <c r="B1707" s="3">
        <v>0.88386574074074076</v>
      </c>
      <c r="C1707" s="1" t="s">
        <v>8</v>
      </c>
      <c r="D1707" s="1" t="s">
        <v>16</v>
      </c>
      <c r="E1707" s="1">
        <v>437.52</v>
      </c>
      <c r="F1707" s="1">
        <v>1</v>
      </c>
      <c r="G1707" s="1">
        <v>437.52</v>
      </c>
      <c r="H1707" s="1" t="s">
        <v>351</v>
      </c>
    </row>
    <row r="1708" spans="1:8" x14ac:dyDescent="0.35">
      <c r="A1708" s="2">
        <v>45542.495833333334</v>
      </c>
      <c r="B1708" s="3">
        <v>6.4409722222222229E-2</v>
      </c>
      <c r="C1708" s="1" t="s">
        <v>14</v>
      </c>
      <c r="D1708" s="1" t="s">
        <v>20</v>
      </c>
      <c r="E1708" s="1">
        <v>255.35</v>
      </c>
      <c r="F1708" s="1">
        <v>4</v>
      </c>
      <c r="G1708" s="1">
        <v>1021.4</v>
      </c>
      <c r="H1708" s="1" t="s">
        <v>55</v>
      </c>
    </row>
    <row r="1709" spans="1:8" x14ac:dyDescent="0.35">
      <c r="A1709" s="2">
        <v>44984.616666666669</v>
      </c>
      <c r="B1709" s="3">
        <v>0.8621875</v>
      </c>
      <c r="C1709" s="1" t="s">
        <v>14</v>
      </c>
      <c r="D1709" s="1" t="s">
        <v>9</v>
      </c>
      <c r="E1709" s="1">
        <v>34.96</v>
      </c>
      <c r="F1709" s="1">
        <v>2</v>
      </c>
      <c r="G1709" s="1">
        <v>69.92</v>
      </c>
      <c r="H1709" s="1" t="s">
        <v>193</v>
      </c>
    </row>
    <row r="1710" spans="1:8" x14ac:dyDescent="0.35">
      <c r="A1710" s="2">
        <v>45117.011805555558</v>
      </c>
      <c r="B1710" s="3">
        <v>0.78756944444444443</v>
      </c>
      <c r="C1710" s="1" t="s">
        <v>11</v>
      </c>
      <c r="D1710" s="1" t="s">
        <v>20</v>
      </c>
      <c r="E1710" s="1">
        <v>136.13999999999999</v>
      </c>
      <c r="F1710" s="1">
        <v>2</v>
      </c>
      <c r="G1710" s="1">
        <v>272.27999999999997</v>
      </c>
      <c r="H1710" s="1" t="s">
        <v>280</v>
      </c>
    </row>
    <row r="1711" spans="1:8" x14ac:dyDescent="0.35">
      <c r="A1711" s="2">
        <v>45171.240277777775</v>
      </c>
      <c r="B1711" s="3">
        <v>0.21342592592592591</v>
      </c>
      <c r="C1711" s="1" t="s">
        <v>11</v>
      </c>
      <c r="D1711" s="1" t="s">
        <v>20</v>
      </c>
      <c r="E1711" s="1">
        <v>474.34</v>
      </c>
      <c r="F1711" s="1">
        <v>3</v>
      </c>
      <c r="G1711" s="1">
        <v>1423.02</v>
      </c>
      <c r="H1711" s="1" t="s">
        <v>86</v>
      </c>
    </row>
    <row r="1712" spans="1:8" x14ac:dyDescent="0.35">
      <c r="A1712" s="2">
        <v>45381.556944444441</v>
      </c>
      <c r="B1712" s="3">
        <v>0.39218749999999997</v>
      </c>
      <c r="C1712" s="1" t="s">
        <v>8</v>
      </c>
      <c r="D1712" s="1" t="s">
        <v>16</v>
      </c>
      <c r="E1712" s="1">
        <v>443.73</v>
      </c>
      <c r="F1712" s="1">
        <v>1</v>
      </c>
      <c r="G1712" s="1">
        <v>443.73</v>
      </c>
      <c r="H1712" s="1" t="s">
        <v>398</v>
      </c>
    </row>
    <row r="1713" spans="1:8" x14ac:dyDescent="0.35">
      <c r="A1713" s="2">
        <v>45641.692361111112</v>
      </c>
      <c r="B1713" s="3">
        <v>0.54504629629629631</v>
      </c>
      <c r="C1713" s="1" t="s">
        <v>11</v>
      </c>
      <c r="D1713" s="1" t="s">
        <v>27</v>
      </c>
      <c r="E1713" s="1">
        <v>40.43</v>
      </c>
      <c r="F1713" s="1">
        <v>3</v>
      </c>
      <c r="G1713" s="1">
        <v>121.29</v>
      </c>
      <c r="H1713" s="1" t="s">
        <v>322</v>
      </c>
    </row>
    <row r="1714" spans="1:8" x14ac:dyDescent="0.35">
      <c r="A1714" s="2">
        <v>45434.222916666666</v>
      </c>
      <c r="B1714" s="3">
        <v>0.78237268518518521</v>
      </c>
      <c r="C1714" s="1" t="s">
        <v>14</v>
      </c>
      <c r="D1714" s="1" t="s">
        <v>27</v>
      </c>
      <c r="E1714" s="1">
        <v>362.43</v>
      </c>
      <c r="F1714" s="1">
        <v>1</v>
      </c>
      <c r="G1714" s="1">
        <v>362.43</v>
      </c>
      <c r="H1714" s="1" t="s">
        <v>256</v>
      </c>
    </row>
    <row r="1715" spans="1:8" x14ac:dyDescent="0.35">
      <c r="A1715" s="2">
        <v>45156.324305555558</v>
      </c>
      <c r="B1715" s="3">
        <v>0.17094907407407409</v>
      </c>
      <c r="C1715" s="1" t="s">
        <v>11</v>
      </c>
      <c r="D1715" s="1" t="s">
        <v>16</v>
      </c>
      <c r="E1715" s="1">
        <v>33.51</v>
      </c>
      <c r="F1715" s="1">
        <v>2</v>
      </c>
      <c r="G1715" s="1">
        <v>67.02</v>
      </c>
      <c r="H1715" s="1" t="s">
        <v>34</v>
      </c>
    </row>
    <row r="1716" spans="1:8" x14ac:dyDescent="0.35">
      <c r="A1716" s="2">
        <v>45221.171527777777</v>
      </c>
      <c r="B1716" s="3">
        <v>0.68690972222222213</v>
      </c>
      <c r="C1716" s="1" t="s">
        <v>14</v>
      </c>
      <c r="D1716" s="1" t="s">
        <v>27</v>
      </c>
      <c r="E1716" s="1">
        <v>337.21</v>
      </c>
      <c r="F1716" s="1">
        <v>3</v>
      </c>
      <c r="G1716" s="1">
        <v>1011.63</v>
      </c>
      <c r="H1716" s="1" t="s">
        <v>386</v>
      </c>
    </row>
    <row r="1717" spans="1:8" x14ac:dyDescent="0.35">
      <c r="A1717" s="2">
        <v>45350.515277777777</v>
      </c>
      <c r="B1717" s="3">
        <v>0.90998842592592588</v>
      </c>
      <c r="C1717" s="1" t="s">
        <v>11</v>
      </c>
      <c r="D1717" s="1" t="s">
        <v>9</v>
      </c>
      <c r="E1717" s="1">
        <v>298.8</v>
      </c>
      <c r="F1717" s="1">
        <v>4</v>
      </c>
      <c r="G1717" s="1">
        <v>1195.2</v>
      </c>
      <c r="H1717" s="1" t="s">
        <v>79</v>
      </c>
    </row>
    <row r="1718" spans="1:8" x14ac:dyDescent="0.35">
      <c r="A1718" s="2">
        <v>45439.078472222223</v>
      </c>
      <c r="B1718" s="3">
        <v>0.88055555555555554</v>
      </c>
      <c r="C1718" s="1" t="s">
        <v>14</v>
      </c>
      <c r="D1718" s="1" t="s">
        <v>12</v>
      </c>
      <c r="E1718" s="1">
        <v>103.26</v>
      </c>
      <c r="F1718" s="1">
        <v>4</v>
      </c>
      <c r="G1718" s="1">
        <v>413.04</v>
      </c>
      <c r="H1718" s="1" t="s">
        <v>36</v>
      </c>
    </row>
    <row r="1719" spans="1:8" x14ac:dyDescent="0.35">
      <c r="A1719" s="2">
        <v>45610.092361111114</v>
      </c>
      <c r="B1719" s="3">
        <v>0.71643518518518512</v>
      </c>
      <c r="C1719" s="1" t="s">
        <v>11</v>
      </c>
      <c r="D1719" s="1" t="s">
        <v>12</v>
      </c>
      <c r="E1719" s="1">
        <v>377.97</v>
      </c>
      <c r="F1719" s="1">
        <v>2</v>
      </c>
      <c r="G1719" s="1">
        <v>755.94</v>
      </c>
      <c r="H1719" s="1" t="s">
        <v>303</v>
      </c>
    </row>
    <row r="1720" spans="1:8" x14ac:dyDescent="0.35">
      <c r="A1720" s="2">
        <v>45408.304861111108</v>
      </c>
      <c r="B1720" s="3">
        <v>0.46211805555555557</v>
      </c>
      <c r="C1720" s="1" t="s">
        <v>11</v>
      </c>
      <c r="D1720" s="1" t="s">
        <v>20</v>
      </c>
      <c r="E1720" s="1">
        <v>368.33</v>
      </c>
      <c r="F1720" s="1">
        <v>2</v>
      </c>
      <c r="G1720" s="1">
        <v>736.66</v>
      </c>
      <c r="H1720" s="1" t="s">
        <v>183</v>
      </c>
    </row>
    <row r="1721" spans="1:8" x14ac:dyDescent="0.35">
      <c r="A1721" s="2">
        <v>45333.76458333333</v>
      </c>
      <c r="B1721" s="3">
        <v>0.16697916666666668</v>
      </c>
      <c r="C1721" s="1" t="s">
        <v>14</v>
      </c>
      <c r="D1721" s="1" t="s">
        <v>9</v>
      </c>
      <c r="E1721" s="1">
        <v>14.89</v>
      </c>
      <c r="F1721" s="1">
        <v>5</v>
      </c>
      <c r="G1721" s="1">
        <v>74.45</v>
      </c>
      <c r="H1721" s="1" t="s">
        <v>81</v>
      </c>
    </row>
    <row r="1722" spans="1:8" x14ac:dyDescent="0.35">
      <c r="A1722" s="2">
        <v>45476.450694444444</v>
      </c>
      <c r="B1722" s="3">
        <v>0.65627314814814819</v>
      </c>
      <c r="C1722" s="1" t="s">
        <v>8</v>
      </c>
      <c r="D1722" s="1" t="s">
        <v>27</v>
      </c>
      <c r="E1722" s="1">
        <v>147.37</v>
      </c>
      <c r="F1722" s="1">
        <v>4</v>
      </c>
      <c r="G1722" s="1">
        <v>589.48</v>
      </c>
      <c r="H1722" s="1" t="s">
        <v>144</v>
      </c>
    </row>
    <row r="1723" spans="1:8" x14ac:dyDescent="0.35">
      <c r="A1723" s="2">
        <v>45333.65625</v>
      </c>
      <c r="B1723" s="3">
        <v>0.25505787037037037</v>
      </c>
      <c r="C1723" s="1" t="s">
        <v>11</v>
      </c>
      <c r="D1723" s="1" t="s">
        <v>12</v>
      </c>
      <c r="E1723" s="1">
        <v>380.98</v>
      </c>
      <c r="F1723" s="1">
        <v>5</v>
      </c>
      <c r="G1723" s="1">
        <v>1904.9</v>
      </c>
      <c r="H1723" s="1" t="s">
        <v>239</v>
      </c>
    </row>
    <row r="1724" spans="1:8" x14ac:dyDescent="0.35">
      <c r="A1724" s="2">
        <v>45190.613888888889</v>
      </c>
      <c r="B1724" s="3">
        <v>0.38964120370370375</v>
      </c>
      <c r="C1724" s="1" t="s">
        <v>11</v>
      </c>
      <c r="D1724" s="1" t="s">
        <v>12</v>
      </c>
      <c r="E1724" s="1">
        <v>451.39</v>
      </c>
      <c r="F1724" s="1">
        <v>3</v>
      </c>
      <c r="G1724" s="1">
        <v>1354.17</v>
      </c>
      <c r="H1724" s="1" t="s">
        <v>364</v>
      </c>
    </row>
    <row r="1725" spans="1:8" x14ac:dyDescent="0.35">
      <c r="A1725" s="2">
        <v>45202.056944444441</v>
      </c>
      <c r="B1725" s="3">
        <v>3.7951388888888889E-2</v>
      </c>
      <c r="C1725" s="1" t="s">
        <v>11</v>
      </c>
      <c r="D1725" s="1" t="s">
        <v>20</v>
      </c>
      <c r="E1725" s="1">
        <v>265.58</v>
      </c>
      <c r="F1725" s="1">
        <v>5</v>
      </c>
      <c r="G1725" s="1">
        <v>1327.9</v>
      </c>
      <c r="H1725" s="1" t="s">
        <v>208</v>
      </c>
    </row>
    <row r="1726" spans="1:8" x14ac:dyDescent="0.35">
      <c r="A1726" s="2">
        <v>45647.927777777775</v>
      </c>
      <c r="B1726" s="3">
        <v>0.27579861111111109</v>
      </c>
      <c r="C1726" s="1" t="s">
        <v>14</v>
      </c>
      <c r="D1726" s="1" t="s">
        <v>12</v>
      </c>
      <c r="E1726" s="1">
        <v>310.87</v>
      </c>
      <c r="F1726" s="1">
        <v>2</v>
      </c>
      <c r="G1726" s="1">
        <v>621.74</v>
      </c>
      <c r="H1726" s="1" t="s">
        <v>288</v>
      </c>
    </row>
    <row r="1727" spans="1:8" x14ac:dyDescent="0.35">
      <c r="A1727" s="2">
        <v>45284.063888888886</v>
      </c>
      <c r="B1727" s="3">
        <v>0.81187500000000001</v>
      </c>
      <c r="C1727" s="1" t="s">
        <v>11</v>
      </c>
      <c r="D1727" s="1" t="s">
        <v>27</v>
      </c>
      <c r="E1727" s="1">
        <v>210.82</v>
      </c>
      <c r="F1727" s="1">
        <v>1</v>
      </c>
      <c r="G1727" s="1">
        <v>210.82</v>
      </c>
      <c r="H1727" s="1" t="s">
        <v>371</v>
      </c>
    </row>
    <row r="1728" spans="1:8" x14ac:dyDescent="0.35">
      <c r="A1728" s="2">
        <v>45419.872916666667</v>
      </c>
      <c r="B1728" s="3">
        <v>0.65120370370370373</v>
      </c>
      <c r="C1728" s="1" t="s">
        <v>8</v>
      </c>
      <c r="D1728" s="1" t="s">
        <v>16</v>
      </c>
      <c r="E1728" s="1">
        <v>345.56</v>
      </c>
      <c r="F1728" s="1">
        <v>4</v>
      </c>
      <c r="G1728" s="1">
        <v>1382.24</v>
      </c>
      <c r="H1728" s="1" t="s">
        <v>62</v>
      </c>
    </row>
    <row r="1729" spans="1:8" x14ac:dyDescent="0.35">
      <c r="A1729" s="2">
        <v>45466.682638888888</v>
      </c>
      <c r="B1729" s="3">
        <v>0.28278935185185183</v>
      </c>
      <c r="C1729" s="1" t="s">
        <v>11</v>
      </c>
      <c r="D1729" s="1" t="s">
        <v>16</v>
      </c>
      <c r="E1729" s="1">
        <v>147.09</v>
      </c>
      <c r="F1729" s="1">
        <v>1</v>
      </c>
      <c r="G1729" s="1">
        <v>147.09</v>
      </c>
      <c r="H1729" s="1" t="s">
        <v>400</v>
      </c>
    </row>
    <row r="1730" spans="1:8" x14ac:dyDescent="0.35">
      <c r="A1730" s="2">
        <v>45195.536805555559</v>
      </c>
      <c r="B1730" s="3">
        <v>0.97368055555555555</v>
      </c>
      <c r="C1730" s="1" t="s">
        <v>8</v>
      </c>
      <c r="D1730" s="1" t="s">
        <v>12</v>
      </c>
      <c r="E1730" s="1">
        <v>123.36</v>
      </c>
      <c r="F1730" s="1">
        <v>4</v>
      </c>
      <c r="G1730" s="1">
        <v>493.44</v>
      </c>
      <c r="H1730" s="1" t="s">
        <v>52</v>
      </c>
    </row>
    <row r="1731" spans="1:8" x14ac:dyDescent="0.35">
      <c r="A1731" s="2">
        <v>45464.37222222222</v>
      </c>
      <c r="B1731" s="3">
        <v>0.31048611111111113</v>
      </c>
      <c r="C1731" s="1" t="s">
        <v>8</v>
      </c>
      <c r="D1731" s="1" t="s">
        <v>9</v>
      </c>
      <c r="E1731" s="1">
        <v>185.31</v>
      </c>
      <c r="F1731" s="1">
        <v>3</v>
      </c>
      <c r="G1731" s="1">
        <v>555.92999999999995</v>
      </c>
      <c r="H1731" s="1" t="s">
        <v>284</v>
      </c>
    </row>
    <row r="1732" spans="1:8" x14ac:dyDescent="0.35">
      <c r="A1732" s="2">
        <v>45363.957638888889</v>
      </c>
      <c r="B1732" s="3">
        <v>0.74697916666666664</v>
      </c>
      <c r="C1732" s="1" t="s">
        <v>8</v>
      </c>
      <c r="D1732" s="1" t="s">
        <v>27</v>
      </c>
      <c r="E1732" s="1">
        <v>394.86</v>
      </c>
      <c r="F1732" s="1">
        <v>4</v>
      </c>
      <c r="G1732" s="1">
        <v>1579.44</v>
      </c>
      <c r="H1732" s="1" t="s">
        <v>165</v>
      </c>
    </row>
    <row r="1733" spans="1:8" x14ac:dyDescent="0.35">
      <c r="A1733" s="2">
        <v>44941.977777777778</v>
      </c>
      <c r="B1733" s="3">
        <v>0.37194444444444441</v>
      </c>
      <c r="C1733" s="1" t="s">
        <v>11</v>
      </c>
      <c r="D1733" s="1" t="s">
        <v>20</v>
      </c>
      <c r="E1733" s="1">
        <v>267.75</v>
      </c>
      <c r="F1733" s="1">
        <v>5</v>
      </c>
      <c r="G1733" s="1">
        <v>1338.75</v>
      </c>
      <c r="H1733" s="1" t="s">
        <v>408</v>
      </c>
    </row>
    <row r="1734" spans="1:8" x14ac:dyDescent="0.35">
      <c r="A1734" s="2">
        <v>44969.50277777778</v>
      </c>
      <c r="B1734" s="3">
        <v>5.1261574074074077E-2</v>
      </c>
      <c r="C1734" s="1" t="s">
        <v>8</v>
      </c>
      <c r="D1734" s="1" t="s">
        <v>9</v>
      </c>
      <c r="E1734" s="1">
        <v>91.82</v>
      </c>
      <c r="F1734" s="1">
        <v>2</v>
      </c>
      <c r="G1734" s="1">
        <v>183.64</v>
      </c>
      <c r="H1734" s="1" t="s">
        <v>134</v>
      </c>
    </row>
    <row r="1735" spans="1:8" x14ac:dyDescent="0.35">
      <c r="A1735" s="2">
        <v>45362.644444444442</v>
      </c>
      <c r="B1735" s="3">
        <v>0.79207175925925932</v>
      </c>
      <c r="C1735" s="1" t="s">
        <v>8</v>
      </c>
      <c r="D1735" s="1" t="s">
        <v>12</v>
      </c>
      <c r="E1735" s="1">
        <v>331.13</v>
      </c>
      <c r="F1735" s="1">
        <v>3</v>
      </c>
      <c r="G1735" s="1">
        <v>993.39</v>
      </c>
      <c r="H1735" s="1" t="s">
        <v>321</v>
      </c>
    </row>
    <row r="1736" spans="1:8" x14ac:dyDescent="0.35">
      <c r="A1736" s="2">
        <v>45361.144444444442</v>
      </c>
      <c r="B1736" s="3">
        <v>0.59349537037037037</v>
      </c>
      <c r="C1736" s="1" t="s">
        <v>8</v>
      </c>
      <c r="D1736" s="1" t="s">
        <v>27</v>
      </c>
      <c r="E1736" s="1">
        <v>240.85</v>
      </c>
      <c r="F1736" s="1">
        <v>3</v>
      </c>
      <c r="G1736" s="1">
        <v>722.55</v>
      </c>
      <c r="H1736" s="1" t="s">
        <v>98</v>
      </c>
    </row>
    <row r="1737" spans="1:8" x14ac:dyDescent="0.35">
      <c r="A1737" s="2">
        <v>44948.265972222223</v>
      </c>
      <c r="B1737" s="3">
        <v>0.30789351851851848</v>
      </c>
      <c r="C1737" s="1" t="s">
        <v>14</v>
      </c>
      <c r="D1737" s="1" t="s">
        <v>16</v>
      </c>
      <c r="E1737" s="1">
        <v>452.09</v>
      </c>
      <c r="F1737" s="1">
        <v>3</v>
      </c>
      <c r="G1737" s="1">
        <v>1356.27</v>
      </c>
      <c r="H1737" s="1" t="s">
        <v>147</v>
      </c>
    </row>
    <row r="1738" spans="1:8" x14ac:dyDescent="0.35">
      <c r="A1738" s="2">
        <v>45566.640277777777</v>
      </c>
      <c r="B1738" s="3">
        <v>0.63072916666666667</v>
      </c>
      <c r="C1738" s="1" t="s">
        <v>8</v>
      </c>
      <c r="D1738" s="1" t="s">
        <v>20</v>
      </c>
      <c r="E1738" s="1">
        <v>288.42</v>
      </c>
      <c r="F1738" s="1">
        <v>3</v>
      </c>
      <c r="G1738" s="1">
        <v>865.26</v>
      </c>
      <c r="H1738" s="1" t="s">
        <v>116</v>
      </c>
    </row>
    <row r="1739" spans="1:8" x14ac:dyDescent="0.35">
      <c r="A1739" s="2">
        <v>45246.681250000001</v>
      </c>
      <c r="B1739" s="3">
        <v>0.26143518518518521</v>
      </c>
      <c r="C1739" s="1" t="s">
        <v>14</v>
      </c>
      <c r="D1739" s="1" t="s">
        <v>9</v>
      </c>
      <c r="E1739" s="1">
        <v>307.35000000000002</v>
      </c>
      <c r="F1739" s="1">
        <v>4</v>
      </c>
      <c r="G1739" s="1">
        <v>1229.4000000000001</v>
      </c>
      <c r="H1739" s="1" t="s">
        <v>269</v>
      </c>
    </row>
    <row r="1740" spans="1:8" x14ac:dyDescent="0.35">
      <c r="A1740" s="2">
        <v>44978.912499999999</v>
      </c>
      <c r="B1740" s="3">
        <v>0.83938657407407413</v>
      </c>
      <c r="C1740" s="1" t="s">
        <v>14</v>
      </c>
      <c r="D1740" s="1" t="s">
        <v>16</v>
      </c>
      <c r="E1740" s="1">
        <v>361.03</v>
      </c>
      <c r="F1740" s="1">
        <v>1</v>
      </c>
      <c r="G1740" s="1">
        <v>361.03</v>
      </c>
      <c r="H1740" s="1" t="s">
        <v>22</v>
      </c>
    </row>
    <row r="1741" spans="1:8" x14ac:dyDescent="0.35">
      <c r="A1741" s="2">
        <v>45451.955555555556</v>
      </c>
      <c r="B1741" s="3">
        <v>0.49350694444444443</v>
      </c>
      <c r="C1741" s="1" t="s">
        <v>11</v>
      </c>
      <c r="D1741" s="1" t="s">
        <v>20</v>
      </c>
      <c r="E1741" s="1">
        <v>90.51</v>
      </c>
      <c r="F1741" s="1">
        <v>4</v>
      </c>
      <c r="G1741" s="1">
        <v>362.04</v>
      </c>
      <c r="H1741" s="1" t="s">
        <v>148</v>
      </c>
    </row>
    <row r="1742" spans="1:8" x14ac:dyDescent="0.35">
      <c r="A1742" s="2">
        <v>44935.662499999999</v>
      </c>
      <c r="B1742" s="3">
        <v>0.22271990740740741</v>
      </c>
      <c r="C1742" s="1" t="s">
        <v>11</v>
      </c>
      <c r="D1742" s="1" t="s">
        <v>20</v>
      </c>
      <c r="E1742" s="1">
        <v>242.32</v>
      </c>
      <c r="F1742" s="1">
        <v>4</v>
      </c>
      <c r="G1742" s="1">
        <v>969.28</v>
      </c>
      <c r="H1742" s="1" t="s">
        <v>205</v>
      </c>
    </row>
    <row r="1743" spans="1:8" x14ac:dyDescent="0.35">
      <c r="A1743" s="2">
        <v>45135.904861111114</v>
      </c>
      <c r="B1743" s="3">
        <v>0.93314814814814817</v>
      </c>
      <c r="C1743" s="1" t="s">
        <v>14</v>
      </c>
      <c r="D1743" s="1" t="s">
        <v>16</v>
      </c>
      <c r="E1743" s="1">
        <v>412.06</v>
      </c>
      <c r="F1743" s="1">
        <v>3</v>
      </c>
      <c r="G1743" s="1">
        <v>1236.18</v>
      </c>
      <c r="H1743" s="1" t="s">
        <v>361</v>
      </c>
    </row>
    <row r="1744" spans="1:8" x14ac:dyDescent="0.35">
      <c r="A1744" s="2">
        <v>45390.100694444445</v>
      </c>
      <c r="B1744" s="3">
        <v>0.90260416666666676</v>
      </c>
      <c r="C1744" s="1" t="s">
        <v>14</v>
      </c>
      <c r="D1744" s="1" t="s">
        <v>9</v>
      </c>
      <c r="E1744" s="1">
        <v>48.99</v>
      </c>
      <c r="F1744" s="1">
        <v>5</v>
      </c>
      <c r="G1744" s="1">
        <v>244.95</v>
      </c>
      <c r="H1744" s="1" t="s">
        <v>411</v>
      </c>
    </row>
    <row r="1745" spans="1:8" x14ac:dyDescent="0.35">
      <c r="A1745" s="2">
        <v>45341.133333333331</v>
      </c>
      <c r="B1745" s="3">
        <v>0.94521990740740736</v>
      </c>
      <c r="C1745" s="1" t="s">
        <v>11</v>
      </c>
      <c r="D1745" s="1" t="s">
        <v>9</v>
      </c>
      <c r="E1745" s="1">
        <v>259.58999999999997</v>
      </c>
      <c r="F1745" s="1">
        <v>2</v>
      </c>
      <c r="G1745" s="1">
        <v>519.17999999999995</v>
      </c>
      <c r="H1745" s="1" t="s">
        <v>225</v>
      </c>
    </row>
    <row r="1746" spans="1:8" x14ac:dyDescent="0.35">
      <c r="A1746" s="2">
        <v>45271.775000000001</v>
      </c>
      <c r="B1746" s="3">
        <v>0.47002314814814811</v>
      </c>
      <c r="C1746" s="1" t="s">
        <v>11</v>
      </c>
      <c r="D1746" s="1" t="s">
        <v>20</v>
      </c>
      <c r="E1746" s="1">
        <v>423.06</v>
      </c>
      <c r="F1746" s="1">
        <v>5</v>
      </c>
      <c r="G1746" s="1">
        <v>2115.3000000000002</v>
      </c>
      <c r="H1746" s="1" t="s">
        <v>385</v>
      </c>
    </row>
    <row r="1747" spans="1:8" x14ac:dyDescent="0.35">
      <c r="A1747" s="2">
        <v>45602.652083333334</v>
      </c>
      <c r="B1747" s="3">
        <v>0.48686342592592591</v>
      </c>
      <c r="C1747" s="1" t="s">
        <v>14</v>
      </c>
      <c r="D1747" s="1" t="s">
        <v>27</v>
      </c>
      <c r="E1747" s="1">
        <v>159.37</v>
      </c>
      <c r="F1747" s="1">
        <v>2</v>
      </c>
      <c r="G1747" s="1">
        <v>318.74</v>
      </c>
      <c r="H1747" s="1" t="s">
        <v>117</v>
      </c>
    </row>
    <row r="1748" spans="1:8" x14ac:dyDescent="0.35">
      <c r="A1748" s="2">
        <v>45431.87222222222</v>
      </c>
      <c r="B1748" s="3">
        <v>0.94376157407407402</v>
      </c>
      <c r="C1748" s="1" t="s">
        <v>8</v>
      </c>
      <c r="D1748" s="1" t="s">
        <v>20</v>
      </c>
      <c r="E1748" s="1">
        <v>375.16</v>
      </c>
      <c r="F1748" s="1">
        <v>4</v>
      </c>
      <c r="G1748" s="1">
        <v>1500.64</v>
      </c>
      <c r="H1748" s="1" t="s">
        <v>216</v>
      </c>
    </row>
    <row r="1749" spans="1:8" x14ac:dyDescent="0.35">
      <c r="A1749" s="2">
        <v>44970.006249999999</v>
      </c>
      <c r="B1749" s="3">
        <v>0.87163194444444436</v>
      </c>
      <c r="C1749" s="1" t="s">
        <v>11</v>
      </c>
      <c r="D1749" s="1" t="s">
        <v>9</v>
      </c>
      <c r="E1749" s="1">
        <v>112.72</v>
      </c>
      <c r="F1749" s="1">
        <v>2</v>
      </c>
      <c r="G1749" s="1">
        <v>225.44</v>
      </c>
      <c r="H1749" s="1" t="s">
        <v>316</v>
      </c>
    </row>
    <row r="1750" spans="1:8" x14ac:dyDescent="0.35">
      <c r="A1750" s="2">
        <v>45562.447916666664</v>
      </c>
      <c r="B1750" s="3">
        <v>0.49346064814814811</v>
      </c>
      <c r="C1750" s="1" t="s">
        <v>11</v>
      </c>
      <c r="D1750" s="1" t="s">
        <v>27</v>
      </c>
      <c r="E1750" s="1">
        <v>61.32</v>
      </c>
      <c r="F1750" s="1">
        <v>2</v>
      </c>
      <c r="G1750" s="1">
        <v>122.64</v>
      </c>
      <c r="H1750" s="1" t="s">
        <v>401</v>
      </c>
    </row>
    <row r="1751" spans="1:8" x14ac:dyDescent="0.35">
      <c r="A1751" s="2">
        <v>45440.790972222225</v>
      </c>
      <c r="B1751" s="3">
        <v>0.71635416666666663</v>
      </c>
      <c r="C1751" s="1" t="s">
        <v>14</v>
      </c>
      <c r="D1751" s="1" t="s">
        <v>12</v>
      </c>
      <c r="E1751" s="1">
        <v>407.16</v>
      </c>
      <c r="F1751" s="1">
        <v>4</v>
      </c>
      <c r="G1751" s="1">
        <v>1628.64</v>
      </c>
      <c r="H1751" s="1" t="s">
        <v>309</v>
      </c>
    </row>
    <row r="1752" spans="1:8" x14ac:dyDescent="0.35">
      <c r="A1752" s="2">
        <v>45643.60833333333</v>
      </c>
      <c r="B1752" s="3">
        <v>0.94410879629629629</v>
      </c>
      <c r="C1752" s="1" t="s">
        <v>8</v>
      </c>
      <c r="D1752" s="1" t="s">
        <v>20</v>
      </c>
      <c r="E1752" s="1">
        <v>24.54</v>
      </c>
      <c r="F1752" s="1">
        <v>4</v>
      </c>
      <c r="G1752" s="1">
        <v>98.16</v>
      </c>
      <c r="H1752" s="1" t="s">
        <v>63</v>
      </c>
    </row>
    <row r="1753" spans="1:8" x14ac:dyDescent="0.35">
      <c r="A1753" s="2">
        <v>45566.840277777781</v>
      </c>
      <c r="B1753" s="3">
        <v>0.35577546296296297</v>
      </c>
      <c r="C1753" s="1" t="s">
        <v>14</v>
      </c>
      <c r="D1753" s="1" t="s">
        <v>9</v>
      </c>
      <c r="E1753" s="1">
        <v>184.04</v>
      </c>
      <c r="F1753" s="1">
        <v>4</v>
      </c>
      <c r="G1753" s="1">
        <v>736.16</v>
      </c>
      <c r="H1753" s="1" t="s">
        <v>305</v>
      </c>
    </row>
    <row r="1754" spans="1:8" x14ac:dyDescent="0.35">
      <c r="A1754" s="2">
        <v>45528.252083333333</v>
      </c>
      <c r="B1754" s="3">
        <v>0.74189814814814825</v>
      </c>
      <c r="C1754" s="1" t="s">
        <v>14</v>
      </c>
      <c r="D1754" s="1" t="s">
        <v>12</v>
      </c>
      <c r="E1754" s="1">
        <v>391.83</v>
      </c>
      <c r="F1754" s="1">
        <v>2</v>
      </c>
      <c r="G1754" s="1">
        <v>783.66</v>
      </c>
      <c r="H1754" s="1" t="s">
        <v>67</v>
      </c>
    </row>
    <row r="1755" spans="1:8" x14ac:dyDescent="0.35">
      <c r="A1755" s="2">
        <v>44957.65902777778</v>
      </c>
      <c r="B1755" s="3">
        <v>0.51565972222222223</v>
      </c>
      <c r="C1755" s="1" t="s">
        <v>11</v>
      </c>
      <c r="D1755" s="1" t="s">
        <v>9</v>
      </c>
      <c r="E1755" s="1">
        <v>342.54</v>
      </c>
      <c r="F1755" s="1">
        <v>4</v>
      </c>
      <c r="G1755" s="1">
        <v>1370.16</v>
      </c>
      <c r="H1755" s="1" t="s">
        <v>325</v>
      </c>
    </row>
    <row r="1756" spans="1:8" x14ac:dyDescent="0.35">
      <c r="A1756" s="2">
        <v>45653.20416666667</v>
      </c>
      <c r="B1756" s="3">
        <v>0.23601851851851852</v>
      </c>
      <c r="C1756" s="1" t="s">
        <v>11</v>
      </c>
      <c r="D1756" s="1" t="s">
        <v>16</v>
      </c>
      <c r="E1756" s="1">
        <v>421.41</v>
      </c>
      <c r="F1756" s="1">
        <v>2</v>
      </c>
      <c r="G1756" s="1">
        <v>842.82</v>
      </c>
      <c r="H1756" s="1" t="s">
        <v>115</v>
      </c>
    </row>
    <row r="1757" spans="1:8" x14ac:dyDescent="0.35">
      <c r="A1757" s="2">
        <v>45624.910416666666</v>
      </c>
      <c r="B1757" s="3">
        <v>0.23475694444444442</v>
      </c>
      <c r="C1757" s="1" t="s">
        <v>14</v>
      </c>
      <c r="D1757" s="1" t="s">
        <v>27</v>
      </c>
      <c r="E1757" s="1">
        <v>458.64</v>
      </c>
      <c r="F1757" s="1">
        <v>5</v>
      </c>
      <c r="G1757" s="1">
        <v>2293.1999999999998</v>
      </c>
      <c r="H1757" s="1" t="s">
        <v>289</v>
      </c>
    </row>
    <row r="1758" spans="1:8" x14ac:dyDescent="0.35">
      <c r="A1758" s="2">
        <v>45614.206250000003</v>
      </c>
      <c r="B1758" s="3">
        <v>0.25789351851851855</v>
      </c>
      <c r="C1758" s="1" t="s">
        <v>8</v>
      </c>
      <c r="D1758" s="1" t="s">
        <v>9</v>
      </c>
      <c r="E1758" s="1">
        <v>396.53</v>
      </c>
      <c r="F1758" s="1">
        <v>3</v>
      </c>
      <c r="G1758" s="1">
        <v>1189.5899999999999</v>
      </c>
      <c r="H1758" s="1" t="s">
        <v>391</v>
      </c>
    </row>
    <row r="1759" spans="1:8" x14ac:dyDescent="0.35">
      <c r="A1759" s="2">
        <v>45596.415972222225</v>
      </c>
      <c r="B1759" s="3">
        <v>0.76658564814814811</v>
      </c>
      <c r="C1759" s="1" t="s">
        <v>8</v>
      </c>
      <c r="D1759" s="1" t="s">
        <v>16</v>
      </c>
      <c r="E1759" s="1">
        <v>289.77</v>
      </c>
      <c r="F1759" s="1">
        <v>3</v>
      </c>
      <c r="G1759" s="1">
        <v>869.31</v>
      </c>
      <c r="H1759" s="1" t="s">
        <v>400</v>
      </c>
    </row>
    <row r="1760" spans="1:8" x14ac:dyDescent="0.35">
      <c r="A1760" s="2">
        <v>45363.711111111108</v>
      </c>
      <c r="B1760" s="3">
        <v>0.24144675925925926</v>
      </c>
      <c r="C1760" s="1" t="s">
        <v>14</v>
      </c>
      <c r="D1760" s="1" t="s">
        <v>27</v>
      </c>
      <c r="E1760" s="1">
        <v>467.81</v>
      </c>
      <c r="F1760" s="1">
        <v>4</v>
      </c>
      <c r="G1760" s="1">
        <v>1871.24</v>
      </c>
      <c r="H1760" s="1" t="s">
        <v>361</v>
      </c>
    </row>
    <row r="1761" spans="1:8" x14ac:dyDescent="0.35">
      <c r="A1761" s="2">
        <v>45233.15902777778</v>
      </c>
      <c r="B1761" s="3">
        <v>0.77312499999999995</v>
      </c>
      <c r="C1761" s="1" t="s">
        <v>14</v>
      </c>
      <c r="D1761" s="1" t="s">
        <v>20</v>
      </c>
      <c r="E1761" s="1">
        <v>33.58</v>
      </c>
      <c r="F1761" s="1">
        <v>4</v>
      </c>
      <c r="G1761" s="1">
        <v>134.32</v>
      </c>
      <c r="H1761" s="1" t="s">
        <v>288</v>
      </c>
    </row>
    <row r="1762" spans="1:8" x14ac:dyDescent="0.35">
      <c r="A1762" s="2">
        <v>45190.46875</v>
      </c>
      <c r="B1762" s="3">
        <v>0.85579861111111111</v>
      </c>
      <c r="C1762" s="1" t="s">
        <v>14</v>
      </c>
      <c r="D1762" s="1" t="s">
        <v>16</v>
      </c>
      <c r="E1762" s="1">
        <v>48.99</v>
      </c>
      <c r="F1762" s="1">
        <v>3</v>
      </c>
      <c r="G1762" s="1">
        <v>146.97</v>
      </c>
      <c r="H1762" s="1" t="s">
        <v>225</v>
      </c>
    </row>
    <row r="1763" spans="1:8" x14ac:dyDescent="0.35">
      <c r="A1763" s="2">
        <v>45427.265277777777</v>
      </c>
      <c r="B1763" s="3">
        <v>0.71452546296296304</v>
      </c>
      <c r="C1763" s="1" t="s">
        <v>11</v>
      </c>
      <c r="D1763" s="1" t="s">
        <v>27</v>
      </c>
      <c r="E1763" s="1">
        <v>323.10000000000002</v>
      </c>
      <c r="F1763" s="1">
        <v>1</v>
      </c>
      <c r="G1763" s="1">
        <v>323.10000000000002</v>
      </c>
      <c r="H1763" s="1" t="s">
        <v>34</v>
      </c>
    </row>
    <row r="1764" spans="1:8" x14ac:dyDescent="0.35">
      <c r="A1764" s="2">
        <v>45299.64166666667</v>
      </c>
      <c r="B1764" s="3">
        <v>0.36604166666666665</v>
      </c>
      <c r="C1764" s="1" t="s">
        <v>8</v>
      </c>
      <c r="D1764" s="1" t="s">
        <v>27</v>
      </c>
      <c r="E1764" s="1">
        <v>318.27999999999997</v>
      </c>
      <c r="F1764" s="1">
        <v>2</v>
      </c>
      <c r="G1764" s="1">
        <v>636.55999999999995</v>
      </c>
      <c r="H1764" s="1" t="s">
        <v>33</v>
      </c>
    </row>
    <row r="1765" spans="1:8" x14ac:dyDescent="0.35">
      <c r="A1765" s="2">
        <v>45602.290277777778</v>
      </c>
      <c r="B1765" s="3">
        <v>0.54715277777777771</v>
      </c>
      <c r="C1765" s="1" t="s">
        <v>11</v>
      </c>
      <c r="D1765" s="1" t="s">
        <v>27</v>
      </c>
      <c r="E1765" s="1">
        <v>94.78</v>
      </c>
      <c r="F1765" s="1">
        <v>4</v>
      </c>
      <c r="G1765" s="1">
        <v>379.12</v>
      </c>
      <c r="H1765" s="1" t="s">
        <v>56</v>
      </c>
    </row>
    <row r="1766" spans="1:8" x14ac:dyDescent="0.35">
      <c r="A1766" s="2">
        <v>45493.375</v>
      </c>
      <c r="B1766" s="3">
        <v>0.16673611111111111</v>
      </c>
      <c r="C1766" s="1" t="s">
        <v>11</v>
      </c>
      <c r="D1766" s="1" t="s">
        <v>20</v>
      </c>
      <c r="E1766" s="1">
        <v>58.16</v>
      </c>
      <c r="F1766" s="1">
        <v>2</v>
      </c>
      <c r="G1766" s="1">
        <v>116.32</v>
      </c>
      <c r="H1766" s="1" t="s">
        <v>298</v>
      </c>
    </row>
    <row r="1767" spans="1:8" x14ac:dyDescent="0.35">
      <c r="A1767" s="2">
        <v>45084.769444444442</v>
      </c>
      <c r="B1767" s="3">
        <v>0.287025462962963</v>
      </c>
      <c r="C1767" s="1" t="s">
        <v>8</v>
      </c>
      <c r="D1767" s="1" t="s">
        <v>20</v>
      </c>
      <c r="E1767" s="1">
        <v>244.33</v>
      </c>
      <c r="F1767" s="1">
        <v>1</v>
      </c>
      <c r="G1767" s="1">
        <v>244.33</v>
      </c>
      <c r="H1767" s="1" t="s">
        <v>272</v>
      </c>
    </row>
    <row r="1768" spans="1:8" x14ac:dyDescent="0.35">
      <c r="A1768" s="2">
        <v>45463.873611111114</v>
      </c>
      <c r="B1768" s="3">
        <v>0.39125000000000004</v>
      </c>
      <c r="C1768" s="1" t="s">
        <v>8</v>
      </c>
      <c r="D1768" s="1" t="s">
        <v>27</v>
      </c>
      <c r="E1768" s="1">
        <v>331.67</v>
      </c>
      <c r="F1768" s="1">
        <v>4</v>
      </c>
      <c r="G1768" s="1">
        <v>1326.68</v>
      </c>
      <c r="H1768" s="1" t="s">
        <v>39</v>
      </c>
    </row>
    <row r="1769" spans="1:8" x14ac:dyDescent="0.35">
      <c r="A1769" s="2">
        <v>45200.577777777777</v>
      </c>
      <c r="B1769" s="3">
        <v>0.27313657407407405</v>
      </c>
      <c r="C1769" s="1" t="s">
        <v>8</v>
      </c>
      <c r="D1769" s="1" t="s">
        <v>27</v>
      </c>
      <c r="E1769" s="1">
        <v>201.57</v>
      </c>
      <c r="F1769" s="1">
        <v>4</v>
      </c>
      <c r="G1769" s="1">
        <v>806.28</v>
      </c>
      <c r="H1769" s="1" t="s">
        <v>100</v>
      </c>
    </row>
    <row r="1770" spans="1:8" x14ac:dyDescent="0.35">
      <c r="A1770" s="2">
        <v>45578.535416666666</v>
      </c>
      <c r="B1770" s="3">
        <v>0.10518518518518517</v>
      </c>
      <c r="C1770" s="1" t="s">
        <v>14</v>
      </c>
      <c r="D1770" s="1" t="s">
        <v>9</v>
      </c>
      <c r="E1770" s="1">
        <v>297.66000000000003</v>
      </c>
      <c r="F1770" s="1">
        <v>1</v>
      </c>
      <c r="G1770" s="1">
        <v>297.66000000000003</v>
      </c>
      <c r="H1770" s="1" t="s">
        <v>382</v>
      </c>
    </row>
    <row r="1771" spans="1:8" x14ac:dyDescent="0.35">
      <c r="A1771" s="2">
        <v>45521.099305555559</v>
      </c>
      <c r="B1771" s="3">
        <v>5.1192129629629629E-2</v>
      </c>
      <c r="C1771" s="1" t="s">
        <v>11</v>
      </c>
      <c r="D1771" s="1" t="s">
        <v>12</v>
      </c>
      <c r="E1771" s="1">
        <v>460.66</v>
      </c>
      <c r="F1771" s="1">
        <v>2</v>
      </c>
      <c r="G1771" s="1">
        <v>921.32</v>
      </c>
      <c r="H1771" s="1" t="s">
        <v>331</v>
      </c>
    </row>
    <row r="1772" spans="1:8" x14ac:dyDescent="0.35">
      <c r="A1772" s="2">
        <v>45093.216666666667</v>
      </c>
      <c r="B1772" s="3">
        <v>0.76042824074074078</v>
      </c>
      <c r="C1772" s="1" t="s">
        <v>8</v>
      </c>
      <c r="D1772" s="1" t="s">
        <v>12</v>
      </c>
      <c r="E1772" s="1">
        <v>477.19</v>
      </c>
      <c r="F1772" s="1">
        <v>1</v>
      </c>
      <c r="G1772" s="1">
        <v>477.19</v>
      </c>
      <c r="H1772" s="1" t="s">
        <v>42</v>
      </c>
    </row>
    <row r="1773" spans="1:8" x14ac:dyDescent="0.35">
      <c r="A1773" s="2">
        <v>45631.427777777775</v>
      </c>
      <c r="B1773" s="3">
        <v>0.69841435185185186</v>
      </c>
      <c r="C1773" s="1" t="s">
        <v>11</v>
      </c>
      <c r="D1773" s="1" t="s">
        <v>16</v>
      </c>
      <c r="E1773" s="1">
        <v>386.36</v>
      </c>
      <c r="F1773" s="1">
        <v>5</v>
      </c>
      <c r="G1773" s="1">
        <v>1931.8</v>
      </c>
      <c r="H1773" s="1" t="s">
        <v>92</v>
      </c>
    </row>
    <row r="1774" spans="1:8" x14ac:dyDescent="0.35">
      <c r="A1774" s="2">
        <v>45023.770138888889</v>
      </c>
      <c r="B1774" s="3">
        <v>0.66358796296296296</v>
      </c>
      <c r="C1774" s="1" t="s">
        <v>14</v>
      </c>
      <c r="D1774" s="1" t="s">
        <v>12</v>
      </c>
      <c r="E1774" s="1">
        <v>34.92</v>
      </c>
      <c r="F1774" s="1">
        <v>5</v>
      </c>
      <c r="G1774" s="1">
        <v>174.6</v>
      </c>
      <c r="H1774" s="1" t="s">
        <v>21</v>
      </c>
    </row>
    <row r="1775" spans="1:8" x14ac:dyDescent="0.35">
      <c r="A1775" s="2">
        <v>45263.005555555559</v>
      </c>
      <c r="B1775" s="3">
        <v>0.39928240740740745</v>
      </c>
      <c r="C1775" s="1" t="s">
        <v>11</v>
      </c>
      <c r="D1775" s="1" t="s">
        <v>27</v>
      </c>
      <c r="E1775" s="1">
        <v>378.33</v>
      </c>
      <c r="F1775" s="1">
        <v>4</v>
      </c>
      <c r="G1775" s="1">
        <v>1513.32</v>
      </c>
      <c r="H1775" s="1" t="s">
        <v>156</v>
      </c>
    </row>
    <row r="1776" spans="1:8" x14ac:dyDescent="0.35">
      <c r="A1776" s="2">
        <v>45206.782638888886</v>
      </c>
      <c r="B1776" s="3">
        <v>0.88296296296296306</v>
      </c>
      <c r="C1776" s="1" t="s">
        <v>14</v>
      </c>
      <c r="D1776" s="1" t="s">
        <v>20</v>
      </c>
      <c r="E1776" s="1">
        <v>451.94</v>
      </c>
      <c r="F1776" s="1">
        <v>1</v>
      </c>
      <c r="G1776" s="1">
        <v>451.94</v>
      </c>
      <c r="H1776" s="1" t="s">
        <v>260</v>
      </c>
    </row>
    <row r="1777" spans="1:8" x14ac:dyDescent="0.35">
      <c r="A1777" s="2">
        <v>45184.272916666669</v>
      </c>
      <c r="B1777" s="3">
        <v>0.42687499999999995</v>
      </c>
      <c r="C1777" s="1" t="s">
        <v>11</v>
      </c>
      <c r="D1777" s="1" t="s">
        <v>9</v>
      </c>
      <c r="E1777" s="1">
        <v>479.95</v>
      </c>
      <c r="F1777" s="1">
        <v>1</v>
      </c>
      <c r="G1777" s="1">
        <v>479.95</v>
      </c>
      <c r="H1777" s="1" t="s">
        <v>23</v>
      </c>
    </row>
    <row r="1778" spans="1:8" x14ac:dyDescent="0.35">
      <c r="A1778" s="2">
        <v>45423.55972222222</v>
      </c>
      <c r="B1778" s="3">
        <v>0.41740740740740739</v>
      </c>
      <c r="C1778" s="1" t="s">
        <v>11</v>
      </c>
      <c r="D1778" s="1" t="s">
        <v>9</v>
      </c>
      <c r="E1778" s="1">
        <v>265.48</v>
      </c>
      <c r="F1778" s="1">
        <v>1</v>
      </c>
      <c r="G1778" s="1">
        <v>265.48</v>
      </c>
      <c r="H1778" s="1" t="s">
        <v>303</v>
      </c>
    </row>
    <row r="1779" spans="1:8" x14ac:dyDescent="0.35">
      <c r="A1779" s="2">
        <v>45618.470138888886</v>
      </c>
      <c r="B1779" s="3">
        <v>0.73060185185185189</v>
      </c>
      <c r="C1779" s="1" t="s">
        <v>11</v>
      </c>
      <c r="D1779" s="1" t="s">
        <v>12</v>
      </c>
      <c r="E1779" s="1">
        <v>112.41</v>
      </c>
      <c r="F1779" s="1">
        <v>1</v>
      </c>
      <c r="G1779" s="1">
        <v>112.41</v>
      </c>
      <c r="H1779" s="1" t="s">
        <v>114</v>
      </c>
    </row>
    <row r="1780" spans="1:8" x14ac:dyDescent="0.35">
      <c r="A1780" s="2">
        <v>45509.438888888886</v>
      </c>
      <c r="B1780" s="3">
        <v>0.64105324074074077</v>
      </c>
      <c r="C1780" s="1" t="s">
        <v>11</v>
      </c>
      <c r="D1780" s="1" t="s">
        <v>9</v>
      </c>
      <c r="E1780" s="1">
        <v>465.88</v>
      </c>
      <c r="F1780" s="1">
        <v>5</v>
      </c>
      <c r="G1780" s="1">
        <v>2329.4</v>
      </c>
      <c r="H1780" s="1" t="s">
        <v>23</v>
      </c>
    </row>
    <row r="1781" spans="1:8" x14ac:dyDescent="0.35">
      <c r="A1781" s="2">
        <v>44931.368750000001</v>
      </c>
      <c r="B1781" s="3">
        <v>0.15684027777777779</v>
      </c>
      <c r="C1781" s="1" t="s">
        <v>11</v>
      </c>
      <c r="D1781" s="1" t="s">
        <v>20</v>
      </c>
      <c r="E1781" s="1">
        <v>114.51</v>
      </c>
      <c r="F1781" s="1">
        <v>1</v>
      </c>
      <c r="G1781" s="1">
        <v>114.51</v>
      </c>
      <c r="H1781" s="1" t="s">
        <v>172</v>
      </c>
    </row>
    <row r="1782" spans="1:8" x14ac:dyDescent="0.35">
      <c r="A1782" s="2">
        <v>45287.686111111114</v>
      </c>
      <c r="B1782" s="3">
        <v>0.6489583333333333</v>
      </c>
      <c r="C1782" s="1" t="s">
        <v>14</v>
      </c>
      <c r="D1782" s="1" t="s">
        <v>27</v>
      </c>
      <c r="E1782" s="1">
        <v>375.92</v>
      </c>
      <c r="F1782" s="1">
        <v>3</v>
      </c>
      <c r="G1782" s="1">
        <v>1127.76</v>
      </c>
      <c r="H1782" s="1" t="s">
        <v>314</v>
      </c>
    </row>
    <row r="1783" spans="1:8" x14ac:dyDescent="0.35">
      <c r="A1783" s="2">
        <v>45265.572916666664</v>
      </c>
      <c r="B1783" s="3">
        <v>0.11797453703703703</v>
      </c>
      <c r="C1783" s="1" t="s">
        <v>8</v>
      </c>
      <c r="D1783" s="1" t="s">
        <v>9</v>
      </c>
      <c r="E1783" s="1">
        <v>351.35</v>
      </c>
      <c r="F1783" s="1">
        <v>5</v>
      </c>
      <c r="G1783" s="1">
        <v>1756.75</v>
      </c>
      <c r="H1783" s="1" t="s">
        <v>58</v>
      </c>
    </row>
    <row r="1784" spans="1:8" x14ac:dyDescent="0.35">
      <c r="A1784" s="2">
        <v>44994.140277777777</v>
      </c>
      <c r="B1784" s="3">
        <v>0.9184606481481481</v>
      </c>
      <c r="C1784" s="1" t="s">
        <v>14</v>
      </c>
      <c r="D1784" s="1" t="s">
        <v>20</v>
      </c>
      <c r="E1784" s="1">
        <v>168.01</v>
      </c>
      <c r="F1784" s="1">
        <v>5</v>
      </c>
      <c r="G1784" s="1">
        <v>840.05</v>
      </c>
      <c r="H1784" s="1" t="s">
        <v>187</v>
      </c>
    </row>
    <row r="1785" spans="1:8" x14ac:dyDescent="0.35">
      <c r="A1785" s="2">
        <v>45564.963888888888</v>
      </c>
      <c r="B1785" s="3">
        <v>0.45340277777777777</v>
      </c>
      <c r="C1785" s="1" t="s">
        <v>8</v>
      </c>
      <c r="D1785" s="1" t="s">
        <v>20</v>
      </c>
      <c r="E1785" s="1">
        <v>410.18</v>
      </c>
      <c r="F1785" s="1">
        <v>5</v>
      </c>
      <c r="G1785" s="1">
        <v>2050.9</v>
      </c>
      <c r="H1785" s="1" t="s">
        <v>405</v>
      </c>
    </row>
    <row r="1786" spans="1:8" x14ac:dyDescent="0.35">
      <c r="A1786" s="2">
        <v>45189.818055555559</v>
      </c>
      <c r="B1786" s="3">
        <v>0.87004629629629626</v>
      </c>
      <c r="C1786" s="1" t="s">
        <v>14</v>
      </c>
      <c r="D1786" s="1" t="s">
        <v>16</v>
      </c>
      <c r="E1786" s="1">
        <v>476.64</v>
      </c>
      <c r="F1786" s="1">
        <v>1</v>
      </c>
      <c r="G1786" s="1">
        <v>476.64</v>
      </c>
      <c r="H1786" s="1" t="s">
        <v>21</v>
      </c>
    </row>
    <row r="1787" spans="1:8" x14ac:dyDescent="0.35">
      <c r="A1787" s="2">
        <v>45368.134027777778</v>
      </c>
      <c r="B1787" s="3">
        <v>0.69909722222222215</v>
      </c>
      <c r="C1787" s="1" t="s">
        <v>14</v>
      </c>
      <c r="D1787" s="1" t="s">
        <v>20</v>
      </c>
      <c r="E1787" s="1">
        <v>351.11</v>
      </c>
      <c r="F1787" s="1">
        <v>2</v>
      </c>
      <c r="G1787" s="1">
        <v>702.22</v>
      </c>
      <c r="H1787" s="1" t="s">
        <v>347</v>
      </c>
    </row>
    <row r="1788" spans="1:8" x14ac:dyDescent="0.35">
      <c r="A1788" s="2">
        <v>44968.100694444445</v>
      </c>
      <c r="B1788" s="3">
        <v>4.148148148148148E-2</v>
      </c>
      <c r="C1788" s="1" t="s">
        <v>11</v>
      </c>
      <c r="D1788" s="1" t="s">
        <v>27</v>
      </c>
      <c r="E1788" s="1">
        <v>459.19</v>
      </c>
      <c r="F1788" s="1">
        <v>4</v>
      </c>
      <c r="G1788" s="1">
        <v>1836.76</v>
      </c>
      <c r="H1788" s="1" t="s">
        <v>190</v>
      </c>
    </row>
    <row r="1789" spans="1:8" x14ac:dyDescent="0.35">
      <c r="A1789" s="2">
        <v>45301.384027777778</v>
      </c>
      <c r="B1789" s="3">
        <v>0.72982638888888884</v>
      </c>
      <c r="C1789" s="1" t="s">
        <v>14</v>
      </c>
      <c r="D1789" s="1" t="s">
        <v>9</v>
      </c>
      <c r="E1789" s="1">
        <v>417.78</v>
      </c>
      <c r="F1789" s="1">
        <v>3</v>
      </c>
      <c r="G1789" s="1">
        <v>1253.3399999999999</v>
      </c>
      <c r="H1789" s="1" t="s">
        <v>213</v>
      </c>
    </row>
    <row r="1790" spans="1:8" x14ac:dyDescent="0.35">
      <c r="A1790" s="2">
        <v>44998.637499999997</v>
      </c>
      <c r="B1790" s="3">
        <v>0.69307870370370372</v>
      </c>
      <c r="C1790" s="1" t="s">
        <v>8</v>
      </c>
      <c r="D1790" s="1" t="s">
        <v>27</v>
      </c>
      <c r="E1790" s="1">
        <v>200.44</v>
      </c>
      <c r="F1790" s="1">
        <v>2</v>
      </c>
      <c r="G1790" s="1">
        <v>400.88</v>
      </c>
      <c r="H1790" s="1" t="s">
        <v>76</v>
      </c>
    </row>
    <row r="1791" spans="1:8" x14ac:dyDescent="0.35">
      <c r="A1791" s="2">
        <v>45191.249305555553</v>
      </c>
      <c r="B1791" s="3">
        <v>0.54820601851851858</v>
      </c>
      <c r="C1791" s="1" t="s">
        <v>11</v>
      </c>
      <c r="D1791" s="1" t="s">
        <v>27</v>
      </c>
      <c r="E1791" s="1">
        <v>351.83</v>
      </c>
      <c r="F1791" s="1">
        <v>4</v>
      </c>
      <c r="G1791" s="1">
        <v>1407.32</v>
      </c>
      <c r="H1791" s="1" t="s">
        <v>193</v>
      </c>
    </row>
    <row r="1792" spans="1:8" x14ac:dyDescent="0.35">
      <c r="A1792" s="2">
        <v>45518.464583333334</v>
      </c>
      <c r="B1792" s="3">
        <v>0.67623842592592587</v>
      </c>
      <c r="C1792" s="1" t="s">
        <v>14</v>
      </c>
      <c r="D1792" s="1" t="s">
        <v>27</v>
      </c>
      <c r="E1792" s="1">
        <v>409.26</v>
      </c>
      <c r="F1792" s="1">
        <v>4</v>
      </c>
      <c r="G1792" s="1">
        <v>1637.04</v>
      </c>
      <c r="H1792" s="1" t="s">
        <v>355</v>
      </c>
    </row>
    <row r="1793" spans="1:8" x14ac:dyDescent="0.35">
      <c r="A1793" s="2">
        <v>45231.365972222222</v>
      </c>
      <c r="B1793" s="3">
        <v>0.4816319444444444</v>
      </c>
      <c r="C1793" s="1" t="s">
        <v>14</v>
      </c>
      <c r="D1793" s="1" t="s">
        <v>20</v>
      </c>
      <c r="E1793" s="1">
        <v>419.76</v>
      </c>
      <c r="F1793" s="1">
        <v>1</v>
      </c>
      <c r="G1793" s="1">
        <v>419.76</v>
      </c>
      <c r="H1793" s="1" t="s">
        <v>172</v>
      </c>
    </row>
    <row r="1794" spans="1:8" x14ac:dyDescent="0.35">
      <c r="A1794" s="2">
        <v>45631.245138888888</v>
      </c>
      <c r="B1794" s="3">
        <v>0.56708333333333327</v>
      </c>
      <c r="C1794" s="1" t="s">
        <v>11</v>
      </c>
      <c r="D1794" s="1" t="s">
        <v>27</v>
      </c>
      <c r="E1794" s="1">
        <v>394.33</v>
      </c>
      <c r="F1794" s="1">
        <v>1</v>
      </c>
      <c r="G1794" s="1">
        <v>394.33</v>
      </c>
      <c r="H1794" s="1" t="s">
        <v>77</v>
      </c>
    </row>
    <row r="1795" spans="1:8" x14ac:dyDescent="0.35">
      <c r="A1795" s="2">
        <v>45485.288194444445</v>
      </c>
      <c r="B1795" s="3">
        <v>0.42601851851851852</v>
      </c>
      <c r="C1795" s="1" t="s">
        <v>11</v>
      </c>
      <c r="D1795" s="1" t="s">
        <v>9</v>
      </c>
      <c r="E1795" s="1">
        <v>480.24</v>
      </c>
      <c r="F1795" s="1">
        <v>5</v>
      </c>
      <c r="G1795" s="1">
        <v>2401.1999999999998</v>
      </c>
      <c r="H1795" s="1" t="s">
        <v>177</v>
      </c>
    </row>
    <row r="1796" spans="1:8" x14ac:dyDescent="0.35">
      <c r="A1796" s="2">
        <v>45100.712500000001</v>
      </c>
      <c r="B1796" s="3">
        <v>0.40530092592592593</v>
      </c>
      <c r="C1796" s="1" t="s">
        <v>11</v>
      </c>
      <c r="D1796" s="1" t="s">
        <v>16</v>
      </c>
      <c r="E1796" s="1">
        <v>152.21</v>
      </c>
      <c r="F1796" s="1">
        <v>4</v>
      </c>
      <c r="G1796" s="1">
        <v>608.84</v>
      </c>
      <c r="H1796" s="1" t="s">
        <v>36</v>
      </c>
    </row>
    <row r="1797" spans="1:8" x14ac:dyDescent="0.35">
      <c r="A1797" s="2">
        <v>45527.690972222219</v>
      </c>
      <c r="B1797" s="3">
        <v>0.20390046296296296</v>
      </c>
      <c r="C1797" s="1" t="s">
        <v>14</v>
      </c>
      <c r="D1797" s="1" t="s">
        <v>20</v>
      </c>
      <c r="E1797" s="1">
        <v>257.68</v>
      </c>
      <c r="F1797" s="1">
        <v>2</v>
      </c>
      <c r="G1797" s="1">
        <v>515.36</v>
      </c>
      <c r="H1797" s="1" t="s">
        <v>100</v>
      </c>
    </row>
    <row r="1798" spans="1:8" x14ac:dyDescent="0.35">
      <c r="A1798" s="2">
        <v>45497.719444444447</v>
      </c>
      <c r="B1798" s="3">
        <v>0.79076388888888882</v>
      </c>
      <c r="C1798" s="1" t="s">
        <v>14</v>
      </c>
      <c r="D1798" s="1" t="s">
        <v>27</v>
      </c>
      <c r="E1798" s="1">
        <v>33.57</v>
      </c>
      <c r="F1798" s="1">
        <v>4</v>
      </c>
      <c r="G1798" s="1">
        <v>134.28</v>
      </c>
      <c r="H1798" s="1" t="s">
        <v>121</v>
      </c>
    </row>
    <row r="1799" spans="1:8" x14ac:dyDescent="0.35">
      <c r="A1799" s="2">
        <v>45004.788194444445</v>
      </c>
      <c r="B1799" s="3">
        <v>0.98545138888888895</v>
      </c>
      <c r="C1799" s="1" t="s">
        <v>8</v>
      </c>
      <c r="D1799" s="1" t="s">
        <v>20</v>
      </c>
      <c r="E1799" s="1">
        <v>56.16</v>
      </c>
      <c r="F1799" s="1">
        <v>1</v>
      </c>
      <c r="G1799" s="1">
        <v>56.16</v>
      </c>
      <c r="H1799" s="1" t="s">
        <v>249</v>
      </c>
    </row>
    <row r="1800" spans="1:8" x14ac:dyDescent="0.35">
      <c r="A1800" s="2">
        <v>44986.434027777781</v>
      </c>
      <c r="B1800" s="3">
        <v>0.48934027777777778</v>
      </c>
      <c r="C1800" s="1" t="s">
        <v>11</v>
      </c>
      <c r="D1800" s="1" t="s">
        <v>20</v>
      </c>
      <c r="E1800" s="1">
        <v>366.98</v>
      </c>
      <c r="F1800" s="1">
        <v>5</v>
      </c>
      <c r="G1800" s="1">
        <v>1834.9</v>
      </c>
      <c r="H1800" s="1" t="s">
        <v>327</v>
      </c>
    </row>
    <row r="1801" spans="1:8" x14ac:dyDescent="0.35">
      <c r="A1801" s="2">
        <v>45348.090277777781</v>
      </c>
      <c r="B1801" s="3">
        <v>0.85024305555555557</v>
      </c>
      <c r="C1801" s="1" t="s">
        <v>11</v>
      </c>
      <c r="D1801" s="1" t="s">
        <v>9</v>
      </c>
      <c r="E1801" s="1">
        <v>95.53</v>
      </c>
      <c r="F1801" s="1">
        <v>4</v>
      </c>
      <c r="G1801" s="1">
        <v>382.12</v>
      </c>
      <c r="H1801" s="1" t="s">
        <v>117</v>
      </c>
    </row>
    <row r="1802" spans="1:8" x14ac:dyDescent="0.35">
      <c r="A1802" s="2">
        <v>45062.495138888888</v>
      </c>
      <c r="B1802" s="3">
        <v>0.10914351851851851</v>
      </c>
      <c r="C1802" s="1" t="s">
        <v>11</v>
      </c>
      <c r="D1802" s="1" t="s">
        <v>12</v>
      </c>
      <c r="E1802" s="1">
        <v>73.59</v>
      </c>
      <c r="F1802" s="1">
        <v>4</v>
      </c>
      <c r="G1802" s="1">
        <v>294.36</v>
      </c>
      <c r="H1802" s="1" t="s">
        <v>56</v>
      </c>
    </row>
    <row r="1803" spans="1:8" x14ac:dyDescent="0.35">
      <c r="A1803" s="2">
        <v>45480.92083333333</v>
      </c>
      <c r="B1803" s="3">
        <v>0.31458333333333333</v>
      </c>
      <c r="C1803" s="1" t="s">
        <v>8</v>
      </c>
      <c r="D1803" s="1" t="s">
        <v>27</v>
      </c>
      <c r="E1803" s="1">
        <v>289.74</v>
      </c>
      <c r="F1803" s="1">
        <v>5</v>
      </c>
      <c r="G1803" s="1">
        <v>1448.7</v>
      </c>
      <c r="H1803" s="1" t="s">
        <v>281</v>
      </c>
    </row>
    <row r="1804" spans="1:8" x14ac:dyDescent="0.35">
      <c r="A1804" s="2">
        <v>45537.370833333334</v>
      </c>
      <c r="B1804" s="3">
        <v>0.45490740740740737</v>
      </c>
      <c r="C1804" s="1" t="s">
        <v>11</v>
      </c>
      <c r="D1804" s="1" t="s">
        <v>16</v>
      </c>
      <c r="E1804" s="1">
        <v>494.38</v>
      </c>
      <c r="F1804" s="1">
        <v>5</v>
      </c>
      <c r="G1804" s="1">
        <v>2471.9</v>
      </c>
      <c r="H1804" s="1" t="s">
        <v>294</v>
      </c>
    </row>
    <row r="1805" spans="1:8" x14ac:dyDescent="0.35">
      <c r="A1805" s="2">
        <v>45648.061805555553</v>
      </c>
      <c r="B1805" s="3">
        <v>0.10494212962962964</v>
      </c>
      <c r="C1805" s="1" t="s">
        <v>11</v>
      </c>
      <c r="D1805" s="1" t="s">
        <v>27</v>
      </c>
      <c r="E1805" s="1">
        <v>38.39</v>
      </c>
      <c r="F1805" s="1">
        <v>4</v>
      </c>
      <c r="G1805" s="1">
        <v>153.56</v>
      </c>
      <c r="H1805" s="1" t="s">
        <v>31</v>
      </c>
    </row>
    <row r="1806" spans="1:8" x14ac:dyDescent="0.35">
      <c r="A1806" s="2">
        <v>45176.396527777775</v>
      </c>
      <c r="B1806" s="3">
        <v>0.19144675925925925</v>
      </c>
      <c r="C1806" s="1" t="s">
        <v>8</v>
      </c>
      <c r="D1806" s="1" t="s">
        <v>16</v>
      </c>
      <c r="E1806" s="1">
        <v>261.24</v>
      </c>
      <c r="F1806" s="1">
        <v>3</v>
      </c>
      <c r="G1806" s="1">
        <v>783.72</v>
      </c>
      <c r="H1806" s="1" t="s">
        <v>359</v>
      </c>
    </row>
    <row r="1807" spans="1:8" x14ac:dyDescent="0.35">
      <c r="A1807" s="2">
        <v>45489.84097222222</v>
      </c>
      <c r="B1807" s="3">
        <v>0.83684027777777781</v>
      </c>
      <c r="C1807" s="1" t="s">
        <v>11</v>
      </c>
      <c r="D1807" s="1" t="s">
        <v>20</v>
      </c>
      <c r="E1807" s="1">
        <v>29.05</v>
      </c>
      <c r="F1807" s="1">
        <v>3</v>
      </c>
      <c r="G1807" s="1">
        <v>87.15</v>
      </c>
      <c r="H1807" s="1" t="s">
        <v>258</v>
      </c>
    </row>
    <row r="1808" spans="1:8" x14ac:dyDescent="0.35">
      <c r="A1808" s="2">
        <v>45196.53402777778</v>
      </c>
      <c r="B1808" s="3">
        <v>0.20114583333333333</v>
      </c>
      <c r="C1808" s="1" t="s">
        <v>11</v>
      </c>
      <c r="D1808" s="1" t="s">
        <v>12</v>
      </c>
      <c r="E1808" s="1">
        <v>39.17</v>
      </c>
      <c r="F1808" s="1">
        <v>3</v>
      </c>
      <c r="G1808" s="1">
        <v>117.51</v>
      </c>
      <c r="H1808" s="1" t="s">
        <v>276</v>
      </c>
    </row>
    <row r="1809" spans="1:8" x14ac:dyDescent="0.35">
      <c r="A1809" s="2">
        <v>45506.204861111109</v>
      </c>
      <c r="B1809" s="3">
        <v>0.50966435185185188</v>
      </c>
      <c r="C1809" s="1" t="s">
        <v>8</v>
      </c>
      <c r="D1809" s="1" t="s">
        <v>20</v>
      </c>
      <c r="E1809" s="1">
        <v>41.28</v>
      </c>
      <c r="F1809" s="1">
        <v>5</v>
      </c>
      <c r="G1809" s="1">
        <v>206.4</v>
      </c>
      <c r="H1809" s="1" t="s">
        <v>342</v>
      </c>
    </row>
    <row r="1810" spans="1:8" x14ac:dyDescent="0.35">
      <c r="A1810" s="2">
        <v>45080.689583333333</v>
      </c>
      <c r="B1810" s="3">
        <v>0.76049768518518512</v>
      </c>
      <c r="C1810" s="1" t="s">
        <v>11</v>
      </c>
      <c r="D1810" s="1" t="s">
        <v>27</v>
      </c>
      <c r="E1810" s="1">
        <v>291.31</v>
      </c>
      <c r="F1810" s="1">
        <v>5</v>
      </c>
      <c r="G1810" s="1">
        <v>1456.55</v>
      </c>
      <c r="H1810" s="1" t="s">
        <v>155</v>
      </c>
    </row>
    <row r="1811" spans="1:8" x14ac:dyDescent="0.35">
      <c r="A1811" s="2">
        <v>45225.32708333333</v>
      </c>
      <c r="B1811" s="3">
        <v>0.6754282407407407</v>
      </c>
      <c r="C1811" s="1" t="s">
        <v>14</v>
      </c>
      <c r="D1811" s="1" t="s">
        <v>20</v>
      </c>
      <c r="E1811" s="1">
        <v>246.79</v>
      </c>
      <c r="F1811" s="1">
        <v>5</v>
      </c>
      <c r="G1811" s="1">
        <v>1233.95</v>
      </c>
      <c r="H1811" s="1" t="s">
        <v>249</v>
      </c>
    </row>
    <row r="1812" spans="1:8" x14ac:dyDescent="0.35">
      <c r="A1812" s="2">
        <v>45354.186111111114</v>
      </c>
      <c r="B1812" s="3">
        <v>0.72803240740740749</v>
      </c>
      <c r="C1812" s="1" t="s">
        <v>8</v>
      </c>
      <c r="D1812" s="1" t="s">
        <v>9</v>
      </c>
      <c r="E1812" s="1">
        <v>107.19</v>
      </c>
      <c r="F1812" s="1">
        <v>1</v>
      </c>
      <c r="G1812" s="1">
        <v>107.19</v>
      </c>
      <c r="H1812" s="1" t="s">
        <v>100</v>
      </c>
    </row>
    <row r="1813" spans="1:8" x14ac:dyDescent="0.35">
      <c r="A1813" s="2">
        <v>45334.381249999999</v>
      </c>
      <c r="B1813" s="3">
        <v>0.1338310185185185</v>
      </c>
      <c r="C1813" s="1" t="s">
        <v>11</v>
      </c>
      <c r="D1813" s="1" t="s">
        <v>9</v>
      </c>
      <c r="E1813" s="1">
        <v>168.04</v>
      </c>
      <c r="F1813" s="1">
        <v>2</v>
      </c>
      <c r="G1813" s="1">
        <v>336.08</v>
      </c>
      <c r="H1813" s="1" t="s">
        <v>165</v>
      </c>
    </row>
    <row r="1814" spans="1:8" x14ac:dyDescent="0.35">
      <c r="A1814" s="2">
        <v>45226.54583333333</v>
      </c>
      <c r="B1814" s="3">
        <v>0.77770833333333333</v>
      </c>
      <c r="C1814" s="1" t="s">
        <v>14</v>
      </c>
      <c r="D1814" s="1" t="s">
        <v>20</v>
      </c>
      <c r="E1814" s="1">
        <v>82.33</v>
      </c>
      <c r="F1814" s="1">
        <v>2</v>
      </c>
      <c r="G1814" s="1">
        <v>164.66</v>
      </c>
      <c r="H1814" s="1" t="s">
        <v>37</v>
      </c>
    </row>
    <row r="1815" spans="1:8" x14ac:dyDescent="0.35">
      <c r="A1815" s="2">
        <v>45662.334722222222</v>
      </c>
      <c r="B1815" s="3">
        <v>9.0069444444444438E-2</v>
      </c>
      <c r="C1815" s="1" t="s">
        <v>14</v>
      </c>
      <c r="D1815" s="1" t="s">
        <v>16</v>
      </c>
      <c r="E1815" s="1">
        <v>495.71</v>
      </c>
      <c r="F1815" s="1">
        <v>1</v>
      </c>
      <c r="G1815" s="1">
        <v>495.71</v>
      </c>
      <c r="H1815" s="1" t="s">
        <v>176</v>
      </c>
    </row>
    <row r="1816" spans="1:8" x14ac:dyDescent="0.35">
      <c r="A1816" s="2">
        <v>45208.977777777778</v>
      </c>
      <c r="B1816" s="3">
        <v>0.36230324074074072</v>
      </c>
      <c r="C1816" s="1" t="s">
        <v>11</v>
      </c>
      <c r="D1816" s="1" t="s">
        <v>16</v>
      </c>
      <c r="E1816" s="1">
        <v>213.24</v>
      </c>
      <c r="F1816" s="1">
        <v>5</v>
      </c>
      <c r="G1816" s="1">
        <v>1066.2</v>
      </c>
      <c r="H1816" s="1" t="s">
        <v>245</v>
      </c>
    </row>
    <row r="1817" spans="1:8" x14ac:dyDescent="0.35">
      <c r="A1817" s="2">
        <v>45630.064583333333</v>
      </c>
      <c r="B1817" s="3">
        <v>0.81098379629629624</v>
      </c>
      <c r="C1817" s="1" t="s">
        <v>11</v>
      </c>
      <c r="D1817" s="1" t="s">
        <v>12</v>
      </c>
      <c r="E1817" s="1">
        <v>414.26</v>
      </c>
      <c r="F1817" s="1">
        <v>4</v>
      </c>
      <c r="G1817" s="1">
        <v>1657.04</v>
      </c>
      <c r="H1817" s="1" t="s">
        <v>259</v>
      </c>
    </row>
    <row r="1818" spans="1:8" x14ac:dyDescent="0.35">
      <c r="A1818" s="2">
        <v>45131.590277777781</v>
      </c>
      <c r="B1818" s="3">
        <v>0.21763888888888891</v>
      </c>
      <c r="C1818" s="1" t="s">
        <v>8</v>
      </c>
      <c r="D1818" s="1" t="s">
        <v>20</v>
      </c>
      <c r="E1818" s="1">
        <v>51.07</v>
      </c>
      <c r="F1818" s="1">
        <v>4</v>
      </c>
      <c r="G1818" s="1">
        <v>204.28</v>
      </c>
      <c r="H1818" s="1" t="s">
        <v>69</v>
      </c>
    </row>
    <row r="1819" spans="1:8" x14ac:dyDescent="0.35">
      <c r="A1819" s="2">
        <v>45263.966666666667</v>
      </c>
      <c r="B1819" s="3">
        <v>0.98893518518518519</v>
      </c>
      <c r="C1819" s="1" t="s">
        <v>8</v>
      </c>
      <c r="D1819" s="1" t="s">
        <v>16</v>
      </c>
      <c r="E1819" s="1">
        <v>105.38</v>
      </c>
      <c r="F1819" s="1">
        <v>3</v>
      </c>
      <c r="G1819" s="1">
        <v>316.14</v>
      </c>
      <c r="H1819" s="1" t="s">
        <v>234</v>
      </c>
    </row>
    <row r="1820" spans="1:8" x14ac:dyDescent="0.35">
      <c r="A1820" s="2">
        <v>45202.775694444441</v>
      </c>
      <c r="B1820" s="3">
        <v>0.69163194444444442</v>
      </c>
      <c r="C1820" s="1" t="s">
        <v>11</v>
      </c>
      <c r="D1820" s="1" t="s">
        <v>27</v>
      </c>
      <c r="E1820" s="1">
        <v>451.83</v>
      </c>
      <c r="F1820" s="1">
        <v>2</v>
      </c>
      <c r="G1820" s="1">
        <v>903.66</v>
      </c>
      <c r="H1820" s="1" t="s">
        <v>266</v>
      </c>
    </row>
    <row r="1821" spans="1:8" x14ac:dyDescent="0.35">
      <c r="A1821" s="2">
        <v>45569.554166666669</v>
      </c>
      <c r="B1821" s="3">
        <v>0.87087962962962961</v>
      </c>
      <c r="C1821" s="1" t="s">
        <v>11</v>
      </c>
      <c r="D1821" s="1" t="s">
        <v>27</v>
      </c>
      <c r="E1821" s="1">
        <v>59.25</v>
      </c>
      <c r="F1821" s="1">
        <v>1</v>
      </c>
      <c r="G1821" s="1">
        <v>59.25</v>
      </c>
      <c r="H1821" s="1" t="s">
        <v>148</v>
      </c>
    </row>
    <row r="1822" spans="1:8" x14ac:dyDescent="0.35">
      <c r="A1822" s="2">
        <v>45030.481944444444</v>
      </c>
      <c r="B1822" s="3">
        <v>0.7028240740740741</v>
      </c>
      <c r="C1822" s="1" t="s">
        <v>14</v>
      </c>
      <c r="D1822" s="1" t="s">
        <v>9</v>
      </c>
      <c r="E1822" s="1">
        <v>432.69</v>
      </c>
      <c r="F1822" s="1">
        <v>3</v>
      </c>
      <c r="G1822" s="1">
        <v>1298.07</v>
      </c>
      <c r="H1822" s="1" t="s">
        <v>211</v>
      </c>
    </row>
    <row r="1823" spans="1:8" x14ac:dyDescent="0.35">
      <c r="A1823" s="2">
        <v>45346.970138888886</v>
      </c>
      <c r="B1823" s="3">
        <v>0.64656250000000004</v>
      </c>
      <c r="C1823" s="1" t="s">
        <v>11</v>
      </c>
      <c r="D1823" s="1" t="s">
        <v>16</v>
      </c>
      <c r="E1823" s="1">
        <v>289.73</v>
      </c>
      <c r="F1823" s="1">
        <v>2</v>
      </c>
      <c r="G1823" s="1">
        <v>579.46</v>
      </c>
      <c r="H1823" s="1" t="s">
        <v>290</v>
      </c>
    </row>
    <row r="1824" spans="1:8" x14ac:dyDescent="0.35">
      <c r="A1824" s="2">
        <v>45203.85833333333</v>
      </c>
      <c r="B1824" s="3">
        <v>0.7279282407407407</v>
      </c>
      <c r="C1824" s="1" t="s">
        <v>11</v>
      </c>
      <c r="D1824" s="1" t="s">
        <v>16</v>
      </c>
      <c r="E1824" s="1">
        <v>390.64</v>
      </c>
      <c r="F1824" s="1">
        <v>5</v>
      </c>
      <c r="G1824" s="1">
        <v>1953.2</v>
      </c>
      <c r="H1824" s="1" t="s">
        <v>130</v>
      </c>
    </row>
    <row r="1825" spans="1:8" x14ac:dyDescent="0.35">
      <c r="A1825" s="2">
        <v>44977.1</v>
      </c>
      <c r="B1825" s="3">
        <v>0.96854166666666675</v>
      </c>
      <c r="C1825" s="1" t="s">
        <v>14</v>
      </c>
      <c r="D1825" s="1" t="s">
        <v>12</v>
      </c>
      <c r="E1825" s="1">
        <v>251.04</v>
      </c>
      <c r="F1825" s="1">
        <v>4</v>
      </c>
      <c r="G1825" s="1">
        <v>1004.16</v>
      </c>
      <c r="H1825" s="1" t="s">
        <v>404</v>
      </c>
    </row>
    <row r="1826" spans="1:8" x14ac:dyDescent="0.35">
      <c r="A1826" s="2">
        <v>45279.856944444444</v>
      </c>
      <c r="B1826" s="3">
        <v>6.4849537037037039E-2</v>
      </c>
      <c r="C1826" s="1" t="s">
        <v>11</v>
      </c>
      <c r="D1826" s="1" t="s">
        <v>9</v>
      </c>
      <c r="E1826" s="1">
        <v>214.86</v>
      </c>
      <c r="F1826" s="1">
        <v>3</v>
      </c>
      <c r="G1826" s="1">
        <v>644.58000000000004</v>
      </c>
      <c r="H1826" s="1" t="s">
        <v>263</v>
      </c>
    </row>
    <row r="1827" spans="1:8" x14ac:dyDescent="0.35">
      <c r="A1827" s="2">
        <v>45646.754861111112</v>
      </c>
      <c r="B1827" s="3">
        <v>0.7947685185185186</v>
      </c>
      <c r="C1827" s="1" t="s">
        <v>8</v>
      </c>
      <c r="D1827" s="1" t="s">
        <v>16</v>
      </c>
      <c r="E1827" s="1">
        <v>433.34</v>
      </c>
      <c r="F1827" s="1">
        <v>2</v>
      </c>
      <c r="G1827" s="1">
        <v>866.68</v>
      </c>
      <c r="H1827" s="1" t="s">
        <v>373</v>
      </c>
    </row>
    <row r="1828" spans="1:8" x14ac:dyDescent="0.35">
      <c r="A1828" s="2">
        <v>45122.025694444441</v>
      </c>
      <c r="B1828" s="3">
        <v>0.81841435185185185</v>
      </c>
      <c r="C1828" s="1" t="s">
        <v>11</v>
      </c>
      <c r="D1828" s="1" t="s">
        <v>12</v>
      </c>
      <c r="E1828" s="1">
        <v>244.74</v>
      </c>
      <c r="F1828" s="1">
        <v>3</v>
      </c>
      <c r="G1828" s="1">
        <v>734.22</v>
      </c>
      <c r="H1828" s="1" t="s">
        <v>38</v>
      </c>
    </row>
    <row r="1829" spans="1:8" x14ac:dyDescent="0.35">
      <c r="A1829" s="2">
        <v>45646.725694444445</v>
      </c>
      <c r="B1829" s="3">
        <v>0.53033564814814815</v>
      </c>
      <c r="C1829" s="1" t="s">
        <v>8</v>
      </c>
      <c r="D1829" s="1" t="s">
        <v>27</v>
      </c>
      <c r="E1829" s="1">
        <v>37.04</v>
      </c>
      <c r="F1829" s="1">
        <v>5</v>
      </c>
      <c r="G1829" s="1">
        <v>185.2</v>
      </c>
      <c r="H1829" s="1" t="s">
        <v>188</v>
      </c>
    </row>
    <row r="1830" spans="1:8" x14ac:dyDescent="0.35">
      <c r="A1830" s="2">
        <v>44992.826388888891</v>
      </c>
      <c r="B1830" s="3">
        <v>0.33807870370370369</v>
      </c>
      <c r="C1830" s="1" t="s">
        <v>11</v>
      </c>
      <c r="D1830" s="1" t="s">
        <v>16</v>
      </c>
      <c r="E1830" s="1">
        <v>134.51</v>
      </c>
      <c r="F1830" s="1">
        <v>3</v>
      </c>
      <c r="G1830" s="1">
        <v>403.53</v>
      </c>
      <c r="H1830" s="1" t="s">
        <v>86</v>
      </c>
    </row>
    <row r="1831" spans="1:8" x14ac:dyDescent="0.35">
      <c r="A1831" s="2">
        <v>45035.461805555555</v>
      </c>
      <c r="B1831" s="3">
        <v>0.90165509259259258</v>
      </c>
      <c r="C1831" s="1" t="s">
        <v>8</v>
      </c>
      <c r="D1831" s="1" t="s">
        <v>9</v>
      </c>
      <c r="E1831" s="1">
        <v>216.35</v>
      </c>
      <c r="F1831" s="1">
        <v>2</v>
      </c>
      <c r="G1831" s="1">
        <v>432.7</v>
      </c>
      <c r="H1831" s="1" t="s">
        <v>32</v>
      </c>
    </row>
    <row r="1832" spans="1:8" x14ac:dyDescent="0.35">
      <c r="A1832" s="2">
        <v>45349.9375</v>
      </c>
      <c r="B1832" s="3">
        <v>9.0069444444444438E-2</v>
      </c>
      <c r="C1832" s="1" t="s">
        <v>8</v>
      </c>
      <c r="D1832" s="1" t="s">
        <v>16</v>
      </c>
      <c r="E1832" s="1">
        <v>342.13</v>
      </c>
      <c r="F1832" s="1">
        <v>4</v>
      </c>
      <c r="G1832" s="1">
        <v>1368.52</v>
      </c>
      <c r="H1832" s="1" t="s">
        <v>254</v>
      </c>
    </row>
    <row r="1833" spans="1:8" x14ac:dyDescent="0.35">
      <c r="A1833" s="2">
        <v>45543.832638888889</v>
      </c>
      <c r="B1833" s="3">
        <v>0.86203703703703705</v>
      </c>
      <c r="C1833" s="1" t="s">
        <v>11</v>
      </c>
      <c r="D1833" s="1" t="s">
        <v>12</v>
      </c>
      <c r="E1833" s="1">
        <v>403.46</v>
      </c>
      <c r="F1833" s="1">
        <v>1</v>
      </c>
      <c r="G1833" s="1">
        <v>403.46</v>
      </c>
      <c r="H1833" s="1" t="s">
        <v>290</v>
      </c>
    </row>
    <row r="1834" spans="1:8" x14ac:dyDescent="0.35">
      <c r="A1834" s="2">
        <v>45573.70208333333</v>
      </c>
      <c r="B1834" s="3">
        <v>0.44847222222222222</v>
      </c>
      <c r="C1834" s="1" t="s">
        <v>8</v>
      </c>
      <c r="D1834" s="1" t="s">
        <v>9</v>
      </c>
      <c r="E1834" s="1">
        <v>366.22</v>
      </c>
      <c r="F1834" s="1">
        <v>2</v>
      </c>
      <c r="G1834" s="1">
        <v>732.44</v>
      </c>
      <c r="H1834" s="1" t="s">
        <v>198</v>
      </c>
    </row>
    <row r="1835" spans="1:8" x14ac:dyDescent="0.35">
      <c r="A1835" s="2">
        <v>45134.839583333334</v>
      </c>
      <c r="B1835" s="3">
        <v>0.96834490740740742</v>
      </c>
      <c r="C1835" s="1" t="s">
        <v>14</v>
      </c>
      <c r="D1835" s="1" t="s">
        <v>27</v>
      </c>
      <c r="E1835" s="1">
        <v>287.22000000000003</v>
      </c>
      <c r="F1835" s="1">
        <v>5</v>
      </c>
      <c r="G1835" s="1">
        <v>1436.1</v>
      </c>
      <c r="H1835" s="1" t="s">
        <v>152</v>
      </c>
    </row>
    <row r="1836" spans="1:8" x14ac:dyDescent="0.35">
      <c r="A1836" s="2">
        <v>45367.470833333333</v>
      </c>
      <c r="B1836" s="3">
        <v>0.12197916666666668</v>
      </c>
      <c r="C1836" s="1" t="s">
        <v>8</v>
      </c>
      <c r="D1836" s="1" t="s">
        <v>9</v>
      </c>
      <c r="E1836" s="1">
        <v>422.94</v>
      </c>
      <c r="F1836" s="1">
        <v>1</v>
      </c>
      <c r="G1836" s="1">
        <v>422.94</v>
      </c>
      <c r="H1836" s="1" t="s">
        <v>69</v>
      </c>
    </row>
    <row r="1837" spans="1:8" x14ac:dyDescent="0.35">
      <c r="A1837" s="2">
        <v>45298.959027777775</v>
      </c>
      <c r="B1837" s="3">
        <v>0.21564814814814814</v>
      </c>
      <c r="C1837" s="1" t="s">
        <v>11</v>
      </c>
      <c r="D1837" s="1" t="s">
        <v>27</v>
      </c>
      <c r="E1837" s="1">
        <v>484.94</v>
      </c>
      <c r="F1837" s="1">
        <v>5</v>
      </c>
      <c r="G1837" s="1">
        <v>2424.6999999999998</v>
      </c>
      <c r="H1837" s="1" t="s">
        <v>401</v>
      </c>
    </row>
    <row r="1838" spans="1:8" x14ac:dyDescent="0.35">
      <c r="A1838" s="2">
        <v>45536.568055555559</v>
      </c>
      <c r="B1838" s="3">
        <v>0.76165509259259256</v>
      </c>
      <c r="C1838" s="1" t="s">
        <v>11</v>
      </c>
      <c r="D1838" s="1" t="s">
        <v>20</v>
      </c>
      <c r="E1838" s="1">
        <v>453</v>
      </c>
      <c r="F1838" s="1">
        <v>3</v>
      </c>
      <c r="G1838" s="1">
        <v>1359</v>
      </c>
      <c r="H1838" s="1" t="s">
        <v>112</v>
      </c>
    </row>
    <row r="1839" spans="1:8" x14ac:dyDescent="0.35">
      <c r="A1839" s="2">
        <v>45233.268750000003</v>
      </c>
      <c r="B1839" s="3">
        <v>0.80232638888888885</v>
      </c>
      <c r="C1839" s="1" t="s">
        <v>11</v>
      </c>
      <c r="D1839" s="1" t="s">
        <v>12</v>
      </c>
      <c r="E1839" s="1">
        <v>131.87</v>
      </c>
      <c r="F1839" s="1">
        <v>5</v>
      </c>
      <c r="G1839" s="1">
        <v>659.35</v>
      </c>
      <c r="H1839" s="1" t="s">
        <v>26</v>
      </c>
    </row>
    <row r="1840" spans="1:8" x14ac:dyDescent="0.35">
      <c r="A1840" s="2">
        <v>44977.453472222223</v>
      </c>
      <c r="B1840" s="3">
        <v>0.4689814814814815</v>
      </c>
      <c r="C1840" s="1" t="s">
        <v>11</v>
      </c>
      <c r="D1840" s="1" t="s">
        <v>12</v>
      </c>
      <c r="E1840" s="1">
        <v>147.05000000000001</v>
      </c>
      <c r="F1840" s="1">
        <v>2</v>
      </c>
      <c r="G1840" s="1">
        <v>294.10000000000002</v>
      </c>
      <c r="H1840" s="1" t="s">
        <v>259</v>
      </c>
    </row>
    <row r="1841" spans="1:8" x14ac:dyDescent="0.35">
      <c r="A1841" s="2">
        <v>45461.319444444445</v>
      </c>
      <c r="B1841" s="3">
        <v>0.6442592592592592</v>
      </c>
      <c r="C1841" s="1" t="s">
        <v>11</v>
      </c>
      <c r="D1841" s="1" t="s">
        <v>27</v>
      </c>
      <c r="E1841" s="1">
        <v>159.19</v>
      </c>
      <c r="F1841" s="1">
        <v>1</v>
      </c>
      <c r="G1841" s="1">
        <v>159.19</v>
      </c>
      <c r="H1841" s="1" t="s">
        <v>397</v>
      </c>
    </row>
    <row r="1842" spans="1:8" x14ac:dyDescent="0.35">
      <c r="A1842" s="2">
        <v>45286.987500000003</v>
      </c>
      <c r="B1842" s="3">
        <v>0.25780092592592591</v>
      </c>
      <c r="C1842" s="1" t="s">
        <v>11</v>
      </c>
      <c r="D1842" s="1" t="s">
        <v>16</v>
      </c>
      <c r="E1842" s="1">
        <v>148.13999999999999</v>
      </c>
      <c r="F1842" s="1">
        <v>2</v>
      </c>
      <c r="G1842" s="1">
        <v>296.27999999999997</v>
      </c>
      <c r="H1842" s="1" t="s">
        <v>207</v>
      </c>
    </row>
    <row r="1843" spans="1:8" x14ac:dyDescent="0.35">
      <c r="A1843" s="2">
        <v>45453.976388888892</v>
      </c>
      <c r="B1843" s="3">
        <v>0.33725694444444443</v>
      </c>
      <c r="C1843" s="1" t="s">
        <v>8</v>
      </c>
      <c r="D1843" s="1" t="s">
        <v>12</v>
      </c>
      <c r="E1843" s="1">
        <v>453.02</v>
      </c>
      <c r="F1843" s="1">
        <v>2</v>
      </c>
      <c r="G1843" s="1">
        <v>906.04</v>
      </c>
      <c r="H1843" s="1" t="s">
        <v>214</v>
      </c>
    </row>
    <row r="1844" spans="1:8" x14ac:dyDescent="0.35">
      <c r="A1844" s="2">
        <v>45089.606944444444</v>
      </c>
      <c r="B1844" s="3">
        <v>0.12761574074074075</v>
      </c>
      <c r="C1844" s="1" t="s">
        <v>8</v>
      </c>
      <c r="D1844" s="1" t="s">
        <v>16</v>
      </c>
      <c r="E1844" s="1">
        <v>271.31</v>
      </c>
      <c r="F1844" s="1">
        <v>2</v>
      </c>
      <c r="G1844" s="1">
        <v>542.62</v>
      </c>
      <c r="H1844" s="1" t="s">
        <v>155</v>
      </c>
    </row>
    <row r="1845" spans="1:8" x14ac:dyDescent="0.35">
      <c r="A1845" s="2">
        <v>45663.644444444442</v>
      </c>
      <c r="B1845" s="3">
        <v>0.59775462962962966</v>
      </c>
      <c r="C1845" s="1" t="s">
        <v>11</v>
      </c>
      <c r="D1845" s="1" t="s">
        <v>27</v>
      </c>
      <c r="E1845" s="1">
        <v>158.66</v>
      </c>
      <c r="F1845" s="1">
        <v>1</v>
      </c>
      <c r="G1845" s="1">
        <v>158.66</v>
      </c>
      <c r="H1845" s="1" t="s">
        <v>412</v>
      </c>
    </row>
    <row r="1846" spans="1:8" x14ac:dyDescent="0.35">
      <c r="A1846" s="2">
        <v>45118.043749999997</v>
      </c>
      <c r="B1846" s="3">
        <v>0.50521990740740741</v>
      </c>
      <c r="C1846" s="1" t="s">
        <v>11</v>
      </c>
      <c r="D1846" s="1" t="s">
        <v>20</v>
      </c>
      <c r="E1846" s="1">
        <v>351.65</v>
      </c>
      <c r="F1846" s="1">
        <v>5</v>
      </c>
      <c r="G1846" s="1">
        <v>1758.25</v>
      </c>
      <c r="H1846" s="1" t="s">
        <v>348</v>
      </c>
    </row>
    <row r="1847" spans="1:8" x14ac:dyDescent="0.35">
      <c r="A1847" s="2">
        <v>45428.393750000003</v>
      </c>
      <c r="B1847" s="3">
        <v>0.36098379629629629</v>
      </c>
      <c r="C1847" s="1" t="s">
        <v>8</v>
      </c>
      <c r="D1847" s="1" t="s">
        <v>27</v>
      </c>
      <c r="E1847" s="1">
        <v>499.46</v>
      </c>
      <c r="F1847" s="1">
        <v>5</v>
      </c>
      <c r="G1847" s="1">
        <v>2497.3000000000002</v>
      </c>
      <c r="H1847" s="1" t="s">
        <v>342</v>
      </c>
    </row>
    <row r="1848" spans="1:8" x14ac:dyDescent="0.35">
      <c r="A1848" s="2">
        <v>44953.477777777778</v>
      </c>
      <c r="B1848" s="3">
        <v>0.45327546296296295</v>
      </c>
      <c r="C1848" s="1" t="s">
        <v>8</v>
      </c>
      <c r="D1848" s="1" t="s">
        <v>27</v>
      </c>
      <c r="E1848" s="1">
        <v>139.4</v>
      </c>
      <c r="F1848" s="1">
        <v>4</v>
      </c>
      <c r="G1848" s="1">
        <v>557.6</v>
      </c>
      <c r="H1848" s="1" t="s">
        <v>180</v>
      </c>
    </row>
    <row r="1849" spans="1:8" x14ac:dyDescent="0.35">
      <c r="A1849" s="2">
        <v>45481.076388888891</v>
      </c>
      <c r="B1849" s="3">
        <v>0.14980324074074072</v>
      </c>
      <c r="C1849" s="1" t="s">
        <v>14</v>
      </c>
      <c r="D1849" s="1" t="s">
        <v>12</v>
      </c>
      <c r="E1849" s="1">
        <v>67.930000000000007</v>
      </c>
      <c r="F1849" s="1">
        <v>4</v>
      </c>
      <c r="G1849" s="1">
        <v>271.72000000000003</v>
      </c>
      <c r="H1849" s="1" t="s">
        <v>46</v>
      </c>
    </row>
    <row r="1850" spans="1:8" x14ac:dyDescent="0.35">
      <c r="A1850" s="2">
        <v>45442.240277777775</v>
      </c>
      <c r="B1850" s="3">
        <v>0.19293981481481481</v>
      </c>
      <c r="C1850" s="1" t="s">
        <v>8</v>
      </c>
      <c r="D1850" s="1" t="s">
        <v>12</v>
      </c>
      <c r="E1850" s="1">
        <v>189.46</v>
      </c>
      <c r="F1850" s="1">
        <v>3</v>
      </c>
      <c r="G1850" s="1">
        <v>568.38</v>
      </c>
      <c r="H1850" s="1" t="s">
        <v>77</v>
      </c>
    </row>
    <row r="1851" spans="1:8" x14ac:dyDescent="0.35">
      <c r="A1851" s="2">
        <v>45121.073611111111</v>
      </c>
      <c r="B1851" s="3">
        <v>0.93980324074074073</v>
      </c>
      <c r="C1851" s="1" t="s">
        <v>14</v>
      </c>
      <c r="D1851" s="1" t="s">
        <v>27</v>
      </c>
      <c r="E1851" s="1">
        <v>353.99</v>
      </c>
      <c r="F1851" s="1">
        <v>2</v>
      </c>
      <c r="G1851" s="1">
        <v>707.98</v>
      </c>
      <c r="H1851" s="1" t="s">
        <v>234</v>
      </c>
    </row>
    <row r="1852" spans="1:8" x14ac:dyDescent="0.35">
      <c r="A1852" s="2">
        <v>45380.79791666667</v>
      </c>
      <c r="B1852" s="3">
        <v>0.97472222222222227</v>
      </c>
      <c r="C1852" s="1" t="s">
        <v>11</v>
      </c>
      <c r="D1852" s="1" t="s">
        <v>20</v>
      </c>
      <c r="E1852" s="1">
        <v>131.55000000000001</v>
      </c>
      <c r="F1852" s="1">
        <v>2</v>
      </c>
      <c r="G1852" s="1">
        <v>263.10000000000002</v>
      </c>
      <c r="H1852" s="1" t="s">
        <v>56</v>
      </c>
    </row>
    <row r="1853" spans="1:8" x14ac:dyDescent="0.35">
      <c r="A1853" s="2">
        <v>45004.091666666667</v>
      </c>
      <c r="B1853" s="3">
        <v>0.13381944444444444</v>
      </c>
      <c r="C1853" s="1" t="s">
        <v>14</v>
      </c>
      <c r="D1853" s="1" t="s">
        <v>16</v>
      </c>
      <c r="E1853" s="1">
        <v>231.64</v>
      </c>
      <c r="F1853" s="1">
        <v>2</v>
      </c>
      <c r="G1853" s="1">
        <v>463.28</v>
      </c>
      <c r="H1853" s="1" t="s">
        <v>10</v>
      </c>
    </row>
    <row r="1854" spans="1:8" x14ac:dyDescent="0.35">
      <c r="A1854" s="2">
        <v>45370.382638888892</v>
      </c>
      <c r="B1854" s="3">
        <v>0.81199074074074085</v>
      </c>
      <c r="C1854" s="1" t="s">
        <v>8</v>
      </c>
      <c r="D1854" s="1" t="s">
        <v>12</v>
      </c>
      <c r="E1854" s="1">
        <v>19.170000000000002</v>
      </c>
      <c r="F1854" s="1">
        <v>4</v>
      </c>
      <c r="G1854" s="1">
        <v>76.680000000000007</v>
      </c>
      <c r="H1854" s="1" t="s">
        <v>337</v>
      </c>
    </row>
    <row r="1855" spans="1:8" x14ac:dyDescent="0.35">
      <c r="A1855" s="2">
        <v>45068.861805555556</v>
      </c>
      <c r="B1855" s="3">
        <v>5.1921296296296299E-2</v>
      </c>
      <c r="C1855" s="1" t="s">
        <v>14</v>
      </c>
      <c r="D1855" s="1" t="s">
        <v>12</v>
      </c>
      <c r="E1855" s="1">
        <v>40.5</v>
      </c>
      <c r="F1855" s="1">
        <v>1</v>
      </c>
      <c r="G1855" s="1">
        <v>40.5</v>
      </c>
      <c r="H1855" s="1" t="s">
        <v>271</v>
      </c>
    </row>
    <row r="1856" spans="1:8" x14ac:dyDescent="0.35">
      <c r="A1856" s="2">
        <v>45538.211805555555</v>
      </c>
      <c r="B1856" s="3">
        <v>0.68961805555555555</v>
      </c>
      <c r="C1856" s="1" t="s">
        <v>8</v>
      </c>
      <c r="D1856" s="1" t="s">
        <v>12</v>
      </c>
      <c r="E1856" s="1">
        <v>113.87</v>
      </c>
      <c r="F1856" s="1">
        <v>3</v>
      </c>
      <c r="G1856" s="1">
        <v>341.61</v>
      </c>
      <c r="H1856" s="1" t="s">
        <v>134</v>
      </c>
    </row>
    <row r="1857" spans="1:8" x14ac:dyDescent="0.35">
      <c r="A1857" s="2">
        <v>45131.760416666664</v>
      </c>
      <c r="B1857" s="3">
        <v>0.703125</v>
      </c>
      <c r="C1857" s="1" t="s">
        <v>14</v>
      </c>
      <c r="D1857" s="1" t="s">
        <v>20</v>
      </c>
      <c r="E1857" s="1">
        <v>492.55</v>
      </c>
      <c r="F1857" s="1">
        <v>2</v>
      </c>
      <c r="G1857" s="1">
        <v>985.1</v>
      </c>
      <c r="H1857" s="1" t="s">
        <v>381</v>
      </c>
    </row>
    <row r="1858" spans="1:8" x14ac:dyDescent="0.35">
      <c r="A1858" s="2">
        <v>44951.443749999999</v>
      </c>
      <c r="B1858" s="3">
        <v>2.3379629629629631E-3</v>
      </c>
      <c r="C1858" s="1" t="s">
        <v>14</v>
      </c>
      <c r="D1858" s="1" t="s">
        <v>12</v>
      </c>
      <c r="E1858" s="1">
        <v>395.43</v>
      </c>
      <c r="F1858" s="1">
        <v>1</v>
      </c>
      <c r="G1858" s="1">
        <v>395.43</v>
      </c>
      <c r="H1858" s="1" t="s">
        <v>198</v>
      </c>
    </row>
    <row r="1859" spans="1:8" x14ac:dyDescent="0.35">
      <c r="A1859" s="2">
        <v>45052.968055555553</v>
      </c>
      <c r="B1859" s="3">
        <v>0.91262731481481474</v>
      </c>
      <c r="C1859" s="1" t="s">
        <v>11</v>
      </c>
      <c r="D1859" s="1" t="s">
        <v>27</v>
      </c>
      <c r="E1859" s="1">
        <v>407.28</v>
      </c>
      <c r="F1859" s="1">
        <v>4</v>
      </c>
      <c r="G1859" s="1">
        <v>1629.12</v>
      </c>
      <c r="H1859" s="1" t="s">
        <v>353</v>
      </c>
    </row>
    <row r="1860" spans="1:8" x14ac:dyDescent="0.35">
      <c r="A1860" s="2">
        <v>45572.150694444441</v>
      </c>
      <c r="B1860" s="3">
        <v>0.90082175925925922</v>
      </c>
      <c r="C1860" s="1" t="s">
        <v>11</v>
      </c>
      <c r="D1860" s="1" t="s">
        <v>20</v>
      </c>
      <c r="E1860" s="1">
        <v>374.99</v>
      </c>
      <c r="F1860" s="1">
        <v>2</v>
      </c>
      <c r="G1860" s="1">
        <v>749.98</v>
      </c>
      <c r="H1860" s="1" t="s">
        <v>373</v>
      </c>
    </row>
    <row r="1861" spans="1:8" x14ac:dyDescent="0.35">
      <c r="A1861" s="2">
        <v>45476.79583333333</v>
      </c>
      <c r="B1861" s="3">
        <v>2.627314814814815E-3</v>
      </c>
      <c r="C1861" s="1" t="s">
        <v>8</v>
      </c>
      <c r="D1861" s="1" t="s">
        <v>12</v>
      </c>
      <c r="E1861" s="1">
        <v>286.27999999999997</v>
      </c>
      <c r="F1861" s="1">
        <v>2</v>
      </c>
      <c r="G1861" s="1">
        <v>572.55999999999995</v>
      </c>
      <c r="H1861" s="1" t="s">
        <v>188</v>
      </c>
    </row>
    <row r="1862" spans="1:8" x14ac:dyDescent="0.35">
      <c r="A1862" s="2">
        <v>45468.067361111112</v>
      </c>
      <c r="B1862" s="3">
        <v>1.7013888888888887E-2</v>
      </c>
      <c r="C1862" s="1" t="s">
        <v>14</v>
      </c>
      <c r="D1862" s="1" t="s">
        <v>16</v>
      </c>
      <c r="E1862" s="1">
        <v>410.36</v>
      </c>
      <c r="F1862" s="1">
        <v>2</v>
      </c>
      <c r="G1862" s="1">
        <v>820.72</v>
      </c>
      <c r="H1862" s="1" t="s">
        <v>299</v>
      </c>
    </row>
    <row r="1863" spans="1:8" x14ac:dyDescent="0.35">
      <c r="A1863" s="2">
        <v>45066.45208333333</v>
      </c>
      <c r="B1863" s="3">
        <v>0.84423611111111108</v>
      </c>
      <c r="C1863" s="1" t="s">
        <v>11</v>
      </c>
      <c r="D1863" s="1" t="s">
        <v>27</v>
      </c>
      <c r="E1863" s="1">
        <v>410.47</v>
      </c>
      <c r="F1863" s="1">
        <v>3</v>
      </c>
      <c r="G1863" s="1">
        <v>1231.4100000000001</v>
      </c>
      <c r="H1863" s="1" t="s">
        <v>166</v>
      </c>
    </row>
    <row r="1864" spans="1:8" x14ac:dyDescent="0.35">
      <c r="A1864" s="2">
        <v>45580.384027777778</v>
      </c>
      <c r="B1864" s="3">
        <v>0.3638657407407408</v>
      </c>
      <c r="C1864" s="1" t="s">
        <v>8</v>
      </c>
      <c r="D1864" s="1" t="s">
        <v>9</v>
      </c>
      <c r="E1864" s="1">
        <v>358.11</v>
      </c>
      <c r="F1864" s="1">
        <v>2</v>
      </c>
      <c r="G1864" s="1">
        <v>716.22</v>
      </c>
      <c r="H1864" s="1" t="s">
        <v>212</v>
      </c>
    </row>
    <row r="1865" spans="1:8" x14ac:dyDescent="0.35">
      <c r="A1865" s="2">
        <v>45490.605555555558</v>
      </c>
      <c r="B1865" s="3">
        <v>0.13868055555555556</v>
      </c>
      <c r="C1865" s="1" t="s">
        <v>8</v>
      </c>
      <c r="D1865" s="1" t="s">
        <v>16</v>
      </c>
      <c r="E1865" s="1">
        <v>186.87</v>
      </c>
      <c r="F1865" s="1">
        <v>4</v>
      </c>
      <c r="G1865" s="1">
        <v>747.48</v>
      </c>
      <c r="H1865" s="1" t="s">
        <v>403</v>
      </c>
    </row>
    <row r="1866" spans="1:8" x14ac:dyDescent="0.35">
      <c r="A1866" s="2">
        <v>45663.480555555558</v>
      </c>
      <c r="B1866" s="3">
        <v>0.95098379629629637</v>
      </c>
      <c r="C1866" s="1" t="s">
        <v>14</v>
      </c>
      <c r="D1866" s="1" t="s">
        <v>27</v>
      </c>
      <c r="E1866" s="1">
        <v>20.440000000000001</v>
      </c>
      <c r="F1866" s="1">
        <v>4</v>
      </c>
      <c r="G1866" s="1">
        <v>81.760000000000005</v>
      </c>
      <c r="H1866" s="1" t="s">
        <v>295</v>
      </c>
    </row>
    <row r="1867" spans="1:8" x14ac:dyDescent="0.35">
      <c r="A1867" s="2">
        <v>45625.004166666666</v>
      </c>
      <c r="B1867" s="3">
        <v>0.22274305555555554</v>
      </c>
      <c r="C1867" s="1" t="s">
        <v>8</v>
      </c>
      <c r="D1867" s="1" t="s">
        <v>20</v>
      </c>
      <c r="E1867" s="1">
        <v>145.13</v>
      </c>
      <c r="F1867" s="1">
        <v>3</v>
      </c>
      <c r="G1867" s="1">
        <v>435.39</v>
      </c>
      <c r="H1867" s="1" t="s">
        <v>194</v>
      </c>
    </row>
    <row r="1868" spans="1:8" x14ac:dyDescent="0.35">
      <c r="A1868" s="2">
        <v>45112.419444444444</v>
      </c>
      <c r="B1868" s="3">
        <v>0.75855324074074071</v>
      </c>
      <c r="C1868" s="1" t="s">
        <v>14</v>
      </c>
      <c r="D1868" s="1" t="s">
        <v>16</v>
      </c>
      <c r="E1868" s="1">
        <v>70.22</v>
      </c>
      <c r="F1868" s="1">
        <v>5</v>
      </c>
      <c r="G1868" s="1">
        <v>351.1</v>
      </c>
      <c r="H1868" s="1" t="s">
        <v>208</v>
      </c>
    </row>
    <row r="1869" spans="1:8" x14ac:dyDescent="0.35">
      <c r="A1869" s="2">
        <v>45348.625</v>
      </c>
      <c r="B1869" s="3">
        <v>0.44520833333333337</v>
      </c>
      <c r="C1869" s="1" t="s">
        <v>8</v>
      </c>
      <c r="D1869" s="1" t="s">
        <v>16</v>
      </c>
      <c r="E1869" s="1">
        <v>410.25</v>
      </c>
      <c r="F1869" s="1">
        <v>5</v>
      </c>
      <c r="G1869" s="1">
        <v>2051.25</v>
      </c>
      <c r="H1869" s="1" t="s">
        <v>180</v>
      </c>
    </row>
    <row r="1870" spans="1:8" x14ac:dyDescent="0.35">
      <c r="A1870" s="2">
        <v>45247.64166666667</v>
      </c>
      <c r="B1870" s="3">
        <v>0.90971064814814817</v>
      </c>
      <c r="C1870" s="1" t="s">
        <v>14</v>
      </c>
      <c r="D1870" s="1" t="s">
        <v>16</v>
      </c>
      <c r="E1870" s="1">
        <v>375</v>
      </c>
      <c r="F1870" s="1">
        <v>2</v>
      </c>
      <c r="G1870" s="1">
        <v>750</v>
      </c>
      <c r="H1870" s="1" t="s">
        <v>99</v>
      </c>
    </row>
    <row r="1871" spans="1:8" x14ac:dyDescent="0.35">
      <c r="A1871" s="2">
        <v>45472.142361111109</v>
      </c>
      <c r="B1871" s="3">
        <v>4.1423611111111112E-2</v>
      </c>
      <c r="C1871" s="1" t="s">
        <v>8</v>
      </c>
      <c r="D1871" s="1" t="s">
        <v>20</v>
      </c>
      <c r="E1871" s="1">
        <v>56.3</v>
      </c>
      <c r="F1871" s="1">
        <v>2</v>
      </c>
      <c r="G1871" s="1">
        <v>112.6</v>
      </c>
      <c r="H1871" s="1" t="s">
        <v>365</v>
      </c>
    </row>
    <row r="1872" spans="1:8" x14ac:dyDescent="0.35">
      <c r="A1872" s="2">
        <v>45098.179166666669</v>
      </c>
      <c r="B1872" s="3">
        <v>0.44010416666666669</v>
      </c>
      <c r="C1872" s="1" t="s">
        <v>14</v>
      </c>
      <c r="D1872" s="1" t="s">
        <v>20</v>
      </c>
      <c r="E1872" s="1">
        <v>383.25</v>
      </c>
      <c r="F1872" s="1">
        <v>5</v>
      </c>
      <c r="G1872" s="1">
        <v>1916.25</v>
      </c>
      <c r="H1872" s="1" t="s">
        <v>316</v>
      </c>
    </row>
    <row r="1873" spans="1:8" x14ac:dyDescent="0.35">
      <c r="A1873" s="2">
        <v>45193.493055555555</v>
      </c>
      <c r="B1873" s="3">
        <v>0.43069444444444444</v>
      </c>
      <c r="C1873" s="1" t="s">
        <v>11</v>
      </c>
      <c r="D1873" s="1" t="s">
        <v>20</v>
      </c>
      <c r="E1873" s="1">
        <v>28.45</v>
      </c>
      <c r="F1873" s="1">
        <v>1</v>
      </c>
      <c r="G1873" s="1">
        <v>28.45</v>
      </c>
      <c r="H1873" s="1" t="s">
        <v>213</v>
      </c>
    </row>
    <row r="1874" spans="1:8" x14ac:dyDescent="0.35">
      <c r="A1874" s="2">
        <v>45631.931250000001</v>
      </c>
      <c r="B1874" s="3">
        <v>0.18379629629629632</v>
      </c>
      <c r="C1874" s="1" t="s">
        <v>8</v>
      </c>
      <c r="D1874" s="1" t="s">
        <v>27</v>
      </c>
      <c r="E1874" s="1">
        <v>219.77</v>
      </c>
      <c r="F1874" s="1">
        <v>2</v>
      </c>
      <c r="G1874" s="1">
        <v>439.54</v>
      </c>
      <c r="H1874" s="1" t="s">
        <v>386</v>
      </c>
    </row>
    <row r="1875" spans="1:8" x14ac:dyDescent="0.35">
      <c r="A1875" s="2">
        <v>45175.743750000001</v>
      </c>
      <c r="B1875" s="3">
        <v>0.10528935185185184</v>
      </c>
      <c r="C1875" s="1" t="s">
        <v>8</v>
      </c>
      <c r="D1875" s="1" t="s">
        <v>12</v>
      </c>
      <c r="E1875" s="1">
        <v>452.46</v>
      </c>
      <c r="F1875" s="1">
        <v>4</v>
      </c>
      <c r="G1875" s="1">
        <v>1809.84</v>
      </c>
      <c r="H1875" s="1" t="s">
        <v>169</v>
      </c>
    </row>
    <row r="1876" spans="1:8" x14ac:dyDescent="0.35">
      <c r="A1876" s="2">
        <v>45384.520138888889</v>
      </c>
      <c r="B1876" s="3">
        <v>0.53635416666666669</v>
      </c>
      <c r="C1876" s="1" t="s">
        <v>11</v>
      </c>
      <c r="D1876" s="1" t="s">
        <v>12</v>
      </c>
      <c r="E1876" s="1">
        <v>295.10000000000002</v>
      </c>
      <c r="F1876" s="1">
        <v>1</v>
      </c>
      <c r="G1876" s="1">
        <v>295.10000000000002</v>
      </c>
      <c r="H1876" s="1" t="s">
        <v>303</v>
      </c>
    </row>
    <row r="1877" spans="1:8" x14ac:dyDescent="0.35">
      <c r="A1877" s="2">
        <v>45092.125</v>
      </c>
      <c r="B1877" s="3">
        <v>0.8325231481481481</v>
      </c>
      <c r="C1877" s="1" t="s">
        <v>14</v>
      </c>
      <c r="D1877" s="1" t="s">
        <v>12</v>
      </c>
      <c r="E1877" s="1">
        <v>153.79</v>
      </c>
      <c r="F1877" s="1">
        <v>1</v>
      </c>
      <c r="G1877" s="1">
        <v>153.79</v>
      </c>
      <c r="H1877" s="1" t="s">
        <v>231</v>
      </c>
    </row>
    <row r="1878" spans="1:8" x14ac:dyDescent="0.35">
      <c r="A1878" s="2">
        <v>44975.138194444444</v>
      </c>
      <c r="B1878" s="3">
        <v>0.28862268518518519</v>
      </c>
      <c r="C1878" s="1" t="s">
        <v>8</v>
      </c>
      <c r="D1878" s="1" t="s">
        <v>16</v>
      </c>
      <c r="E1878" s="1">
        <v>74.87</v>
      </c>
      <c r="F1878" s="1">
        <v>5</v>
      </c>
      <c r="G1878" s="1">
        <v>374.35</v>
      </c>
      <c r="H1878" s="1" t="s">
        <v>355</v>
      </c>
    </row>
    <row r="1879" spans="1:8" x14ac:dyDescent="0.35">
      <c r="A1879" s="2">
        <v>45435.905555555553</v>
      </c>
      <c r="B1879" s="3">
        <v>0.4803587962962963</v>
      </c>
      <c r="C1879" s="1" t="s">
        <v>11</v>
      </c>
      <c r="D1879" s="1" t="s">
        <v>20</v>
      </c>
      <c r="E1879" s="1">
        <v>472.08</v>
      </c>
      <c r="F1879" s="1">
        <v>4</v>
      </c>
      <c r="G1879" s="1">
        <v>1888.32</v>
      </c>
      <c r="H1879" s="1" t="s">
        <v>94</v>
      </c>
    </row>
    <row r="1880" spans="1:8" x14ac:dyDescent="0.35">
      <c r="A1880" s="2">
        <v>45054.402083333334</v>
      </c>
      <c r="B1880" s="3">
        <v>0.34531249999999997</v>
      </c>
      <c r="C1880" s="1" t="s">
        <v>11</v>
      </c>
      <c r="D1880" s="1" t="s">
        <v>12</v>
      </c>
      <c r="E1880" s="1">
        <v>209.84</v>
      </c>
      <c r="F1880" s="1">
        <v>1</v>
      </c>
      <c r="G1880" s="1">
        <v>209.84</v>
      </c>
      <c r="H1880" s="1" t="s">
        <v>216</v>
      </c>
    </row>
    <row r="1881" spans="1:8" x14ac:dyDescent="0.35">
      <c r="A1881" s="2">
        <v>45214.970138888886</v>
      </c>
      <c r="B1881" s="3">
        <v>0.78351851851851861</v>
      </c>
      <c r="C1881" s="1" t="s">
        <v>8</v>
      </c>
      <c r="D1881" s="1" t="s">
        <v>20</v>
      </c>
      <c r="E1881" s="1">
        <v>495.42</v>
      </c>
      <c r="F1881" s="1">
        <v>2</v>
      </c>
      <c r="G1881" s="1">
        <v>990.84</v>
      </c>
      <c r="H1881" s="1" t="s">
        <v>343</v>
      </c>
    </row>
    <row r="1882" spans="1:8" x14ac:dyDescent="0.35">
      <c r="A1882" s="2">
        <v>45230.526388888888</v>
      </c>
      <c r="B1882" s="3">
        <v>0.16630787037037037</v>
      </c>
      <c r="C1882" s="1" t="s">
        <v>11</v>
      </c>
      <c r="D1882" s="1" t="s">
        <v>27</v>
      </c>
      <c r="E1882" s="1">
        <v>408.51</v>
      </c>
      <c r="F1882" s="1">
        <v>5</v>
      </c>
      <c r="G1882" s="1">
        <v>2042.55</v>
      </c>
      <c r="H1882" s="1" t="s">
        <v>282</v>
      </c>
    </row>
    <row r="1883" spans="1:8" x14ac:dyDescent="0.35">
      <c r="A1883" s="2">
        <v>45495.290277777778</v>
      </c>
      <c r="B1883" s="3">
        <v>0.35326388888888888</v>
      </c>
      <c r="C1883" s="1" t="s">
        <v>11</v>
      </c>
      <c r="D1883" s="1" t="s">
        <v>9</v>
      </c>
      <c r="E1883" s="1">
        <v>329.06</v>
      </c>
      <c r="F1883" s="1">
        <v>3</v>
      </c>
      <c r="G1883" s="1">
        <v>987.18</v>
      </c>
      <c r="H1883" s="1" t="s">
        <v>212</v>
      </c>
    </row>
    <row r="1884" spans="1:8" x14ac:dyDescent="0.35">
      <c r="A1884" s="2">
        <v>45621.762499999997</v>
      </c>
      <c r="B1884" s="3">
        <v>0.86009259259259263</v>
      </c>
      <c r="C1884" s="1" t="s">
        <v>14</v>
      </c>
      <c r="D1884" s="1" t="s">
        <v>27</v>
      </c>
      <c r="E1884" s="1">
        <v>381.34</v>
      </c>
      <c r="F1884" s="1">
        <v>3</v>
      </c>
      <c r="G1884" s="1">
        <v>1144.02</v>
      </c>
      <c r="H1884" s="1" t="s">
        <v>231</v>
      </c>
    </row>
    <row r="1885" spans="1:8" x14ac:dyDescent="0.35">
      <c r="A1885" s="2">
        <v>44937.790972222225</v>
      </c>
      <c r="B1885" s="3">
        <v>0.66939814814814813</v>
      </c>
      <c r="C1885" s="1" t="s">
        <v>8</v>
      </c>
      <c r="D1885" s="1" t="s">
        <v>27</v>
      </c>
      <c r="E1885" s="1">
        <v>423.4</v>
      </c>
      <c r="F1885" s="1">
        <v>2</v>
      </c>
      <c r="G1885" s="1">
        <v>846.8</v>
      </c>
      <c r="H1885" s="1" t="s">
        <v>73</v>
      </c>
    </row>
    <row r="1886" spans="1:8" x14ac:dyDescent="0.35">
      <c r="A1886" s="2">
        <v>44953.886111111111</v>
      </c>
      <c r="B1886" s="3">
        <v>0.81730324074074068</v>
      </c>
      <c r="C1886" s="1" t="s">
        <v>14</v>
      </c>
      <c r="D1886" s="1" t="s">
        <v>16</v>
      </c>
      <c r="E1886" s="1">
        <v>437.49</v>
      </c>
      <c r="F1886" s="1">
        <v>2</v>
      </c>
      <c r="G1886" s="1">
        <v>874.98</v>
      </c>
      <c r="H1886" s="1" t="s">
        <v>10</v>
      </c>
    </row>
    <row r="1887" spans="1:8" x14ac:dyDescent="0.35">
      <c r="A1887" s="2">
        <v>45195.343055555553</v>
      </c>
      <c r="B1887" s="3">
        <v>0.49510416666666668</v>
      </c>
      <c r="C1887" s="1" t="s">
        <v>11</v>
      </c>
      <c r="D1887" s="1" t="s">
        <v>20</v>
      </c>
      <c r="E1887" s="1">
        <v>29.22</v>
      </c>
      <c r="F1887" s="1">
        <v>2</v>
      </c>
      <c r="G1887" s="1">
        <v>58.44</v>
      </c>
      <c r="H1887" s="1" t="s">
        <v>154</v>
      </c>
    </row>
    <row r="1888" spans="1:8" x14ac:dyDescent="0.35">
      <c r="A1888" s="2">
        <v>45602.030555555553</v>
      </c>
      <c r="B1888" s="3">
        <v>0.50231481481481477</v>
      </c>
      <c r="C1888" s="1" t="s">
        <v>14</v>
      </c>
      <c r="D1888" s="1" t="s">
        <v>27</v>
      </c>
      <c r="E1888" s="1">
        <v>174.78</v>
      </c>
      <c r="F1888" s="1">
        <v>4</v>
      </c>
      <c r="G1888" s="1">
        <v>699.12</v>
      </c>
      <c r="H1888" s="1" t="s">
        <v>348</v>
      </c>
    </row>
    <row r="1889" spans="1:8" x14ac:dyDescent="0.35">
      <c r="A1889" s="2">
        <v>44975.707638888889</v>
      </c>
      <c r="B1889" s="3">
        <v>4.611111111111111E-2</v>
      </c>
      <c r="C1889" s="1" t="s">
        <v>11</v>
      </c>
      <c r="D1889" s="1" t="s">
        <v>16</v>
      </c>
      <c r="E1889" s="1">
        <v>333.06</v>
      </c>
      <c r="F1889" s="1">
        <v>1</v>
      </c>
      <c r="G1889" s="1">
        <v>333.06</v>
      </c>
      <c r="H1889" s="1" t="s">
        <v>166</v>
      </c>
    </row>
    <row r="1890" spans="1:8" x14ac:dyDescent="0.35">
      <c r="A1890" s="2">
        <v>45520.75</v>
      </c>
      <c r="B1890" s="3">
        <v>0.61504629629629626</v>
      </c>
      <c r="C1890" s="1" t="s">
        <v>11</v>
      </c>
      <c r="D1890" s="1" t="s">
        <v>20</v>
      </c>
      <c r="E1890" s="1">
        <v>101.56</v>
      </c>
      <c r="F1890" s="1">
        <v>1</v>
      </c>
      <c r="G1890" s="1">
        <v>101.56</v>
      </c>
      <c r="H1890" s="1" t="s">
        <v>359</v>
      </c>
    </row>
    <row r="1891" spans="1:8" x14ac:dyDescent="0.35">
      <c r="A1891" s="2">
        <v>45610.232638888891</v>
      </c>
      <c r="B1891" s="3">
        <v>0.87543981481481481</v>
      </c>
      <c r="C1891" s="1" t="s">
        <v>11</v>
      </c>
      <c r="D1891" s="1" t="s">
        <v>9</v>
      </c>
      <c r="E1891" s="1">
        <v>223.47</v>
      </c>
      <c r="F1891" s="1">
        <v>3</v>
      </c>
      <c r="G1891" s="1">
        <v>670.41</v>
      </c>
      <c r="H1891" s="1" t="s">
        <v>260</v>
      </c>
    </row>
    <row r="1892" spans="1:8" x14ac:dyDescent="0.35">
      <c r="A1892" s="2">
        <v>45374.763888888891</v>
      </c>
      <c r="B1892" s="3">
        <v>0.39674768518518522</v>
      </c>
      <c r="C1892" s="1" t="s">
        <v>8</v>
      </c>
      <c r="D1892" s="1" t="s">
        <v>9</v>
      </c>
      <c r="E1892" s="1">
        <v>70.48</v>
      </c>
      <c r="F1892" s="1">
        <v>1</v>
      </c>
      <c r="G1892" s="1">
        <v>70.48</v>
      </c>
      <c r="H1892" s="1" t="s">
        <v>64</v>
      </c>
    </row>
    <row r="1893" spans="1:8" x14ac:dyDescent="0.35">
      <c r="A1893" s="2">
        <v>45113.049305555556</v>
      </c>
      <c r="B1893" s="3">
        <v>0.34184027777777781</v>
      </c>
      <c r="C1893" s="1" t="s">
        <v>11</v>
      </c>
      <c r="D1893" s="1" t="s">
        <v>12</v>
      </c>
      <c r="E1893" s="1">
        <v>202.8</v>
      </c>
      <c r="F1893" s="1">
        <v>5</v>
      </c>
      <c r="G1893" s="1">
        <v>1014</v>
      </c>
      <c r="H1893" s="1" t="s">
        <v>386</v>
      </c>
    </row>
    <row r="1894" spans="1:8" x14ac:dyDescent="0.35">
      <c r="A1894" s="2">
        <v>45460.657638888886</v>
      </c>
      <c r="B1894" s="3">
        <v>7.2129629629629641E-2</v>
      </c>
      <c r="C1894" s="1" t="s">
        <v>14</v>
      </c>
      <c r="D1894" s="1" t="s">
        <v>16</v>
      </c>
      <c r="E1894" s="1">
        <v>178.22</v>
      </c>
      <c r="F1894" s="1">
        <v>1</v>
      </c>
      <c r="G1894" s="1">
        <v>178.22</v>
      </c>
      <c r="H1894" s="1" t="s">
        <v>344</v>
      </c>
    </row>
    <row r="1895" spans="1:8" x14ac:dyDescent="0.35">
      <c r="A1895" s="2">
        <v>45552.968055555553</v>
      </c>
      <c r="B1895" s="3">
        <v>0.64886574074074077</v>
      </c>
      <c r="C1895" s="1" t="s">
        <v>11</v>
      </c>
      <c r="D1895" s="1" t="s">
        <v>9</v>
      </c>
      <c r="E1895" s="1">
        <v>80.819999999999993</v>
      </c>
      <c r="F1895" s="1">
        <v>3</v>
      </c>
      <c r="G1895" s="1">
        <v>242.46</v>
      </c>
      <c r="H1895" s="1" t="s">
        <v>28</v>
      </c>
    </row>
    <row r="1896" spans="1:8" x14ac:dyDescent="0.35">
      <c r="A1896" s="2">
        <v>45445.499305555553</v>
      </c>
      <c r="B1896" s="3">
        <v>8.3715277777777777E-2</v>
      </c>
      <c r="C1896" s="1" t="s">
        <v>14</v>
      </c>
      <c r="D1896" s="1" t="s">
        <v>16</v>
      </c>
      <c r="E1896" s="1">
        <v>73.819999999999993</v>
      </c>
      <c r="F1896" s="1">
        <v>5</v>
      </c>
      <c r="G1896" s="1">
        <v>369.1</v>
      </c>
      <c r="H1896" s="1" t="s">
        <v>371</v>
      </c>
    </row>
    <row r="1897" spans="1:8" x14ac:dyDescent="0.35">
      <c r="A1897" s="2">
        <v>45321.084027777775</v>
      </c>
      <c r="B1897" s="3">
        <v>0.642511574074074</v>
      </c>
      <c r="C1897" s="1" t="s">
        <v>14</v>
      </c>
      <c r="D1897" s="1" t="s">
        <v>12</v>
      </c>
      <c r="E1897" s="1">
        <v>267.7</v>
      </c>
      <c r="F1897" s="1">
        <v>5</v>
      </c>
      <c r="G1897" s="1">
        <v>1338.5</v>
      </c>
      <c r="H1897" s="1" t="s">
        <v>311</v>
      </c>
    </row>
    <row r="1898" spans="1:8" x14ac:dyDescent="0.35">
      <c r="A1898" s="2">
        <v>45246.677777777775</v>
      </c>
      <c r="B1898" s="3">
        <v>0.23359953703703704</v>
      </c>
      <c r="C1898" s="1" t="s">
        <v>8</v>
      </c>
      <c r="D1898" s="1" t="s">
        <v>20</v>
      </c>
      <c r="E1898" s="1">
        <v>258.04000000000002</v>
      </c>
      <c r="F1898" s="1">
        <v>4</v>
      </c>
      <c r="G1898" s="1">
        <v>1032.1600000000001</v>
      </c>
      <c r="H1898" s="1" t="s">
        <v>88</v>
      </c>
    </row>
    <row r="1899" spans="1:8" x14ac:dyDescent="0.35">
      <c r="A1899" s="2">
        <v>44974.888194444444</v>
      </c>
      <c r="B1899" s="3">
        <v>3.8877314814814816E-2</v>
      </c>
      <c r="C1899" s="1" t="s">
        <v>8</v>
      </c>
      <c r="D1899" s="1" t="s">
        <v>16</v>
      </c>
      <c r="E1899" s="1">
        <v>442.71</v>
      </c>
      <c r="F1899" s="1">
        <v>2</v>
      </c>
      <c r="G1899" s="1">
        <v>885.42</v>
      </c>
      <c r="H1899" s="1" t="s">
        <v>272</v>
      </c>
    </row>
    <row r="1900" spans="1:8" x14ac:dyDescent="0.35">
      <c r="A1900" s="2">
        <v>45628.840277777781</v>
      </c>
      <c r="B1900" s="3">
        <v>0.34196759259259263</v>
      </c>
      <c r="C1900" s="1" t="s">
        <v>11</v>
      </c>
      <c r="D1900" s="1" t="s">
        <v>27</v>
      </c>
      <c r="E1900" s="1">
        <v>117.57</v>
      </c>
      <c r="F1900" s="1">
        <v>4</v>
      </c>
      <c r="G1900" s="1">
        <v>470.28</v>
      </c>
      <c r="H1900" s="1" t="s">
        <v>61</v>
      </c>
    </row>
    <row r="1901" spans="1:8" x14ac:dyDescent="0.35">
      <c r="A1901" s="2">
        <v>45546.179166666669</v>
      </c>
      <c r="B1901" s="3">
        <v>0.3336689814814815</v>
      </c>
      <c r="C1901" s="1" t="s">
        <v>14</v>
      </c>
      <c r="D1901" s="1" t="s">
        <v>20</v>
      </c>
      <c r="E1901" s="1">
        <v>346.53</v>
      </c>
      <c r="F1901" s="1">
        <v>4</v>
      </c>
      <c r="G1901" s="1">
        <v>1386.12</v>
      </c>
      <c r="H1901" s="1" t="s">
        <v>383</v>
      </c>
    </row>
    <row r="1902" spans="1:8" x14ac:dyDescent="0.35">
      <c r="A1902" s="2">
        <v>45565.609027777777</v>
      </c>
      <c r="B1902" s="3">
        <v>0.7775347222222222</v>
      </c>
      <c r="C1902" s="1" t="s">
        <v>14</v>
      </c>
      <c r="D1902" s="1" t="s">
        <v>12</v>
      </c>
      <c r="E1902" s="1">
        <v>316.8</v>
      </c>
      <c r="F1902" s="1">
        <v>1</v>
      </c>
      <c r="G1902" s="1">
        <v>316.8</v>
      </c>
      <c r="H1902" s="1" t="s">
        <v>125</v>
      </c>
    </row>
    <row r="1903" spans="1:8" x14ac:dyDescent="0.35">
      <c r="A1903" s="2">
        <v>45572.197222222225</v>
      </c>
      <c r="B1903" s="3">
        <v>0.99891203703703713</v>
      </c>
      <c r="C1903" s="1" t="s">
        <v>8</v>
      </c>
      <c r="D1903" s="1" t="s">
        <v>12</v>
      </c>
      <c r="E1903" s="1">
        <v>59.97</v>
      </c>
      <c r="F1903" s="1">
        <v>2</v>
      </c>
      <c r="G1903" s="1">
        <v>119.94</v>
      </c>
      <c r="H1903" s="1" t="s">
        <v>275</v>
      </c>
    </row>
    <row r="1904" spans="1:8" x14ac:dyDescent="0.35">
      <c r="A1904" s="2">
        <v>44956.059027777781</v>
      </c>
      <c r="B1904" s="3">
        <v>0.52997685185185184</v>
      </c>
      <c r="C1904" s="1" t="s">
        <v>8</v>
      </c>
      <c r="D1904" s="1" t="s">
        <v>9</v>
      </c>
      <c r="E1904" s="1">
        <v>201.03</v>
      </c>
      <c r="F1904" s="1">
        <v>3</v>
      </c>
      <c r="G1904" s="1">
        <v>603.09</v>
      </c>
      <c r="H1904" s="1" t="s">
        <v>43</v>
      </c>
    </row>
    <row r="1905" spans="1:8" x14ac:dyDescent="0.35">
      <c r="A1905" s="2">
        <v>45086.004861111112</v>
      </c>
      <c r="B1905" s="3">
        <v>0.32510416666666669</v>
      </c>
      <c r="C1905" s="1" t="s">
        <v>8</v>
      </c>
      <c r="D1905" s="1" t="s">
        <v>12</v>
      </c>
      <c r="E1905" s="1">
        <v>406.15</v>
      </c>
      <c r="F1905" s="1">
        <v>4</v>
      </c>
      <c r="G1905" s="1">
        <v>1624.6</v>
      </c>
      <c r="H1905" s="1" t="s">
        <v>55</v>
      </c>
    </row>
    <row r="1906" spans="1:8" x14ac:dyDescent="0.35">
      <c r="A1906" s="2">
        <v>45022.761805555558</v>
      </c>
      <c r="B1906" s="3">
        <v>0.7087268518518518</v>
      </c>
      <c r="C1906" s="1" t="s">
        <v>11</v>
      </c>
      <c r="D1906" s="1" t="s">
        <v>12</v>
      </c>
      <c r="E1906" s="1">
        <v>147.5</v>
      </c>
      <c r="F1906" s="1">
        <v>5</v>
      </c>
      <c r="G1906" s="1">
        <v>737.5</v>
      </c>
      <c r="H1906" s="1" t="s">
        <v>175</v>
      </c>
    </row>
    <row r="1907" spans="1:8" x14ac:dyDescent="0.35">
      <c r="A1907" s="2">
        <v>45385.74722222222</v>
      </c>
      <c r="B1907" s="3">
        <v>0.5554513888888889</v>
      </c>
      <c r="C1907" s="1" t="s">
        <v>11</v>
      </c>
      <c r="D1907" s="1" t="s">
        <v>16</v>
      </c>
      <c r="E1907" s="1">
        <v>30.78</v>
      </c>
      <c r="F1907" s="1">
        <v>5</v>
      </c>
      <c r="G1907" s="1">
        <v>153.9</v>
      </c>
      <c r="H1907" s="1" t="s">
        <v>333</v>
      </c>
    </row>
    <row r="1908" spans="1:8" x14ac:dyDescent="0.35">
      <c r="A1908" s="2">
        <v>45446.408333333333</v>
      </c>
      <c r="B1908" s="3">
        <v>0.98929398148148151</v>
      </c>
      <c r="C1908" s="1" t="s">
        <v>14</v>
      </c>
      <c r="D1908" s="1" t="s">
        <v>20</v>
      </c>
      <c r="E1908" s="1">
        <v>354.09</v>
      </c>
      <c r="F1908" s="1">
        <v>5</v>
      </c>
      <c r="G1908" s="1">
        <v>1770.45</v>
      </c>
      <c r="H1908" s="1" t="s">
        <v>314</v>
      </c>
    </row>
    <row r="1909" spans="1:8" x14ac:dyDescent="0.35">
      <c r="A1909" s="2">
        <v>45387.380555555559</v>
      </c>
      <c r="B1909" s="3">
        <v>0.36321759259259262</v>
      </c>
      <c r="C1909" s="1" t="s">
        <v>11</v>
      </c>
      <c r="D1909" s="1" t="s">
        <v>9</v>
      </c>
      <c r="E1909" s="1">
        <v>75.510000000000005</v>
      </c>
      <c r="F1909" s="1">
        <v>4</v>
      </c>
      <c r="G1909" s="1">
        <v>302.04000000000002</v>
      </c>
      <c r="H1909" s="1" t="s">
        <v>49</v>
      </c>
    </row>
    <row r="1910" spans="1:8" x14ac:dyDescent="0.35">
      <c r="A1910" s="2">
        <v>45356.495833333334</v>
      </c>
      <c r="B1910" s="3">
        <v>2.2395833333333334E-2</v>
      </c>
      <c r="C1910" s="1" t="s">
        <v>11</v>
      </c>
      <c r="D1910" s="1" t="s">
        <v>12</v>
      </c>
      <c r="E1910" s="1">
        <v>143.13999999999999</v>
      </c>
      <c r="F1910" s="1">
        <v>2</v>
      </c>
      <c r="G1910" s="1">
        <v>286.27999999999997</v>
      </c>
      <c r="H1910" s="1" t="s">
        <v>61</v>
      </c>
    </row>
    <row r="1911" spans="1:8" x14ac:dyDescent="0.35">
      <c r="A1911" s="2">
        <v>45488.280555555553</v>
      </c>
      <c r="B1911" s="3">
        <v>0.45567129629629632</v>
      </c>
      <c r="C1911" s="1" t="s">
        <v>11</v>
      </c>
      <c r="D1911" s="1" t="s">
        <v>27</v>
      </c>
      <c r="E1911" s="1">
        <v>421.65</v>
      </c>
      <c r="F1911" s="1">
        <v>1</v>
      </c>
      <c r="G1911" s="1">
        <v>421.65</v>
      </c>
      <c r="H1911" s="1" t="s">
        <v>269</v>
      </c>
    </row>
    <row r="1912" spans="1:8" x14ac:dyDescent="0.35">
      <c r="A1912" s="2">
        <v>45292.243055555555</v>
      </c>
      <c r="B1912" s="3">
        <v>3.1678240740740743E-2</v>
      </c>
      <c r="C1912" s="1" t="s">
        <v>14</v>
      </c>
      <c r="D1912" s="1" t="s">
        <v>20</v>
      </c>
      <c r="E1912" s="1">
        <v>29.31</v>
      </c>
      <c r="F1912" s="1">
        <v>5</v>
      </c>
      <c r="G1912" s="1">
        <v>146.55000000000001</v>
      </c>
      <c r="H1912" s="1" t="s">
        <v>121</v>
      </c>
    </row>
    <row r="1913" spans="1:8" x14ac:dyDescent="0.35">
      <c r="A1913" s="2">
        <v>45463.182638888888</v>
      </c>
      <c r="B1913" s="3">
        <v>0.92877314814814815</v>
      </c>
      <c r="C1913" s="1" t="s">
        <v>11</v>
      </c>
      <c r="D1913" s="1" t="s">
        <v>20</v>
      </c>
      <c r="E1913" s="1">
        <v>173.13</v>
      </c>
      <c r="F1913" s="1">
        <v>4</v>
      </c>
      <c r="G1913" s="1">
        <v>692.52</v>
      </c>
      <c r="H1913" s="1" t="s">
        <v>72</v>
      </c>
    </row>
    <row r="1914" spans="1:8" x14ac:dyDescent="0.35">
      <c r="A1914" s="2">
        <v>45081.478472222225</v>
      </c>
      <c r="B1914" s="3">
        <v>0.93141203703703701</v>
      </c>
      <c r="C1914" s="1" t="s">
        <v>11</v>
      </c>
      <c r="D1914" s="1" t="s">
        <v>12</v>
      </c>
      <c r="E1914" s="1">
        <v>227.28</v>
      </c>
      <c r="F1914" s="1">
        <v>4</v>
      </c>
      <c r="G1914" s="1">
        <v>909.12</v>
      </c>
      <c r="H1914" s="1" t="s">
        <v>124</v>
      </c>
    </row>
    <row r="1915" spans="1:8" x14ac:dyDescent="0.35">
      <c r="A1915" s="2">
        <v>44975.134722222225</v>
      </c>
      <c r="B1915" s="3">
        <v>0.85585648148148152</v>
      </c>
      <c r="C1915" s="1" t="s">
        <v>14</v>
      </c>
      <c r="D1915" s="1" t="s">
        <v>12</v>
      </c>
      <c r="E1915" s="1">
        <v>249.64</v>
      </c>
      <c r="F1915" s="1">
        <v>5</v>
      </c>
      <c r="G1915" s="1">
        <v>1248.2</v>
      </c>
      <c r="H1915" s="1" t="s">
        <v>274</v>
      </c>
    </row>
    <row r="1916" spans="1:8" x14ac:dyDescent="0.35">
      <c r="A1916" s="2">
        <v>44945.847916666666</v>
      </c>
      <c r="B1916" s="3">
        <v>0.67874999999999996</v>
      </c>
      <c r="C1916" s="1" t="s">
        <v>14</v>
      </c>
      <c r="D1916" s="1" t="s">
        <v>12</v>
      </c>
      <c r="E1916" s="1">
        <v>437.59</v>
      </c>
      <c r="F1916" s="1">
        <v>4</v>
      </c>
      <c r="G1916" s="1">
        <v>1750.36</v>
      </c>
      <c r="H1916" s="1" t="s">
        <v>342</v>
      </c>
    </row>
    <row r="1917" spans="1:8" x14ac:dyDescent="0.35">
      <c r="A1917" s="2">
        <v>45126.934027777781</v>
      </c>
      <c r="B1917" s="3">
        <v>0.79309027777777785</v>
      </c>
      <c r="C1917" s="1" t="s">
        <v>14</v>
      </c>
      <c r="D1917" s="1" t="s">
        <v>20</v>
      </c>
      <c r="E1917" s="1">
        <v>118.55</v>
      </c>
      <c r="F1917" s="1">
        <v>3</v>
      </c>
      <c r="G1917" s="1">
        <v>355.65</v>
      </c>
      <c r="H1917" s="1" t="s">
        <v>39</v>
      </c>
    </row>
    <row r="1918" spans="1:8" x14ac:dyDescent="0.35">
      <c r="A1918" s="2">
        <v>45591.191666666666</v>
      </c>
      <c r="B1918" s="3">
        <v>5.6504629629629627E-2</v>
      </c>
      <c r="C1918" s="1" t="s">
        <v>14</v>
      </c>
      <c r="D1918" s="1" t="s">
        <v>16</v>
      </c>
      <c r="E1918" s="1">
        <v>244.6</v>
      </c>
      <c r="F1918" s="1">
        <v>4</v>
      </c>
      <c r="G1918" s="1">
        <v>978.4</v>
      </c>
      <c r="H1918" s="1" t="s">
        <v>33</v>
      </c>
    </row>
    <row r="1919" spans="1:8" x14ac:dyDescent="0.35">
      <c r="A1919" s="2">
        <v>45511.751388888886</v>
      </c>
      <c r="B1919" s="3">
        <v>0.96559027777777784</v>
      </c>
      <c r="C1919" s="1" t="s">
        <v>14</v>
      </c>
      <c r="D1919" s="1" t="s">
        <v>20</v>
      </c>
      <c r="E1919" s="1">
        <v>366.59</v>
      </c>
      <c r="F1919" s="1">
        <v>2</v>
      </c>
      <c r="G1919" s="1">
        <v>733.18</v>
      </c>
      <c r="H1919" s="1" t="s">
        <v>172</v>
      </c>
    </row>
    <row r="1920" spans="1:8" x14ac:dyDescent="0.35">
      <c r="A1920" s="2">
        <v>45434.974999999999</v>
      </c>
      <c r="B1920" s="3">
        <v>0.54137731481481477</v>
      </c>
      <c r="C1920" s="1" t="s">
        <v>8</v>
      </c>
      <c r="D1920" s="1" t="s">
        <v>16</v>
      </c>
      <c r="E1920" s="1">
        <v>475.88</v>
      </c>
      <c r="F1920" s="1">
        <v>3</v>
      </c>
      <c r="G1920" s="1">
        <v>1427.64</v>
      </c>
      <c r="H1920" s="1" t="s">
        <v>237</v>
      </c>
    </row>
    <row r="1921" spans="1:8" x14ac:dyDescent="0.35">
      <c r="A1921" s="2">
        <v>44963.924305555556</v>
      </c>
      <c r="B1921" s="3">
        <v>0.57754629629629628</v>
      </c>
      <c r="C1921" s="1" t="s">
        <v>8</v>
      </c>
      <c r="D1921" s="1" t="s">
        <v>16</v>
      </c>
      <c r="E1921" s="1">
        <v>366.68</v>
      </c>
      <c r="F1921" s="1">
        <v>2</v>
      </c>
      <c r="G1921" s="1">
        <v>733.36</v>
      </c>
      <c r="H1921" s="1" t="s">
        <v>65</v>
      </c>
    </row>
    <row r="1922" spans="1:8" x14ac:dyDescent="0.35">
      <c r="A1922" s="2">
        <v>45658.036805555559</v>
      </c>
      <c r="B1922" s="3">
        <v>0.36328703703703707</v>
      </c>
      <c r="C1922" s="1" t="s">
        <v>8</v>
      </c>
      <c r="D1922" s="1" t="s">
        <v>27</v>
      </c>
      <c r="E1922" s="1">
        <v>322.32</v>
      </c>
      <c r="F1922" s="1">
        <v>3</v>
      </c>
      <c r="G1922" s="1">
        <v>966.96</v>
      </c>
      <c r="H1922" s="1" t="s">
        <v>271</v>
      </c>
    </row>
    <row r="1923" spans="1:8" x14ac:dyDescent="0.35">
      <c r="A1923" s="2">
        <v>45122.908333333333</v>
      </c>
      <c r="B1923" s="3">
        <v>0.29112268518518519</v>
      </c>
      <c r="C1923" s="1" t="s">
        <v>11</v>
      </c>
      <c r="D1923" s="1" t="s">
        <v>27</v>
      </c>
      <c r="E1923" s="1">
        <v>278</v>
      </c>
      <c r="F1923" s="1">
        <v>5</v>
      </c>
      <c r="G1923" s="1">
        <v>1390</v>
      </c>
      <c r="H1923" s="1" t="s">
        <v>282</v>
      </c>
    </row>
    <row r="1924" spans="1:8" x14ac:dyDescent="0.35">
      <c r="A1924" s="2">
        <v>45413.199305555558</v>
      </c>
      <c r="B1924" s="3">
        <v>0.9660185185185185</v>
      </c>
      <c r="C1924" s="1" t="s">
        <v>14</v>
      </c>
      <c r="D1924" s="1" t="s">
        <v>27</v>
      </c>
      <c r="E1924" s="1">
        <v>426.9</v>
      </c>
      <c r="F1924" s="1">
        <v>3</v>
      </c>
      <c r="G1924" s="1">
        <v>1280.7</v>
      </c>
      <c r="H1924" s="1" t="s">
        <v>132</v>
      </c>
    </row>
    <row r="1925" spans="1:8" x14ac:dyDescent="0.35">
      <c r="A1925" s="2">
        <v>45300.835416666669</v>
      </c>
      <c r="B1925" s="3">
        <v>0.86273148148148149</v>
      </c>
      <c r="C1925" s="1" t="s">
        <v>11</v>
      </c>
      <c r="D1925" s="1" t="s">
        <v>20</v>
      </c>
      <c r="E1925" s="1">
        <v>187.36</v>
      </c>
      <c r="F1925" s="1">
        <v>5</v>
      </c>
      <c r="G1925" s="1">
        <v>936.8</v>
      </c>
      <c r="H1925" s="1" t="s">
        <v>250</v>
      </c>
    </row>
    <row r="1926" spans="1:8" x14ac:dyDescent="0.35">
      <c r="A1926" s="2">
        <v>45366.538194444445</v>
      </c>
      <c r="B1926" s="3">
        <v>0.5869212962962963</v>
      </c>
      <c r="C1926" s="1" t="s">
        <v>8</v>
      </c>
      <c r="D1926" s="1" t="s">
        <v>20</v>
      </c>
      <c r="E1926" s="1">
        <v>272.58999999999997</v>
      </c>
      <c r="F1926" s="1">
        <v>2</v>
      </c>
      <c r="G1926" s="1">
        <v>545.17999999999995</v>
      </c>
      <c r="H1926" s="1" t="s">
        <v>43</v>
      </c>
    </row>
    <row r="1927" spans="1:8" x14ac:dyDescent="0.35">
      <c r="A1927" s="2">
        <v>45441.810416666667</v>
      </c>
      <c r="B1927" s="3">
        <v>0.76333333333333331</v>
      </c>
      <c r="C1927" s="1" t="s">
        <v>11</v>
      </c>
      <c r="D1927" s="1" t="s">
        <v>16</v>
      </c>
      <c r="E1927" s="1">
        <v>162.16999999999999</v>
      </c>
      <c r="F1927" s="1">
        <v>3</v>
      </c>
      <c r="G1927" s="1">
        <v>486.51</v>
      </c>
      <c r="H1927" s="1" t="s">
        <v>186</v>
      </c>
    </row>
    <row r="1928" spans="1:8" x14ac:dyDescent="0.35">
      <c r="A1928" s="2">
        <v>45534.423611111109</v>
      </c>
      <c r="B1928" s="3">
        <v>0.4808101851851852</v>
      </c>
      <c r="C1928" s="1" t="s">
        <v>11</v>
      </c>
      <c r="D1928" s="1" t="s">
        <v>27</v>
      </c>
      <c r="E1928" s="1">
        <v>38.89</v>
      </c>
      <c r="F1928" s="1">
        <v>1</v>
      </c>
      <c r="G1928" s="1">
        <v>38.89</v>
      </c>
      <c r="H1928" s="1" t="s">
        <v>276</v>
      </c>
    </row>
    <row r="1929" spans="1:8" x14ac:dyDescent="0.35">
      <c r="A1929" s="2">
        <v>44988.24722222222</v>
      </c>
      <c r="B1929" s="3">
        <v>0.5385416666666667</v>
      </c>
      <c r="C1929" s="1" t="s">
        <v>8</v>
      </c>
      <c r="D1929" s="1" t="s">
        <v>9</v>
      </c>
      <c r="E1929" s="1">
        <v>222.12</v>
      </c>
      <c r="F1929" s="1">
        <v>5</v>
      </c>
      <c r="G1929" s="1">
        <v>1110.5999999999999</v>
      </c>
      <c r="H1929" s="1" t="s">
        <v>65</v>
      </c>
    </row>
    <row r="1930" spans="1:8" x14ac:dyDescent="0.35">
      <c r="A1930" s="2">
        <v>45418.821527777778</v>
      </c>
      <c r="B1930" s="3">
        <v>0.63005787037037042</v>
      </c>
      <c r="C1930" s="1" t="s">
        <v>11</v>
      </c>
      <c r="D1930" s="1" t="s">
        <v>20</v>
      </c>
      <c r="E1930" s="1">
        <v>136.04</v>
      </c>
      <c r="F1930" s="1">
        <v>4</v>
      </c>
      <c r="G1930" s="1">
        <v>544.16</v>
      </c>
      <c r="H1930" s="1" t="s">
        <v>44</v>
      </c>
    </row>
    <row r="1931" spans="1:8" x14ac:dyDescent="0.35">
      <c r="A1931" s="2">
        <v>45095.45416666667</v>
      </c>
      <c r="B1931" s="3">
        <v>0.15972222222222224</v>
      </c>
      <c r="C1931" s="1" t="s">
        <v>14</v>
      </c>
      <c r="D1931" s="1" t="s">
        <v>27</v>
      </c>
      <c r="E1931" s="1">
        <v>397.69</v>
      </c>
      <c r="F1931" s="1">
        <v>1</v>
      </c>
      <c r="G1931" s="1">
        <v>397.69</v>
      </c>
      <c r="H1931" s="1" t="s">
        <v>168</v>
      </c>
    </row>
    <row r="1932" spans="1:8" x14ac:dyDescent="0.35">
      <c r="A1932" s="2">
        <v>45538.178472222222</v>
      </c>
      <c r="B1932" s="3">
        <v>0.16837962962962963</v>
      </c>
      <c r="C1932" s="1" t="s">
        <v>8</v>
      </c>
      <c r="D1932" s="1" t="s">
        <v>16</v>
      </c>
      <c r="E1932" s="1">
        <v>397.86</v>
      </c>
      <c r="F1932" s="1">
        <v>4</v>
      </c>
      <c r="G1932" s="1">
        <v>1591.44</v>
      </c>
      <c r="H1932" s="1" t="s">
        <v>191</v>
      </c>
    </row>
    <row r="1933" spans="1:8" x14ac:dyDescent="0.35">
      <c r="A1933" s="2">
        <v>45547.392361111109</v>
      </c>
      <c r="B1933" s="3">
        <v>0.77081018518518529</v>
      </c>
      <c r="C1933" s="1" t="s">
        <v>8</v>
      </c>
      <c r="D1933" s="1" t="s">
        <v>9</v>
      </c>
      <c r="E1933" s="1">
        <v>14.13</v>
      </c>
      <c r="F1933" s="1">
        <v>1</v>
      </c>
      <c r="G1933" s="1">
        <v>14.13</v>
      </c>
      <c r="H1933" s="1" t="s">
        <v>272</v>
      </c>
    </row>
    <row r="1934" spans="1:8" x14ac:dyDescent="0.35">
      <c r="A1934" s="2">
        <v>45114.209027777775</v>
      </c>
      <c r="B1934" s="3">
        <v>0.88177083333333339</v>
      </c>
      <c r="C1934" s="1" t="s">
        <v>11</v>
      </c>
      <c r="D1934" s="1" t="s">
        <v>20</v>
      </c>
      <c r="E1934" s="1">
        <v>161.05000000000001</v>
      </c>
      <c r="F1934" s="1">
        <v>4</v>
      </c>
      <c r="G1934" s="1">
        <v>644.20000000000005</v>
      </c>
      <c r="H1934" s="1" t="s">
        <v>115</v>
      </c>
    </row>
    <row r="1935" spans="1:8" x14ac:dyDescent="0.35">
      <c r="A1935" s="2">
        <v>45547.561111111114</v>
      </c>
      <c r="B1935" s="3">
        <v>0.77824074074074068</v>
      </c>
      <c r="C1935" s="1" t="s">
        <v>11</v>
      </c>
      <c r="D1935" s="1" t="s">
        <v>20</v>
      </c>
      <c r="E1935" s="1">
        <v>484.51</v>
      </c>
      <c r="F1935" s="1">
        <v>3</v>
      </c>
      <c r="G1935" s="1">
        <v>1453.53</v>
      </c>
      <c r="H1935" s="1" t="s">
        <v>271</v>
      </c>
    </row>
    <row r="1936" spans="1:8" x14ac:dyDescent="0.35">
      <c r="A1936" s="2">
        <v>45272.929861111108</v>
      </c>
      <c r="B1936" s="3">
        <v>0.31513888888888891</v>
      </c>
      <c r="C1936" s="1" t="s">
        <v>11</v>
      </c>
      <c r="D1936" s="1" t="s">
        <v>16</v>
      </c>
      <c r="E1936" s="1">
        <v>438.52</v>
      </c>
      <c r="F1936" s="1">
        <v>4</v>
      </c>
      <c r="G1936" s="1">
        <v>1754.08</v>
      </c>
      <c r="H1936" s="1" t="s">
        <v>406</v>
      </c>
    </row>
    <row r="1937" spans="1:8" x14ac:dyDescent="0.35">
      <c r="A1937" s="2">
        <v>44988.838888888888</v>
      </c>
      <c r="B1937" s="3">
        <v>0.3228935185185185</v>
      </c>
      <c r="C1937" s="1" t="s">
        <v>8</v>
      </c>
      <c r="D1937" s="1" t="s">
        <v>27</v>
      </c>
      <c r="E1937" s="1">
        <v>29.98</v>
      </c>
      <c r="F1937" s="1">
        <v>3</v>
      </c>
      <c r="G1937" s="1">
        <v>89.94</v>
      </c>
      <c r="H1937" s="1" t="s">
        <v>87</v>
      </c>
    </row>
    <row r="1938" spans="1:8" x14ac:dyDescent="0.35">
      <c r="A1938" s="2">
        <v>44968.374305555553</v>
      </c>
      <c r="B1938" s="3">
        <v>0.83418981481481491</v>
      </c>
      <c r="C1938" s="1" t="s">
        <v>11</v>
      </c>
      <c r="D1938" s="1" t="s">
        <v>20</v>
      </c>
      <c r="E1938" s="1">
        <v>479.76</v>
      </c>
      <c r="F1938" s="1">
        <v>3</v>
      </c>
      <c r="G1938" s="1">
        <v>1439.28</v>
      </c>
      <c r="H1938" s="1" t="s">
        <v>78</v>
      </c>
    </row>
    <row r="1939" spans="1:8" x14ac:dyDescent="0.35">
      <c r="A1939" s="2">
        <v>45091.682638888888</v>
      </c>
      <c r="B1939" s="3">
        <v>0.15714120370370369</v>
      </c>
      <c r="C1939" s="1" t="s">
        <v>8</v>
      </c>
      <c r="D1939" s="1" t="s">
        <v>27</v>
      </c>
      <c r="E1939" s="1">
        <v>63.73</v>
      </c>
      <c r="F1939" s="1">
        <v>1</v>
      </c>
      <c r="G1939" s="1">
        <v>63.73</v>
      </c>
      <c r="H1939" s="1" t="s">
        <v>356</v>
      </c>
    </row>
    <row r="1940" spans="1:8" x14ac:dyDescent="0.35">
      <c r="A1940" s="2">
        <v>45591.772222222222</v>
      </c>
      <c r="B1940" s="3">
        <v>0.66796296296296298</v>
      </c>
      <c r="C1940" s="1" t="s">
        <v>11</v>
      </c>
      <c r="D1940" s="1" t="s">
        <v>16</v>
      </c>
      <c r="E1940" s="1">
        <v>51.9</v>
      </c>
      <c r="F1940" s="1">
        <v>1</v>
      </c>
      <c r="G1940" s="1">
        <v>51.9</v>
      </c>
      <c r="H1940" s="1" t="s">
        <v>83</v>
      </c>
    </row>
    <row r="1941" spans="1:8" x14ac:dyDescent="0.35">
      <c r="A1941" s="2">
        <v>45170.968055555553</v>
      </c>
      <c r="B1941" s="3">
        <v>0.64027777777777783</v>
      </c>
      <c r="C1941" s="1" t="s">
        <v>14</v>
      </c>
      <c r="D1941" s="1" t="s">
        <v>20</v>
      </c>
      <c r="E1941" s="1">
        <v>457.39</v>
      </c>
      <c r="F1941" s="1">
        <v>2</v>
      </c>
      <c r="G1941" s="1">
        <v>914.78</v>
      </c>
      <c r="H1941" s="1" t="s">
        <v>188</v>
      </c>
    </row>
    <row r="1942" spans="1:8" x14ac:dyDescent="0.35">
      <c r="A1942" s="2">
        <v>45236.799305555556</v>
      </c>
      <c r="B1942" s="3">
        <v>1.877314814814815E-2</v>
      </c>
      <c r="C1942" s="1" t="s">
        <v>8</v>
      </c>
      <c r="D1942" s="1" t="s">
        <v>16</v>
      </c>
      <c r="E1942" s="1">
        <v>351.96</v>
      </c>
      <c r="F1942" s="1">
        <v>5</v>
      </c>
      <c r="G1942" s="1">
        <v>1759.8</v>
      </c>
      <c r="H1942" s="1" t="s">
        <v>300</v>
      </c>
    </row>
    <row r="1943" spans="1:8" x14ac:dyDescent="0.35">
      <c r="A1943" s="2">
        <v>45228.083333333336</v>
      </c>
      <c r="B1943" s="3">
        <v>6.168981481481481E-3</v>
      </c>
      <c r="C1943" s="1" t="s">
        <v>11</v>
      </c>
      <c r="D1943" s="1" t="s">
        <v>9</v>
      </c>
      <c r="E1943" s="1">
        <v>153.51</v>
      </c>
      <c r="F1943" s="1">
        <v>2</v>
      </c>
      <c r="G1943" s="1">
        <v>307.02</v>
      </c>
      <c r="H1943" s="1" t="s">
        <v>305</v>
      </c>
    </row>
    <row r="1944" spans="1:8" x14ac:dyDescent="0.35">
      <c r="A1944" s="2">
        <v>45655.564583333333</v>
      </c>
      <c r="B1944" s="3">
        <v>0.76372685185185185</v>
      </c>
      <c r="C1944" s="1" t="s">
        <v>11</v>
      </c>
      <c r="D1944" s="1" t="s">
        <v>27</v>
      </c>
      <c r="E1944" s="1">
        <v>362.89</v>
      </c>
      <c r="F1944" s="1">
        <v>3</v>
      </c>
      <c r="G1944" s="1">
        <v>1088.67</v>
      </c>
      <c r="H1944" s="1" t="s">
        <v>188</v>
      </c>
    </row>
    <row r="1945" spans="1:8" x14ac:dyDescent="0.35">
      <c r="A1945" s="2">
        <v>45071.538888888892</v>
      </c>
      <c r="B1945" s="3">
        <v>0.80003472222222216</v>
      </c>
      <c r="C1945" s="1" t="s">
        <v>8</v>
      </c>
      <c r="D1945" s="1" t="s">
        <v>12</v>
      </c>
      <c r="E1945" s="1">
        <v>48.41</v>
      </c>
      <c r="F1945" s="1">
        <v>5</v>
      </c>
      <c r="G1945" s="1">
        <v>242.05</v>
      </c>
      <c r="H1945" s="1" t="s">
        <v>333</v>
      </c>
    </row>
    <row r="1946" spans="1:8" x14ac:dyDescent="0.35">
      <c r="A1946" s="2">
        <v>45615.359027777777</v>
      </c>
      <c r="B1946" s="3">
        <v>0.76582175925925933</v>
      </c>
      <c r="C1946" s="1" t="s">
        <v>14</v>
      </c>
      <c r="D1946" s="1" t="s">
        <v>16</v>
      </c>
      <c r="E1946" s="1">
        <v>121.7</v>
      </c>
      <c r="F1946" s="1">
        <v>4</v>
      </c>
      <c r="G1946" s="1">
        <v>486.8</v>
      </c>
      <c r="H1946" s="1" t="s">
        <v>30</v>
      </c>
    </row>
    <row r="1947" spans="1:8" x14ac:dyDescent="0.35">
      <c r="A1947" s="2">
        <v>45637.333333333336</v>
      </c>
      <c r="B1947" s="3">
        <v>0.83646990740740745</v>
      </c>
      <c r="C1947" s="1" t="s">
        <v>14</v>
      </c>
      <c r="D1947" s="1" t="s">
        <v>9</v>
      </c>
      <c r="E1947" s="1">
        <v>185.31</v>
      </c>
      <c r="F1947" s="1">
        <v>1</v>
      </c>
      <c r="G1947" s="1">
        <v>185.31</v>
      </c>
      <c r="H1947" s="1" t="s">
        <v>128</v>
      </c>
    </row>
    <row r="1948" spans="1:8" x14ac:dyDescent="0.35">
      <c r="A1948" s="2">
        <v>45140.732638888891</v>
      </c>
      <c r="B1948" s="3">
        <v>0.46696759259259263</v>
      </c>
      <c r="C1948" s="1" t="s">
        <v>11</v>
      </c>
      <c r="D1948" s="1" t="s">
        <v>16</v>
      </c>
      <c r="E1948" s="1">
        <v>406.4</v>
      </c>
      <c r="F1948" s="1">
        <v>1</v>
      </c>
      <c r="G1948" s="1">
        <v>406.4</v>
      </c>
      <c r="H1948" s="1" t="s">
        <v>389</v>
      </c>
    </row>
    <row r="1949" spans="1:8" x14ac:dyDescent="0.35">
      <c r="A1949" s="2">
        <v>45002.831944444442</v>
      </c>
      <c r="B1949" s="3">
        <v>0.86571759259259251</v>
      </c>
      <c r="C1949" s="1" t="s">
        <v>14</v>
      </c>
      <c r="D1949" s="1" t="s">
        <v>16</v>
      </c>
      <c r="E1949" s="1">
        <v>117.22</v>
      </c>
      <c r="F1949" s="1">
        <v>4</v>
      </c>
      <c r="G1949" s="1">
        <v>468.88</v>
      </c>
      <c r="H1949" s="1" t="s">
        <v>281</v>
      </c>
    </row>
    <row r="1950" spans="1:8" x14ac:dyDescent="0.35">
      <c r="A1950" s="2">
        <v>45190.37222222222</v>
      </c>
      <c r="B1950" s="3">
        <v>0.60420138888888886</v>
      </c>
      <c r="C1950" s="1" t="s">
        <v>8</v>
      </c>
      <c r="D1950" s="1" t="s">
        <v>20</v>
      </c>
      <c r="E1950" s="1">
        <v>191.35</v>
      </c>
      <c r="F1950" s="1">
        <v>3</v>
      </c>
      <c r="G1950" s="1">
        <v>574.04999999999995</v>
      </c>
      <c r="H1950" s="1" t="s">
        <v>154</v>
      </c>
    </row>
    <row r="1951" spans="1:8" x14ac:dyDescent="0.35">
      <c r="A1951" s="2">
        <v>45497.90347222222</v>
      </c>
      <c r="B1951" s="3">
        <v>0.12353009259259258</v>
      </c>
      <c r="C1951" s="1" t="s">
        <v>11</v>
      </c>
      <c r="D1951" s="1" t="s">
        <v>27</v>
      </c>
      <c r="E1951" s="1">
        <v>163.99</v>
      </c>
      <c r="F1951" s="1">
        <v>5</v>
      </c>
      <c r="G1951" s="1">
        <v>819.95</v>
      </c>
      <c r="H1951" s="1" t="s">
        <v>198</v>
      </c>
    </row>
    <row r="1952" spans="1:8" x14ac:dyDescent="0.35">
      <c r="A1952" s="2">
        <v>45003.756944444445</v>
      </c>
      <c r="B1952" s="3">
        <v>2.8865740740740744E-2</v>
      </c>
      <c r="C1952" s="1" t="s">
        <v>14</v>
      </c>
      <c r="D1952" s="1" t="s">
        <v>12</v>
      </c>
      <c r="E1952" s="1">
        <v>141.97999999999999</v>
      </c>
      <c r="F1952" s="1">
        <v>4</v>
      </c>
      <c r="G1952" s="1">
        <v>567.91999999999996</v>
      </c>
      <c r="H1952" s="1" t="s">
        <v>197</v>
      </c>
    </row>
    <row r="1953" spans="1:8" x14ac:dyDescent="0.35">
      <c r="A1953" s="2">
        <v>45524.834722222222</v>
      </c>
      <c r="B1953" s="3">
        <v>0.93247685185185192</v>
      </c>
      <c r="C1953" s="1" t="s">
        <v>8</v>
      </c>
      <c r="D1953" s="1" t="s">
        <v>9</v>
      </c>
      <c r="E1953" s="1">
        <v>358.94</v>
      </c>
      <c r="F1953" s="1">
        <v>2</v>
      </c>
      <c r="G1953" s="1">
        <v>717.88</v>
      </c>
      <c r="H1953" s="1" t="s">
        <v>215</v>
      </c>
    </row>
    <row r="1954" spans="1:8" x14ac:dyDescent="0.35">
      <c r="A1954" s="2">
        <v>45214.856249999997</v>
      </c>
      <c r="B1954" s="3">
        <v>0.97592592592592586</v>
      </c>
      <c r="C1954" s="1" t="s">
        <v>14</v>
      </c>
      <c r="D1954" s="1" t="s">
        <v>16</v>
      </c>
      <c r="E1954" s="1">
        <v>201.23</v>
      </c>
      <c r="F1954" s="1">
        <v>1</v>
      </c>
      <c r="G1954" s="1">
        <v>201.23</v>
      </c>
      <c r="H1954" s="1" t="s">
        <v>179</v>
      </c>
    </row>
    <row r="1955" spans="1:8" x14ac:dyDescent="0.35">
      <c r="A1955" s="2">
        <v>45141.626388888886</v>
      </c>
      <c r="B1955" s="3">
        <v>5.3680555555555558E-2</v>
      </c>
      <c r="C1955" s="1" t="s">
        <v>11</v>
      </c>
      <c r="D1955" s="1" t="s">
        <v>20</v>
      </c>
      <c r="E1955" s="1">
        <v>311.35000000000002</v>
      </c>
      <c r="F1955" s="1">
        <v>2</v>
      </c>
      <c r="G1955" s="1">
        <v>622.70000000000005</v>
      </c>
      <c r="H1955" s="1" t="s">
        <v>142</v>
      </c>
    </row>
    <row r="1956" spans="1:8" x14ac:dyDescent="0.35">
      <c r="A1956" s="2">
        <v>45064.995138888888</v>
      </c>
      <c r="B1956" s="3">
        <v>0.79540509259259251</v>
      </c>
      <c r="C1956" s="1" t="s">
        <v>14</v>
      </c>
      <c r="D1956" s="1" t="s">
        <v>12</v>
      </c>
      <c r="E1956" s="1">
        <v>461.96</v>
      </c>
      <c r="F1956" s="1">
        <v>4</v>
      </c>
      <c r="G1956" s="1">
        <v>1847.84</v>
      </c>
      <c r="H1956" s="1" t="s">
        <v>400</v>
      </c>
    </row>
    <row r="1957" spans="1:8" x14ac:dyDescent="0.35">
      <c r="A1957" s="2">
        <v>45645.692361111112</v>
      </c>
      <c r="B1957" s="3">
        <v>0.19847222222222224</v>
      </c>
      <c r="C1957" s="1" t="s">
        <v>8</v>
      </c>
      <c r="D1957" s="1" t="s">
        <v>27</v>
      </c>
      <c r="E1957" s="1">
        <v>391.49</v>
      </c>
      <c r="F1957" s="1">
        <v>3</v>
      </c>
      <c r="G1957" s="1">
        <v>1174.47</v>
      </c>
      <c r="H1957" s="1" t="s">
        <v>327</v>
      </c>
    </row>
    <row r="1958" spans="1:8" x14ac:dyDescent="0.35">
      <c r="A1958" s="2">
        <v>45192.729166666664</v>
      </c>
      <c r="B1958" s="3">
        <v>0.19495370370370368</v>
      </c>
      <c r="C1958" s="1" t="s">
        <v>11</v>
      </c>
      <c r="D1958" s="1" t="s">
        <v>27</v>
      </c>
      <c r="E1958" s="1">
        <v>434.84</v>
      </c>
      <c r="F1958" s="1">
        <v>4</v>
      </c>
      <c r="G1958" s="1">
        <v>1739.36</v>
      </c>
      <c r="H1958" s="1" t="s">
        <v>241</v>
      </c>
    </row>
    <row r="1959" spans="1:8" x14ac:dyDescent="0.35">
      <c r="A1959" s="2">
        <v>45240.094444444447</v>
      </c>
      <c r="B1959" s="3">
        <v>0.12869212962962964</v>
      </c>
      <c r="C1959" s="1" t="s">
        <v>11</v>
      </c>
      <c r="D1959" s="1" t="s">
        <v>12</v>
      </c>
      <c r="E1959" s="1">
        <v>330.38</v>
      </c>
      <c r="F1959" s="1">
        <v>3</v>
      </c>
      <c r="G1959" s="1">
        <v>991.14</v>
      </c>
      <c r="H1959" s="1" t="s">
        <v>231</v>
      </c>
    </row>
    <row r="1960" spans="1:8" x14ac:dyDescent="0.35">
      <c r="A1960" s="2">
        <v>44982.254166666666</v>
      </c>
      <c r="B1960" s="3">
        <v>0.53285879629629629</v>
      </c>
      <c r="C1960" s="1" t="s">
        <v>14</v>
      </c>
      <c r="D1960" s="1" t="s">
        <v>16</v>
      </c>
      <c r="E1960" s="1">
        <v>172.83</v>
      </c>
      <c r="F1960" s="1">
        <v>3</v>
      </c>
      <c r="G1960" s="1">
        <v>518.49</v>
      </c>
      <c r="H1960" s="1" t="s">
        <v>53</v>
      </c>
    </row>
    <row r="1961" spans="1:8" x14ac:dyDescent="0.35">
      <c r="A1961" s="2">
        <v>45566.340277777781</v>
      </c>
      <c r="B1961" s="3">
        <v>0.93915509259259267</v>
      </c>
      <c r="C1961" s="1" t="s">
        <v>8</v>
      </c>
      <c r="D1961" s="1" t="s">
        <v>20</v>
      </c>
      <c r="E1961" s="1">
        <v>29.97</v>
      </c>
      <c r="F1961" s="1">
        <v>5</v>
      </c>
      <c r="G1961" s="1">
        <v>149.85</v>
      </c>
      <c r="H1961" s="1" t="s">
        <v>185</v>
      </c>
    </row>
    <row r="1962" spans="1:8" x14ac:dyDescent="0.35">
      <c r="A1962" s="2">
        <v>45306.024305555555</v>
      </c>
      <c r="B1962" s="3">
        <v>0.87230324074074073</v>
      </c>
      <c r="C1962" s="1" t="s">
        <v>11</v>
      </c>
      <c r="D1962" s="1" t="s">
        <v>27</v>
      </c>
      <c r="E1962" s="1">
        <v>194.81</v>
      </c>
      <c r="F1962" s="1">
        <v>4</v>
      </c>
      <c r="G1962" s="1">
        <v>779.24</v>
      </c>
      <c r="H1962" s="1" t="s">
        <v>106</v>
      </c>
    </row>
    <row r="1963" spans="1:8" x14ac:dyDescent="0.35">
      <c r="A1963" s="2">
        <v>45448.786805555559</v>
      </c>
      <c r="B1963" s="3">
        <v>0.98922453703703705</v>
      </c>
      <c r="C1963" s="1" t="s">
        <v>11</v>
      </c>
      <c r="D1963" s="1" t="s">
        <v>9</v>
      </c>
      <c r="E1963" s="1">
        <v>39.76</v>
      </c>
      <c r="F1963" s="1">
        <v>5</v>
      </c>
      <c r="G1963" s="1">
        <v>198.8</v>
      </c>
      <c r="H1963" s="1" t="s">
        <v>328</v>
      </c>
    </row>
    <row r="1964" spans="1:8" x14ac:dyDescent="0.35">
      <c r="A1964" s="2">
        <v>45251.897222222222</v>
      </c>
      <c r="B1964" s="3">
        <v>0.81269675925925933</v>
      </c>
      <c r="C1964" s="1" t="s">
        <v>14</v>
      </c>
      <c r="D1964" s="1" t="s">
        <v>27</v>
      </c>
      <c r="E1964" s="1">
        <v>259.38</v>
      </c>
      <c r="F1964" s="1">
        <v>2</v>
      </c>
      <c r="G1964" s="1">
        <v>518.76</v>
      </c>
      <c r="H1964" s="1" t="s">
        <v>305</v>
      </c>
    </row>
    <row r="1965" spans="1:8" x14ac:dyDescent="0.35">
      <c r="A1965" s="2">
        <v>45298.822916666664</v>
      </c>
      <c r="B1965" s="3">
        <v>0.75436342592592587</v>
      </c>
      <c r="C1965" s="1" t="s">
        <v>11</v>
      </c>
      <c r="D1965" s="1" t="s">
        <v>9</v>
      </c>
      <c r="E1965" s="1">
        <v>261.68</v>
      </c>
      <c r="F1965" s="1">
        <v>5</v>
      </c>
      <c r="G1965" s="1">
        <v>1308.4000000000001</v>
      </c>
      <c r="H1965" s="1" t="s">
        <v>198</v>
      </c>
    </row>
    <row r="1966" spans="1:8" x14ac:dyDescent="0.35">
      <c r="A1966" s="2">
        <v>45601.89166666667</v>
      </c>
      <c r="B1966" s="3">
        <v>0.81607638888888889</v>
      </c>
      <c r="C1966" s="1" t="s">
        <v>11</v>
      </c>
      <c r="D1966" s="1" t="s">
        <v>20</v>
      </c>
      <c r="E1966" s="1">
        <v>199.76</v>
      </c>
      <c r="F1966" s="1">
        <v>1</v>
      </c>
      <c r="G1966" s="1">
        <v>199.76</v>
      </c>
      <c r="H1966" s="1" t="s">
        <v>389</v>
      </c>
    </row>
    <row r="1967" spans="1:8" x14ac:dyDescent="0.35">
      <c r="A1967" s="2">
        <v>45441.88958333333</v>
      </c>
      <c r="B1967" s="3">
        <v>0.61093750000000002</v>
      </c>
      <c r="C1967" s="1" t="s">
        <v>11</v>
      </c>
      <c r="D1967" s="1" t="s">
        <v>27</v>
      </c>
      <c r="E1967" s="1">
        <v>468.52</v>
      </c>
      <c r="F1967" s="1">
        <v>3</v>
      </c>
      <c r="G1967" s="1">
        <v>1405.56</v>
      </c>
      <c r="H1967" s="1" t="s">
        <v>396</v>
      </c>
    </row>
    <row r="1968" spans="1:8" x14ac:dyDescent="0.35">
      <c r="A1968" s="2">
        <v>45048.109722222223</v>
      </c>
      <c r="B1968" s="3">
        <v>0.1111111111111111</v>
      </c>
      <c r="C1968" s="1" t="s">
        <v>14</v>
      </c>
      <c r="D1968" s="1" t="s">
        <v>27</v>
      </c>
      <c r="E1968" s="1">
        <v>37.29</v>
      </c>
      <c r="F1968" s="1">
        <v>4</v>
      </c>
      <c r="G1968" s="1">
        <v>149.16</v>
      </c>
      <c r="H1968" s="1" t="s">
        <v>374</v>
      </c>
    </row>
    <row r="1969" spans="1:8" x14ac:dyDescent="0.35">
      <c r="A1969" s="2">
        <v>45542.204861111109</v>
      </c>
      <c r="B1969" s="3">
        <v>0.39651620370370372</v>
      </c>
      <c r="C1969" s="1" t="s">
        <v>14</v>
      </c>
      <c r="D1969" s="1" t="s">
        <v>27</v>
      </c>
      <c r="E1969" s="1">
        <v>174.61</v>
      </c>
      <c r="F1969" s="1">
        <v>2</v>
      </c>
      <c r="G1969" s="1">
        <v>349.22</v>
      </c>
      <c r="H1969" s="1" t="s">
        <v>85</v>
      </c>
    </row>
    <row r="1970" spans="1:8" x14ac:dyDescent="0.35">
      <c r="A1970" s="2">
        <v>45029.542361111111</v>
      </c>
      <c r="B1970" s="3">
        <v>0.6115856481481482</v>
      </c>
      <c r="C1970" s="1" t="s">
        <v>11</v>
      </c>
      <c r="D1970" s="1" t="s">
        <v>9</v>
      </c>
      <c r="E1970" s="1">
        <v>42.29</v>
      </c>
      <c r="F1970" s="1">
        <v>1</v>
      </c>
      <c r="G1970" s="1">
        <v>42.29</v>
      </c>
      <c r="H1970" s="1" t="s">
        <v>284</v>
      </c>
    </row>
    <row r="1971" spans="1:8" x14ac:dyDescent="0.35">
      <c r="A1971" s="2">
        <v>45139.880555555559</v>
      </c>
      <c r="B1971" s="3">
        <v>0.98633101851851857</v>
      </c>
      <c r="C1971" s="1" t="s">
        <v>11</v>
      </c>
      <c r="D1971" s="1" t="s">
        <v>16</v>
      </c>
      <c r="E1971" s="1">
        <v>143.05000000000001</v>
      </c>
      <c r="F1971" s="1">
        <v>2</v>
      </c>
      <c r="G1971" s="1">
        <v>286.10000000000002</v>
      </c>
      <c r="H1971" s="1" t="s">
        <v>268</v>
      </c>
    </row>
    <row r="1972" spans="1:8" x14ac:dyDescent="0.35">
      <c r="A1972" s="2">
        <v>45204.433333333334</v>
      </c>
      <c r="B1972" s="3">
        <v>0.22643518518518521</v>
      </c>
      <c r="C1972" s="1" t="s">
        <v>14</v>
      </c>
      <c r="D1972" s="1" t="s">
        <v>9</v>
      </c>
      <c r="E1972" s="1">
        <v>172.31</v>
      </c>
      <c r="F1972" s="1">
        <v>3</v>
      </c>
      <c r="G1972" s="1">
        <v>516.92999999999995</v>
      </c>
      <c r="H1972" s="1" t="s">
        <v>111</v>
      </c>
    </row>
    <row r="1973" spans="1:8" x14ac:dyDescent="0.35">
      <c r="A1973" s="2">
        <v>44981.149305555555</v>
      </c>
      <c r="B1973" s="3">
        <v>0.58098379629629626</v>
      </c>
      <c r="C1973" s="1" t="s">
        <v>8</v>
      </c>
      <c r="D1973" s="1" t="s">
        <v>20</v>
      </c>
      <c r="E1973" s="1">
        <v>298.69</v>
      </c>
      <c r="F1973" s="1">
        <v>2</v>
      </c>
      <c r="G1973" s="1">
        <v>597.38</v>
      </c>
      <c r="H1973" s="1" t="s">
        <v>150</v>
      </c>
    </row>
    <row r="1974" spans="1:8" x14ac:dyDescent="0.35">
      <c r="A1974" s="2">
        <v>45394.482638888891</v>
      </c>
      <c r="B1974" s="3">
        <v>0.9096643518518519</v>
      </c>
      <c r="C1974" s="1" t="s">
        <v>11</v>
      </c>
      <c r="D1974" s="1" t="s">
        <v>27</v>
      </c>
      <c r="E1974" s="1">
        <v>435.23</v>
      </c>
      <c r="F1974" s="1">
        <v>5</v>
      </c>
      <c r="G1974" s="1">
        <v>2176.15</v>
      </c>
      <c r="H1974" s="1" t="s">
        <v>78</v>
      </c>
    </row>
    <row r="1975" spans="1:8" x14ac:dyDescent="0.35">
      <c r="A1975" s="2">
        <v>45065.856249999997</v>
      </c>
      <c r="B1975" s="3">
        <v>0.42394675925925923</v>
      </c>
      <c r="C1975" s="1" t="s">
        <v>14</v>
      </c>
      <c r="D1975" s="1" t="s">
        <v>27</v>
      </c>
      <c r="E1975" s="1">
        <v>387.21</v>
      </c>
      <c r="F1975" s="1">
        <v>4</v>
      </c>
      <c r="G1975" s="1">
        <v>1548.84</v>
      </c>
      <c r="H1975" s="1" t="s">
        <v>46</v>
      </c>
    </row>
    <row r="1976" spans="1:8" x14ac:dyDescent="0.35">
      <c r="A1976" s="2">
        <v>45184.002083333333</v>
      </c>
      <c r="B1976" s="3">
        <v>0.58642361111111108</v>
      </c>
      <c r="C1976" s="1" t="s">
        <v>11</v>
      </c>
      <c r="D1976" s="1" t="s">
        <v>16</v>
      </c>
      <c r="E1976" s="1">
        <v>218.15</v>
      </c>
      <c r="F1976" s="1">
        <v>5</v>
      </c>
      <c r="G1976" s="1">
        <v>1090.75</v>
      </c>
      <c r="H1976" s="1" t="s">
        <v>30</v>
      </c>
    </row>
    <row r="1977" spans="1:8" x14ac:dyDescent="0.35">
      <c r="A1977" s="2">
        <v>45604.799305555556</v>
      </c>
      <c r="B1977" s="3">
        <v>0.40167824074074071</v>
      </c>
      <c r="C1977" s="1" t="s">
        <v>11</v>
      </c>
      <c r="D1977" s="1" t="s">
        <v>9</v>
      </c>
      <c r="E1977" s="1">
        <v>100.06</v>
      </c>
      <c r="F1977" s="1">
        <v>3</v>
      </c>
      <c r="G1977" s="1">
        <v>300.18</v>
      </c>
      <c r="H1977" s="1" t="s">
        <v>373</v>
      </c>
    </row>
    <row r="1978" spans="1:8" x14ac:dyDescent="0.35">
      <c r="A1978" s="2">
        <v>45062.192361111112</v>
      </c>
      <c r="B1978" s="3">
        <v>0.82003472222222218</v>
      </c>
      <c r="C1978" s="1" t="s">
        <v>8</v>
      </c>
      <c r="D1978" s="1" t="s">
        <v>20</v>
      </c>
      <c r="E1978" s="1">
        <v>164.51</v>
      </c>
      <c r="F1978" s="1">
        <v>1</v>
      </c>
      <c r="G1978" s="1">
        <v>164.51</v>
      </c>
      <c r="H1978" s="1" t="s">
        <v>259</v>
      </c>
    </row>
    <row r="1979" spans="1:8" x14ac:dyDescent="0.35">
      <c r="A1979" s="2">
        <v>45124.111805555556</v>
      </c>
      <c r="B1979" s="3">
        <v>0.15372685185185184</v>
      </c>
      <c r="C1979" s="1" t="s">
        <v>11</v>
      </c>
      <c r="D1979" s="1" t="s">
        <v>9</v>
      </c>
      <c r="E1979" s="1">
        <v>252.95</v>
      </c>
      <c r="F1979" s="1">
        <v>2</v>
      </c>
      <c r="G1979" s="1">
        <v>505.9</v>
      </c>
      <c r="H1979" s="1" t="s">
        <v>291</v>
      </c>
    </row>
    <row r="1980" spans="1:8" x14ac:dyDescent="0.35">
      <c r="A1980" s="2">
        <v>45459.250694444447</v>
      </c>
      <c r="B1980" s="3">
        <v>0.97280092592592593</v>
      </c>
      <c r="C1980" s="1" t="s">
        <v>14</v>
      </c>
      <c r="D1980" s="1" t="s">
        <v>27</v>
      </c>
      <c r="E1980" s="1">
        <v>456.9</v>
      </c>
      <c r="F1980" s="1">
        <v>2</v>
      </c>
      <c r="G1980" s="1">
        <v>913.8</v>
      </c>
      <c r="H1980" s="1" t="s">
        <v>379</v>
      </c>
    </row>
    <row r="1981" spans="1:8" x14ac:dyDescent="0.35">
      <c r="A1981" s="2">
        <v>45393.840277777781</v>
      </c>
      <c r="B1981" s="3">
        <v>0.43033564814814818</v>
      </c>
      <c r="C1981" s="1" t="s">
        <v>11</v>
      </c>
      <c r="D1981" s="1" t="s">
        <v>12</v>
      </c>
      <c r="E1981" s="1">
        <v>434.05</v>
      </c>
      <c r="F1981" s="1">
        <v>4</v>
      </c>
      <c r="G1981" s="1">
        <v>1736.2</v>
      </c>
      <c r="H1981" s="1" t="s">
        <v>343</v>
      </c>
    </row>
    <row r="1982" spans="1:8" x14ac:dyDescent="0.35">
      <c r="A1982" s="2">
        <v>45370.662499999999</v>
      </c>
      <c r="B1982" s="3">
        <v>0.60910879629629633</v>
      </c>
      <c r="C1982" s="1" t="s">
        <v>11</v>
      </c>
      <c r="D1982" s="1" t="s">
        <v>27</v>
      </c>
      <c r="E1982" s="1">
        <v>461.43</v>
      </c>
      <c r="F1982" s="1">
        <v>5</v>
      </c>
      <c r="G1982" s="1">
        <v>2307.15</v>
      </c>
      <c r="H1982" s="1" t="s">
        <v>268</v>
      </c>
    </row>
    <row r="1983" spans="1:8" x14ac:dyDescent="0.35">
      <c r="A1983" s="2">
        <v>45409.696527777778</v>
      </c>
      <c r="B1983" s="3">
        <v>0.96118055555555548</v>
      </c>
      <c r="C1983" s="1" t="s">
        <v>8</v>
      </c>
      <c r="D1983" s="1" t="s">
        <v>27</v>
      </c>
      <c r="E1983" s="1">
        <v>167.87</v>
      </c>
      <c r="F1983" s="1">
        <v>2</v>
      </c>
      <c r="G1983" s="1">
        <v>335.74</v>
      </c>
      <c r="H1983" s="1" t="s">
        <v>158</v>
      </c>
    </row>
    <row r="1984" spans="1:8" x14ac:dyDescent="0.35">
      <c r="A1984" s="2">
        <v>45612.938888888886</v>
      </c>
      <c r="B1984" s="3">
        <v>0.31339120370370371</v>
      </c>
      <c r="C1984" s="1" t="s">
        <v>14</v>
      </c>
      <c r="D1984" s="1" t="s">
        <v>27</v>
      </c>
      <c r="E1984" s="1">
        <v>482.18</v>
      </c>
      <c r="F1984" s="1">
        <v>4</v>
      </c>
      <c r="G1984" s="1">
        <v>1928.72</v>
      </c>
      <c r="H1984" s="1" t="s">
        <v>244</v>
      </c>
    </row>
    <row r="1985" spans="1:8" x14ac:dyDescent="0.35">
      <c r="A1985" s="2">
        <v>45597.286111111112</v>
      </c>
      <c r="B1985" s="3">
        <v>0.12659722222222222</v>
      </c>
      <c r="C1985" s="1" t="s">
        <v>14</v>
      </c>
      <c r="D1985" s="1" t="s">
        <v>12</v>
      </c>
      <c r="E1985" s="1">
        <v>335.31</v>
      </c>
      <c r="F1985" s="1">
        <v>5</v>
      </c>
      <c r="G1985" s="1">
        <v>1676.55</v>
      </c>
      <c r="H1985" s="1" t="s">
        <v>24</v>
      </c>
    </row>
    <row r="1986" spans="1:8" x14ac:dyDescent="0.35">
      <c r="A1986" s="2">
        <v>45539.29583333333</v>
      </c>
      <c r="B1986" s="3">
        <v>0.57303240740740746</v>
      </c>
      <c r="C1986" s="1" t="s">
        <v>8</v>
      </c>
      <c r="D1986" s="1" t="s">
        <v>16</v>
      </c>
      <c r="E1986" s="1">
        <v>397.67</v>
      </c>
      <c r="F1986" s="1">
        <v>4</v>
      </c>
      <c r="G1986" s="1">
        <v>1590.68</v>
      </c>
      <c r="H1986" s="1" t="s">
        <v>294</v>
      </c>
    </row>
    <row r="1987" spans="1:8" x14ac:dyDescent="0.35">
      <c r="A1987" s="2">
        <v>44962.359027777777</v>
      </c>
      <c r="B1987" s="3">
        <v>0.89282407407407405</v>
      </c>
      <c r="C1987" s="1" t="s">
        <v>11</v>
      </c>
      <c r="D1987" s="1" t="s">
        <v>9</v>
      </c>
      <c r="E1987" s="1">
        <v>299.14999999999998</v>
      </c>
      <c r="F1987" s="1">
        <v>1</v>
      </c>
      <c r="G1987" s="1">
        <v>299.14999999999998</v>
      </c>
      <c r="H1987" s="1" t="s">
        <v>206</v>
      </c>
    </row>
    <row r="1988" spans="1:8" x14ac:dyDescent="0.35">
      <c r="A1988" s="2">
        <v>45632.731249999997</v>
      </c>
      <c r="B1988" s="3">
        <v>0.69996527777777784</v>
      </c>
      <c r="C1988" s="1" t="s">
        <v>8</v>
      </c>
      <c r="D1988" s="1" t="s">
        <v>20</v>
      </c>
      <c r="E1988" s="1">
        <v>111.75</v>
      </c>
      <c r="F1988" s="1">
        <v>2</v>
      </c>
      <c r="G1988" s="1">
        <v>223.5</v>
      </c>
      <c r="H1988" s="1" t="s">
        <v>111</v>
      </c>
    </row>
    <row r="1989" spans="1:8" x14ac:dyDescent="0.35">
      <c r="A1989" s="2">
        <v>45160.335416666669</v>
      </c>
      <c r="B1989" s="3">
        <v>0.79168981481481471</v>
      </c>
      <c r="C1989" s="1" t="s">
        <v>11</v>
      </c>
      <c r="D1989" s="1" t="s">
        <v>27</v>
      </c>
      <c r="E1989" s="1">
        <v>335.85</v>
      </c>
      <c r="F1989" s="1">
        <v>2</v>
      </c>
      <c r="G1989" s="1">
        <v>671.7</v>
      </c>
      <c r="H1989" s="1" t="s">
        <v>98</v>
      </c>
    </row>
    <row r="1990" spans="1:8" x14ac:dyDescent="0.35">
      <c r="A1990" s="2">
        <v>45181.250694444447</v>
      </c>
      <c r="B1990" s="3">
        <v>0.5034953703703704</v>
      </c>
      <c r="C1990" s="1" t="s">
        <v>14</v>
      </c>
      <c r="D1990" s="1" t="s">
        <v>12</v>
      </c>
      <c r="E1990" s="1">
        <v>358.85</v>
      </c>
      <c r="F1990" s="1">
        <v>5</v>
      </c>
      <c r="G1990" s="1">
        <v>1794.25</v>
      </c>
      <c r="H1990" s="1" t="s">
        <v>152</v>
      </c>
    </row>
    <row r="1991" spans="1:8" x14ac:dyDescent="0.35">
      <c r="A1991" s="2">
        <v>45479.493750000001</v>
      </c>
      <c r="B1991" s="3">
        <v>0.85259259259259268</v>
      </c>
      <c r="C1991" s="1" t="s">
        <v>11</v>
      </c>
      <c r="D1991" s="1" t="s">
        <v>9</v>
      </c>
      <c r="E1991" s="1">
        <v>463.82</v>
      </c>
      <c r="F1991" s="1">
        <v>3</v>
      </c>
      <c r="G1991" s="1">
        <v>1391.46</v>
      </c>
      <c r="H1991" s="1" t="s">
        <v>256</v>
      </c>
    </row>
    <row r="1992" spans="1:8" x14ac:dyDescent="0.35">
      <c r="A1992" s="2">
        <v>45409.658333333333</v>
      </c>
      <c r="B1992" s="3">
        <v>6.7858796296296306E-2</v>
      </c>
      <c r="C1992" s="1" t="s">
        <v>14</v>
      </c>
      <c r="D1992" s="1" t="s">
        <v>27</v>
      </c>
      <c r="E1992" s="1">
        <v>94.09</v>
      </c>
      <c r="F1992" s="1">
        <v>2</v>
      </c>
      <c r="G1992" s="1">
        <v>188.18</v>
      </c>
      <c r="H1992" s="1" t="s">
        <v>69</v>
      </c>
    </row>
    <row r="1993" spans="1:8" x14ac:dyDescent="0.35">
      <c r="A1993" s="2">
        <v>45251.814583333333</v>
      </c>
      <c r="B1993" s="3">
        <v>0.8250925925925926</v>
      </c>
      <c r="C1993" s="1" t="s">
        <v>14</v>
      </c>
      <c r="D1993" s="1" t="s">
        <v>20</v>
      </c>
      <c r="E1993" s="1">
        <v>247.76</v>
      </c>
      <c r="F1993" s="1">
        <v>1</v>
      </c>
      <c r="G1993" s="1">
        <v>247.76</v>
      </c>
      <c r="H1993" s="1" t="s">
        <v>284</v>
      </c>
    </row>
    <row r="1994" spans="1:8" x14ac:dyDescent="0.35">
      <c r="A1994" s="2">
        <v>45334.38958333333</v>
      </c>
      <c r="B1994" s="3">
        <v>0.65752314814814816</v>
      </c>
      <c r="C1994" s="1" t="s">
        <v>8</v>
      </c>
      <c r="D1994" s="1" t="s">
        <v>20</v>
      </c>
      <c r="E1994" s="1">
        <v>99.08</v>
      </c>
      <c r="F1994" s="1">
        <v>2</v>
      </c>
      <c r="G1994" s="1">
        <v>198.16</v>
      </c>
      <c r="H1994" s="1" t="s">
        <v>231</v>
      </c>
    </row>
    <row r="1995" spans="1:8" x14ac:dyDescent="0.35">
      <c r="A1995" s="2">
        <v>45092.943749999999</v>
      </c>
      <c r="B1995" s="3">
        <v>0.26581018518518518</v>
      </c>
      <c r="C1995" s="1" t="s">
        <v>11</v>
      </c>
      <c r="D1995" s="1" t="s">
        <v>27</v>
      </c>
      <c r="E1995" s="1">
        <v>378.13</v>
      </c>
      <c r="F1995" s="1">
        <v>3</v>
      </c>
      <c r="G1995" s="1">
        <v>1134.3900000000001</v>
      </c>
      <c r="H1995" s="1" t="s">
        <v>176</v>
      </c>
    </row>
    <row r="1996" spans="1:8" x14ac:dyDescent="0.35">
      <c r="A1996" s="2">
        <v>44960.457638888889</v>
      </c>
      <c r="B1996" s="3">
        <v>0.10226851851851852</v>
      </c>
      <c r="C1996" s="1" t="s">
        <v>14</v>
      </c>
      <c r="D1996" s="1" t="s">
        <v>12</v>
      </c>
      <c r="E1996" s="1">
        <v>66.209999999999994</v>
      </c>
      <c r="F1996" s="1">
        <v>1</v>
      </c>
      <c r="G1996" s="1">
        <v>66.209999999999994</v>
      </c>
      <c r="H1996" s="1" t="s">
        <v>411</v>
      </c>
    </row>
    <row r="1997" spans="1:8" x14ac:dyDescent="0.35">
      <c r="A1997" s="2">
        <v>45046.337500000001</v>
      </c>
      <c r="B1997" s="3">
        <v>0.96849537037037037</v>
      </c>
      <c r="C1997" s="1" t="s">
        <v>11</v>
      </c>
      <c r="D1997" s="1" t="s">
        <v>12</v>
      </c>
      <c r="E1997" s="1">
        <v>278.92</v>
      </c>
      <c r="F1997" s="1">
        <v>1</v>
      </c>
      <c r="G1997" s="1">
        <v>278.92</v>
      </c>
      <c r="H1997" s="1" t="s">
        <v>213</v>
      </c>
    </row>
    <row r="1998" spans="1:8" x14ac:dyDescent="0.35">
      <c r="A1998" s="2">
        <v>45029.411111111112</v>
      </c>
      <c r="B1998" s="3">
        <v>0.63314814814814813</v>
      </c>
      <c r="C1998" s="1" t="s">
        <v>8</v>
      </c>
      <c r="D1998" s="1" t="s">
        <v>27</v>
      </c>
      <c r="E1998" s="1">
        <v>390.1</v>
      </c>
      <c r="F1998" s="1">
        <v>5</v>
      </c>
      <c r="G1998" s="1">
        <v>1950.5</v>
      </c>
      <c r="H1998" s="1" t="s">
        <v>310</v>
      </c>
    </row>
    <row r="1999" spans="1:8" x14ac:dyDescent="0.35">
      <c r="A1999" s="2">
        <v>45429.631249999999</v>
      </c>
      <c r="B1999" s="3">
        <v>0.1743402777777778</v>
      </c>
      <c r="C1999" s="1" t="s">
        <v>8</v>
      </c>
      <c r="D1999" s="1" t="s">
        <v>27</v>
      </c>
      <c r="E1999" s="1">
        <v>109.47</v>
      </c>
      <c r="F1999" s="1">
        <v>2</v>
      </c>
      <c r="G1999" s="1">
        <v>218.94</v>
      </c>
      <c r="H1999" s="1" t="s">
        <v>25</v>
      </c>
    </row>
    <row r="2000" spans="1:8" x14ac:dyDescent="0.35">
      <c r="A2000" s="2">
        <v>45136.657638888886</v>
      </c>
      <c r="B2000" s="3">
        <v>0.64398148148148149</v>
      </c>
      <c r="C2000" s="1" t="s">
        <v>8</v>
      </c>
      <c r="D2000" s="1" t="s">
        <v>12</v>
      </c>
      <c r="E2000" s="1">
        <v>331.46</v>
      </c>
      <c r="F2000" s="1">
        <v>3</v>
      </c>
      <c r="G2000" s="1">
        <v>994.38</v>
      </c>
      <c r="H2000" s="1" t="s">
        <v>321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B79A8-719F-4B0A-9269-9D0ED63EC66C}">
  <sheetPr>
    <tabColor theme="8" tint="0.59999389629810485"/>
  </sheetPr>
  <dimension ref="A1:E18"/>
  <sheetViews>
    <sheetView showGridLines="0" workbookViewId="0">
      <selection activeCell="H8" sqref="H8"/>
    </sheetView>
  </sheetViews>
  <sheetFormatPr defaultRowHeight="14.5" x14ac:dyDescent="0.35"/>
  <cols>
    <col min="1" max="1" width="27.1796875" customWidth="1"/>
    <col min="2" max="2" width="19.81640625" customWidth="1"/>
    <col min="4" max="4" width="24.6328125" customWidth="1"/>
    <col min="5" max="5" width="25.90625" customWidth="1"/>
  </cols>
  <sheetData>
    <row r="1" spans="1:5" ht="15" thickBot="1" x14ac:dyDescent="0.4"/>
    <row r="2" spans="1:5" ht="19" thickBot="1" x14ac:dyDescent="0.5">
      <c r="A2" s="51" t="s">
        <v>416</v>
      </c>
      <c r="B2" s="52"/>
      <c r="D2" s="51" t="s">
        <v>459</v>
      </c>
      <c r="E2" s="52"/>
    </row>
    <row r="4" spans="1:5" x14ac:dyDescent="0.35">
      <c r="A4" s="53" t="s">
        <v>413</v>
      </c>
      <c r="B4" s="54" t="s">
        <v>415</v>
      </c>
      <c r="C4" s="8"/>
      <c r="D4" s="53" t="s">
        <v>413</v>
      </c>
      <c r="E4" s="54" t="s">
        <v>415</v>
      </c>
    </row>
    <row r="5" spans="1:5" x14ac:dyDescent="0.35">
      <c r="A5" s="55" t="s">
        <v>27</v>
      </c>
      <c r="B5" s="56">
        <v>299536.06</v>
      </c>
      <c r="D5" s="55" t="s">
        <v>418</v>
      </c>
      <c r="E5" s="56">
        <v>784701.19999999832</v>
      </c>
    </row>
    <row r="6" spans="1:5" x14ac:dyDescent="0.35">
      <c r="A6" s="55" t="s">
        <v>20</v>
      </c>
      <c r="B6" s="56">
        <v>334928.17000000027</v>
      </c>
      <c r="D6" s="55" t="s">
        <v>419</v>
      </c>
      <c r="E6" s="56">
        <v>738468.07000000053</v>
      </c>
    </row>
    <row r="7" spans="1:5" x14ac:dyDescent="0.35">
      <c r="A7" s="55" t="s">
        <v>16</v>
      </c>
      <c r="B7" s="56">
        <v>309148.68000000005</v>
      </c>
      <c r="D7" s="55" t="s">
        <v>420</v>
      </c>
      <c r="E7" s="56">
        <v>23497.8</v>
      </c>
    </row>
    <row r="8" spans="1:5" x14ac:dyDescent="0.35">
      <c r="A8" s="55" t="s">
        <v>9</v>
      </c>
      <c r="B8" s="56">
        <v>300343.21000000014</v>
      </c>
      <c r="D8" s="57" t="s">
        <v>414</v>
      </c>
      <c r="E8" s="58">
        <v>1546667.0699999989</v>
      </c>
    </row>
    <row r="9" spans="1:5" ht="15" thickBot="1" x14ac:dyDescent="0.4">
      <c r="A9" s="55" t="s">
        <v>12</v>
      </c>
      <c r="B9" s="56">
        <v>302710.94999999966</v>
      </c>
    </row>
    <row r="10" spans="1:5" ht="19" thickBot="1" x14ac:dyDescent="0.5">
      <c r="A10" s="57" t="s">
        <v>414</v>
      </c>
      <c r="B10" s="58">
        <v>1546667.07</v>
      </c>
      <c r="D10" s="51" t="s">
        <v>427</v>
      </c>
      <c r="E10" s="52"/>
    </row>
    <row r="11" spans="1:5" ht="15" thickBot="1" x14ac:dyDescent="0.4"/>
    <row r="12" spans="1:5" ht="19" thickBot="1" x14ac:dyDescent="0.5">
      <c r="A12" s="51" t="s">
        <v>417</v>
      </c>
      <c r="B12" s="52"/>
      <c r="D12" s="53" t="s">
        <v>413</v>
      </c>
      <c r="E12" s="54" t="s">
        <v>426</v>
      </c>
    </row>
    <row r="13" spans="1:5" x14ac:dyDescent="0.35">
      <c r="D13" s="55" t="s">
        <v>27</v>
      </c>
      <c r="E13" s="56">
        <v>1196</v>
      </c>
    </row>
    <row r="14" spans="1:5" x14ac:dyDescent="0.35">
      <c r="A14" s="53" t="s">
        <v>413</v>
      </c>
      <c r="B14" s="54" t="s">
        <v>415</v>
      </c>
      <c r="C14" s="8"/>
      <c r="D14" s="59" t="s">
        <v>20</v>
      </c>
      <c r="E14" s="60">
        <v>1246</v>
      </c>
    </row>
    <row r="15" spans="1:5" x14ac:dyDescent="0.35">
      <c r="A15" s="55" t="s">
        <v>8</v>
      </c>
      <c r="B15" s="56">
        <v>506737.36999999982</v>
      </c>
      <c r="D15" s="55" t="s">
        <v>16</v>
      </c>
      <c r="E15" s="56">
        <v>1206</v>
      </c>
    </row>
    <row r="16" spans="1:5" x14ac:dyDescent="0.35">
      <c r="A16" s="55" t="s">
        <v>11</v>
      </c>
      <c r="B16" s="56">
        <v>527400.19000000053</v>
      </c>
      <c r="D16" s="55" t="s">
        <v>9</v>
      </c>
      <c r="E16" s="56">
        <v>1200</v>
      </c>
    </row>
    <row r="17" spans="1:5" x14ac:dyDescent="0.35">
      <c r="A17" s="55" t="s">
        <v>14</v>
      </c>
      <c r="B17" s="56">
        <v>512529.50999999983</v>
      </c>
      <c r="D17" s="55" t="s">
        <v>12</v>
      </c>
      <c r="E17" s="56">
        <v>1175</v>
      </c>
    </row>
    <row r="18" spans="1:5" x14ac:dyDescent="0.35">
      <c r="A18" s="57" t="s">
        <v>414</v>
      </c>
      <c r="B18" s="58">
        <v>1546667.07</v>
      </c>
      <c r="D18" s="57" t="s">
        <v>414</v>
      </c>
      <c r="E18" s="58">
        <v>6023</v>
      </c>
    </row>
  </sheetData>
  <mergeCells count="4">
    <mergeCell ref="A2:B2"/>
    <mergeCell ref="D2:E2"/>
    <mergeCell ref="D10:E10"/>
    <mergeCell ref="A12:B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39997558519241921"/>
  </sheetPr>
  <dimension ref="A1"/>
  <sheetViews>
    <sheetView showGridLines="0" tabSelected="1" zoomScaleNormal="100" workbookViewId="0">
      <selection activeCell="D17" activeCellId="1" sqref="G17 D17"/>
    </sheetView>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249977111117893"/>
  </sheetPr>
  <dimension ref="A1:O2000"/>
  <sheetViews>
    <sheetView showGridLines="0" zoomScaleNormal="100" workbookViewId="0">
      <selection activeCell="N8" sqref="N8"/>
    </sheetView>
  </sheetViews>
  <sheetFormatPr defaultRowHeight="14.5" x14ac:dyDescent="0.35"/>
  <cols>
    <col min="1" max="1" width="22.54296875" style="4" customWidth="1"/>
    <col min="2" max="2" width="14.1796875" style="5" customWidth="1"/>
    <col min="3" max="3" width="16" customWidth="1"/>
    <col min="4" max="4" width="22.36328125" customWidth="1"/>
    <col min="5" max="5" width="11.81640625" style="7" customWidth="1"/>
    <col min="6" max="6" width="11.36328125" customWidth="1"/>
    <col min="7" max="7" width="15.81640625" style="7" customWidth="1"/>
    <col min="8" max="8" width="19.6328125" customWidth="1"/>
    <col min="9" max="9" width="19.26953125" style="1" customWidth="1"/>
    <col min="10" max="10" width="41.36328125" style="1" customWidth="1"/>
    <col min="11" max="11" width="19.26953125" customWidth="1"/>
    <col min="12" max="12" width="22.6328125" customWidth="1"/>
    <col min="13" max="13" width="24.36328125" customWidth="1"/>
    <col min="14" max="14" width="15.90625" customWidth="1"/>
    <col min="15" max="15" width="26.81640625" customWidth="1"/>
    <col min="17" max="17" width="21.54296875" customWidth="1"/>
  </cols>
  <sheetData>
    <row r="1" spans="1:15" ht="15" thickBot="1" x14ac:dyDescent="0.4">
      <c r="A1" s="27" t="s">
        <v>437</v>
      </c>
      <c r="B1" s="28" t="s">
        <v>438</v>
      </c>
      <c r="C1" s="29" t="s">
        <v>439</v>
      </c>
      <c r="D1" s="29" t="s">
        <v>440</v>
      </c>
      <c r="E1" s="30" t="s">
        <v>441</v>
      </c>
      <c r="F1" s="29" t="s">
        <v>442</v>
      </c>
      <c r="G1" s="30" t="s">
        <v>443</v>
      </c>
      <c r="H1" s="29" t="s">
        <v>444</v>
      </c>
      <c r="I1" s="30" t="s">
        <v>448</v>
      </c>
      <c r="J1" s="30" t="s">
        <v>449</v>
      </c>
      <c r="K1" s="6"/>
    </row>
    <row r="2" spans="1:15" ht="16" thickBot="1" x14ac:dyDescent="0.4">
      <c r="A2" s="31">
        <v>45291.65347222222</v>
      </c>
      <c r="B2" s="32">
        <v>0.25310185185185186</v>
      </c>
      <c r="C2" s="33" t="s">
        <v>8</v>
      </c>
      <c r="D2" s="33" t="s">
        <v>9</v>
      </c>
      <c r="E2" s="34">
        <v>10.69</v>
      </c>
      <c r="F2" s="33">
        <v>4</v>
      </c>
      <c r="G2" s="34">
        <v>42.76</v>
      </c>
      <c r="H2" s="33" t="s">
        <v>10</v>
      </c>
      <c r="I2" s="33" t="str">
        <f>IF(G2&gt;1500,"High sales", IF(G2&gt;500,"Medium sales", "Low sales"))</f>
        <v>Low sales</v>
      </c>
      <c r="J2" s="33" t="str">
        <f>IF(AND(G2&gt;1000,C2="Premium"), "eligible", "not eligible")</f>
        <v>not eligible</v>
      </c>
      <c r="L2" s="39" t="s">
        <v>435</v>
      </c>
      <c r="M2" s="40"/>
      <c r="O2" s="50" t="s">
        <v>421</v>
      </c>
    </row>
    <row r="3" spans="1:15" ht="15" thickBot="1" x14ac:dyDescent="0.4">
      <c r="A3" s="31">
        <v>45298.929861111108</v>
      </c>
      <c r="B3" s="32">
        <v>4.5347222222222226E-2</v>
      </c>
      <c r="C3" s="33" t="s">
        <v>11</v>
      </c>
      <c r="D3" s="33" t="s">
        <v>12</v>
      </c>
      <c r="E3" s="34">
        <v>381.03</v>
      </c>
      <c r="F3" s="33">
        <v>3</v>
      </c>
      <c r="G3" s="34">
        <v>1143.0899999999999</v>
      </c>
      <c r="H3" s="33" t="s">
        <v>13</v>
      </c>
      <c r="I3" s="33" t="str">
        <f t="shared" ref="I3:I66" si="0">IF(G3&gt;1500,"High sales", IF(G3&gt;500,"Medium sales", "Low sales"))</f>
        <v>Medium sales</v>
      </c>
      <c r="J3" s="33" t="str">
        <f t="shared" ref="J3:J66" si="1">IF(AND(G3&gt;1000,C3="Premium"), "eligible", "not eligible")</f>
        <v>eligible</v>
      </c>
      <c r="L3" s="41" t="s">
        <v>428</v>
      </c>
      <c r="M3" s="42" t="s">
        <v>429</v>
      </c>
      <c r="O3" s="35">
        <f>SUM(G:G)</f>
        <v>1546667.0699999975</v>
      </c>
    </row>
    <row r="4" spans="1:15" ht="15" thickBot="1" x14ac:dyDescent="0.4">
      <c r="A4" s="31">
        <v>45301.089583333334</v>
      </c>
      <c r="B4" s="32">
        <v>0.7303587962962963</v>
      </c>
      <c r="C4" s="33" t="s">
        <v>14</v>
      </c>
      <c r="D4" s="33" t="s">
        <v>9</v>
      </c>
      <c r="E4" s="34">
        <v>153.84</v>
      </c>
      <c r="F4" s="33">
        <v>5</v>
      </c>
      <c r="G4" s="34">
        <v>769.2</v>
      </c>
      <c r="H4" s="33" t="s">
        <v>15</v>
      </c>
      <c r="I4" s="33" t="str">
        <f t="shared" si="0"/>
        <v>Medium sales</v>
      </c>
      <c r="J4" s="33" t="str">
        <f t="shared" si="1"/>
        <v>not eligible</v>
      </c>
      <c r="L4" s="11" t="s">
        <v>430</v>
      </c>
      <c r="M4" s="12">
        <v>50</v>
      </c>
    </row>
    <row r="5" spans="1:15" x14ac:dyDescent="0.35">
      <c r="A5" s="31">
        <v>45078.448611111111</v>
      </c>
      <c r="B5" s="32">
        <v>7.6574074074074072E-2</v>
      </c>
      <c r="C5" s="33" t="s">
        <v>14</v>
      </c>
      <c r="D5" s="33" t="s">
        <v>16</v>
      </c>
      <c r="E5" s="34">
        <v>341.41</v>
      </c>
      <c r="F5" s="33">
        <v>4</v>
      </c>
      <c r="G5" s="34">
        <v>1365.64</v>
      </c>
      <c r="H5" s="33" t="s">
        <v>17</v>
      </c>
      <c r="I5" s="33" t="str">
        <f t="shared" si="0"/>
        <v>Medium sales</v>
      </c>
      <c r="J5" s="33" t="str">
        <f t="shared" si="1"/>
        <v>not eligible</v>
      </c>
      <c r="L5" s="13" t="s">
        <v>431</v>
      </c>
      <c r="M5" s="14">
        <v>200</v>
      </c>
      <c r="O5" s="50" t="s">
        <v>422</v>
      </c>
    </row>
    <row r="6" spans="1:15" ht="14.5" customHeight="1" thickBot="1" x14ac:dyDescent="0.4">
      <c r="A6" s="31">
        <v>45435.921527777777</v>
      </c>
      <c r="B6" s="32">
        <v>0.4424305555555556</v>
      </c>
      <c r="C6" s="33" t="s">
        <v>14</v>
      </c>
      <c r="D6" s="33" t="s">
        <v>12</v>
      </c>
      <c r="E6" s="34">
        <v>390.16</v>
      </c>
      <c r="F6" s="33">
        <v>5</v>
      </c>
      <c r="G6" s="34">
        <v>1950.8</v>
      </c>
      <c r="H6" s="33" t="s">
        <v>18</v>
      </c>
      <c r="I6" s="33" t="str">
        <f t="shared" si="0"/>
        <v>High sales</v>
      </c>
      <c r="J6" s="33" t="str">
        <f t="shared" si="1"/>
        <v>not eligible</v>
      </c>
      <c r="L6" s="13" t="s">
        <v>432</v>
      </c>
      <c r="M6" s="14">
        <v>87</v>
      </c>
      <c r="O6" s="35">
        <f>AVERAGE(G:G)</f>
        <v>773.72039519759755</v>
      </c>
    </row>
    <row r="7" spans="1:15" ht="15" thickBot="1" x14ac:dyDescent="0.4">
      <c r="A7" s="31">
        <v>45338.820138888892</v>
      </c>
      <c r="B7" s="32">
        <v>0.94568287037037047</v>
      </c>
      <c r="C7" s="33" t="s">
        <v>8</v>
      </c>
      <c r="D7" s="33" t="s">
        <v>9</v>
      </c>
      <c r="E7" s="34">
        <v>170.21</v>
      </c>
      <c r="F7" s="33">
        <v>4</v>
      </c>
      <c r="G7" s="34">
        <v>680.84</v>
      </c>
      <c r="H7" s="33" t="s">
        <v>19</v>
      </c>
      <c r="I7" s="33" t="str">
        <f t="shared" si="0"/>
        <v>Medium sales</v>
      </c>
      <c r="J7" s="33" t="str">
        <f t="shared" si="1"/>
        <v>not eligible</v>
      </c>
      <c r="L7" s="13" t="s">
        <v>433</v>
      </c>
      <c r="M7" s="14">
        <v>32</v>
      </c>
    </row>
    <row r="8" spans="1:15" ht="15" thickBot="1" x14ac:dyDescent="0.4">
      <c r="A8" s="31">
        <v>45260.15</v>
      </c>
      <c r="B8" s="32">
        <v>0.40052083333333338</v>
      </c>
      <c r="C8" s="33" t="s">
        <v>8</v>
      </c>
      <c r="D8" s="33" t="s">
        <v>20</v>
      </c>
      <c r="E8" s="34">
        <v>81.739999999999995</v>
      </c>
      <c r="F8" s="33">
        <v>2</v>
      </c>
      <c r="G8" s="34">
        <v>163.47999999999999</v>
      </c>
      <c r="H8" s="33" t="s">
        <v>21</v>
      </c>
      <c r="I8" s="33" t="str">
        <f t="shared" si="0"/>
        <v>Low sales</v>
      </c>
      <c r="J8" s="33" t="str">
        <f t="shared" si="1"/>
        <v>not eligible</v>
      </c>
      <c r="L8" s="15" t="s">
        <v>434</v>
      </c>
      <c r="M8" s="16">
        <v>61</v>
      </c>
      <c r="O8" s="50" t="s">
        <v>423</v>
      </c>
    </row>
    <row r="9" spans="1:15" ht="15" thickBot="1" x14ac:dyDescent="0.4">
      <c r="A9" s="31">
        <v>45448.222916666666</v>
      </c>
      <c r="B9" s="32">
        <v>0.8351736111111111</v>
      </c>
      <c r="C9" s="33" t="s">
        <v>11</v>
      </c>
      <c r="D9" s="33" t="s">
        <v>20</v>
      </c>
      <c r="E9" s="34">
        <v>181.26</v>
      </c>
      <c r="F9" s="33">
        <v>3</v>
      </c>
      <c r="G9" s="34">
        <v>543.78</v>
      </c>
      <c r="H9" s="33" t="s">
        <v>22</v>
      </c>
      <c r="I9" s="33" t="str">
        <f t="shared" si="0"/>
        <v>Medium sales</v>
      </c>
      <c r="J9" s="33" t="str">
        <f t="shared" si="1"/>
        <v>not eligible</v>
      </c>
      <c r="O9" s="36">
        <f>SUM(F:F)</f>
        <v>6023</v>
      </c>
    </row>
    <row r="10" spans="1:15" ht="15" thickBot="1" x14ac:dyDescent="0.4">
      <c r="A10" s="31">
        <v>45450.902777777781</v>
      </c>
      <c r="B10" s="32">
        <v>0.88037037037037036</v>
      </c>
      <c r="C10" s="33" t="s">
        <v>11</v>
      </c>
      <c r="D10" s="33" t="s">
        <v>16</v>
      </c>
      <c r="E10" s="34">
        <v>471.89</v>
      </c>
      <c r="F10" s="33">
        <v>2</v>
      </c>
      <c r="G10" s="34">
        <v>943.78</v>
      </c>
      <c r="H10" s="33" t="s">
        <v>23</v>
      </c>
      <c r="I10" s="33" t="str">
        <f t="shared" si="0"/>
        <v>Medium sales</v>
      </c>
      <c r="J10" s="33" t="str">
        <f t="shared" si="1"/>
        <v>not eligible</v>
      </c>
      <c r="L10" s="43" t="s">
        <v>447</v>
      </c>
      <c r="M10" s="19">
        <f>VLOOKUP(L6,L3:M8,2,FALSE)</f>
        <v>87</v>
      </c>
    </row>
    <row r="11" spans="1:15" ht="15" thickBot="1" x14ac:dyDescent="0.4">
      <c r="A11" s="31">
        <v>45289.190972222219</v>
      </c>
      <c r="B11" s="32">
        <v>0.74576388888888889</v>
      </c>
      <c r="C11" s="33" t="s">
        <v>8</v>
      </c>
      <c r="D11" s="33" t="s">
        <v>9</v>
      </c>
      <c r="E11" s="34">
        <v>59.7</v>
      </c>
      <c r="F11" s="33">
        <v>2</v>
      </c>
      <c r="G11" s="34">
        <v>119.4</v>
      </c>
      <c r="H11" s="33" t="s">
        <v>24</v>
      </c>
      <c r="I11" s="33" t="str">
        <f t="shared" si="0"/>
        <v>Low sales</v>
      </c>
      <c r="J11" s="33" t="str">
        <f t="shared" si="1"/>
        <v>not eligible</v>
      </c>
      <c r="L11" s="37" t="s">
        <v>436</v>
      </c>
      <c r="M11" s="38"/>
      <c r="O11" s="50" t="s">
        <v>424</v>
      </c>
    </row>
    <row r="12" spans="1:15" ht="15" thickBot="1" x14ac:dyDescent="0.4">
      <c r="A12" s="31">
        <v>45639.642361111109</v>
      </c>
      <c r="B12" s="32">
        <v>0.88077546296296294</v>
      </c>
      <c r="C12" s="33" t="s">
        <v>14</v>
      </c>
      <c r="D12" s="33" t="s">
        <v>16</v>
      </c>
      <c r="E12" s="34">
        <v>198.48</v>
      </c>
      <c r="F12" s="33">
        <v>4</v>
      </c>
      <c r="G12" s="34">
        <v>793.92</v>
      </c>
      <c r="H12" s="33" t="s">
        <v>25</v>
      </c>
      <c r="I12" s="33" t="str">
        <f t="shared" si="0"/>
        <v>Medium sales</v>
      </c>
      <c r="J12" s="33" t="str">
        <f t="shared" si="1"/>
        <v>not eligible</v>
      </c>
      <c r="O12" s="35">
        <f>MAX(G:G)</f>
        <v>2499.5</v>
      </c>
    </row>
    <row r="13" spans="1:15" ht="15" thickBot="1" x14ac:dyDescent="0.4">
      <c r="A13" s="31">
        <v>45015.912499999999</v>
      </c>
      <c r="B13" s="32">
        <v>1.494212962962963E-2</v>
      </c>
      <c r="C13" s="33" t="s">
        <v>8</v>
      </c>
      <c r="D13" s="33" t="s">
        <v>9</v>
      </c>
      <c r="E13" s="34">
        <v>242.14</v>
      </c>
      <c r="F13" s="33">
        <v>2</v>
      </c>
      <c r="G13" s="34">
        <v>484.28</v>
      </c>
      <c r="H13" s="33" t="s">
        <v>26</v>
      </c>
      <c r="I13" s="33" t="str">
        <f t="shared" si="0"/>
        <v>Low sales</v>
      </c>
      <c r="J13" s="33" t="str">
        <f t="shared" si="1"/>
        <v>not eligible</v>
      </c>
    </row>
    <row r="14" spans="1:15" ht="15" thickBot="1" x14ac:dyDescent="0.4">
      <c r="A14" s="31">
        <v>45079.587500000001</v>
      </c>
      <c r="B14" s="32">
        <v>0.76549768518518524</v>
      </c>
      <c r="C14" s="33" t="s">
        <v>11</v>
      </c>
      <c r="D14" s="33" t="s">
        <v>27</v>
      </c>
      <c r="E14" s="34">
        <v>45.87</v>
      </c>
      <c r="F14" s="33">
        <v>3</v>
      </c>
      <c r="G14" s="34">
        <v>137.61000000000001</v>
      </c>
      <c r="H14" s="33" t="s">
        <v>28</v>
      </c>
      <c r="I14" s="33" t="str">
        <f t="shared" si="0"/>
        <v>Low sales</v>
      </c>
      <c r="J14" s="33" t="str">
        <f t="shared" si="1"/>
        <v>not eligible</v>
      </c>
      <c r="L14" s="41" t="s">
        <v>445</v>
      </c>
      <c r="M14" s="10">
        <f>INDEX(G2:G2000, MATCH("Zara Mehta", H2:H2000, 0))</f>
        <v>882.48</v>
      </c>
      <c r="O14" s="50" t="s">
        <v>425</v>
      </c>
    </row>
    <row r="15" spans="1:15" ht="15" thickBot="1" x14ac:dyDescent="0.4">
      <c r="A15" s="31">
        <v>45226.481249999997</v>
      </c>
      <c r="B15" s="32">
        <v>0.47693287037037035</v>
      </c>
      <c r="C15" s="33" t="s">
        <v>11</v>
      </c>
      <c r="D15" s="33" t="s">
        <v>12</v>
      </c>
      <c r="E15" s="34">
        <v>120.57</v>
      </c>
      <c r="F15" s="33">
        <v>5</v>
      </c>
      <c r="G15" s="34">
        <v>602.85</v>
      </c>
      <c r="H15" s="33" t="s">
        <v>29</v>
      </c>
      <c r="I15" s="33" t="str">
        <f t="shared" si="0"/>
        <v>Medium sales</v>
      </c>
      <c r="J15" s="33" t="str">
        <f t="shared" si="1"/>
        <v>not eligible</v>
      </c>
      <c r="L15" s="17" t="s">
        <v>446</v>
      </c>
      <c r="M15" s="18"/>
      <c r="O15" s="35">
        <f>MIN(G:G)</f>
        <v>10.06</v>
      </c>
    </row>
    <row r="16" spans="1:15" x14ac:dyDescent="0.35">
      <c r="A16" s="31">
        <v>45633.57916666667</v>
      </c>
      <c r="B16" s="32">
        <v>5.8831018518518519E-2</v>
      </c>
      <c r="C16" s="33" t="s">
        <v>8</v>
      </c>
      <c r="D16" s="33" t="s">
        <v>27</v>
      </c>
      <c r="E16" s="34">
        <v>189.3</v>
      </c>
      <c r="F16" s="33">
        <v>1</v>
      </c>
      <c r="G16" s="34">
        <v>189.3</v>
      </c>
      <c r="H16" s="33" t="s">
        <v>30</v>
      </c>
      <c r="I16" s="33" t="str">
        <f t="shared" si="0"/>
        <v>Low sales</v>
      </c>
      <c r="J16" s="33" t="str">
        <f t="shared" si="1"/>
        <v>not eligible</v>
      </c>
    </row>
    <row r="17" spans="1:15" ht="15" thickBot="1" x14ac:dyDescent="0.4">
      <c r="A17" s="31">
        <v>45290.273611111108</v>
      </c>
      <c r="B17" s="32">
        <v>0.8528472222222222</v>
      </c>
      <c r="C17" s="33" t="s">
        <v>14</v>
      </c>
      <c r="D17" s="33" t="s">
        <v>16</v>
      </c>
      <c r="E17" s="34">
        <v>104.18</v>
      </c>
      <c r="F17" s="33">
        <v>3</v>
      </c>
      <c r="G17" s="34">
        <v>312.54000000000002</v>
      </c>
      <c r="H17" s="33" t="s">
        <v>31</v>
      </c>
      <c r="I17" s="33" t="str">
        <f>IF(G17&gt;1500,"High sales", IF(G17&gt;500,"Medium sales", "Low sales"))</f>
        <v>Low sales</v>
      </c>
      <c r="J17" s="33" t="str">
        <f>IF(AND(G17&gt;1000,C17="Premium"), "eligible", "not eligible")</f>
        <v>not eligible</v>
      </c>
    </row>
    <row r="18" spans="1:15" ht="16" thickBot="1" x14ac:dyDescent="0.4">
      <c r="A18" s="31">
        <v>45130.055555555555</v>
      </c>
      <c r="B18" s="32">
        <v>0.56770833333333337</v>
      </c>
      <c r="C18" s="33" t="s">
        <v>8</v>
      </c>
      <c r="D18" s="33" t="s">
        <v>9</v>
      </c>
      <c r="E18" s="34">
        <v>294.16000000000003</v>
      </c>
      <c r="F18" s="33">
        <v>3</v>
      </c>
      <c r="G18" s="34">
        <v>882.48</v>
      </c>
      <c r="H18" s="33" t="s">
        <v>32</v>
      </c>
      <c r="I18" s="33" t="str">
        <f t="shared" si="0"/>
        <v>Medium sales</v>
      </c>
      <c r="J18" s="33" t="str">
        <f t="shared" si="1"/>
        <v>not eligible</v>
      </c>
      <c r="L18" s="44" t="s">
        <v>454</v>
      </c>
      <c r="M18" s="45"/>
      <c r="N18" s="45"/>
      <c r="O18" s="46"/>
    </row>
    <row r="19" spans="1:15" ht="15" thickBot="1" x14ac:dyDescent="0.4">
      <c r="A19" s="31">
        <v>45271.713888888888</v>
      </c>
      <c r="B19" s="32">
        <v>0.23350694444444445</v>
      </c>
      <c r="C19" s="33" t="s">
        <v>11</v>
      </c>
      <c r="D19" s="33" t="s">
        <v>12</v>
      </c>
      <c r="E19" s="34">
        <v>299.64999999999998</v>
      </c>
      <c r="F19" s="33">
        <v>5</v>
      </c>
      <c r="G19" s="34">
        <v>1498.25</v>
      </c>
      <c r="H19" s="33" t="s">
        <v>33</v>
      </c>
      <c r="I19" s="33" t="str">
        <f t="shared" si="0"/>
        <v>Medium sales</v>
      </c>
      <c r="J19" s="33" t="str">
        <f t="shared" si="1"/>
        <v>eligible</v>
      </c>
      <c r="L19" s="47" t="s">
        <v>456</v>
      </c>
      <c r="M19" s="48"/>
      <c r="N19" s="48"/>
      <c r="O19" s="49"/>
    </row>
    <row r="20" spans="1:15" x14ac:dyDescent="0.35">
      <c r="A20" s="31">
        <v>45609.448611111111</v>
      </c>
      <c r="B20" s="32">
        <v>0.27299768518518519</v>
      </c>
      <c r="C20" s="33" t="s">
        <v>14</v>
      </c>
      <c r="D20" s="33" t="s">
        <v>9</v>
      </c>
      <c r="E20" s="34">
        <v>467.27</v>
      </c>
      <c r="F20" s="33">
        <v>4</v>
      </c>
      <c r="G20" s="34">
        <v>1869.08</v>
      </c>
      <c r="H20" s="33" t="s">
        <v>34</v>
      </c>
      <c r="I20" s="33" t="str">
        <f t="shared" si="0"/>
        <v>High sales</v>
      </c>
      <c r="J20" s="33" t="str">
        <f t="shared" si="1"/>
        <v>not eligible</v>
      </c>
      <c r="L20" s="21" t="s">
        <v>450</v>
      </c>
      <c r="M20" s="22" t="s">
        <v>451</v>
      </c>
      <c r="N20" s="22" t="s">
        <v>452</v>
      </c>
      <c r="O20" s="23" t="s">
        <v>455</v>
      </c>
    </row>
    <row r="21" spans="1:15" ht="15" thickBot="1" x14ac:dyDescent="0.4">
      <c r="A21" s="31">
        <v>45538.043055555558</v>
      </c>
      <c r="B21" s="32">
        <v>0.40534722222222225</v>
      </c>
      <c r="C21" s="33" t="s">
        <v>14</v>
      </c>
      <c r="D21" s="33" t="s">
        <v>9</v>
      </c>
      <c r="E21" s="34">
        <v>142.97999999999999</v>
      </c>
      <c r="F21" s="33">
        <v>2</v>
      </c>
      <c r="G21" s="34">
        <v>285.95999999999998</v>
      </c>
      <c r="H21" s="33" t="s">
        <v>35</v>
      </c>
      <c r="I21" s="33" t="str">
        <f t="shared" si="0"/>
        <v>Low sales</v>
      </c>
      <c r="J21" s="33" t="str">
        <f t="shared" si="1"/>
        <v>not eligible</v>
      </c>
      <c r="L21" s="15" t="s">
        <v>453</v>
      </c>
      <c r="M21" s="25">
        <v>875</v>
      </c>
      <c r="N21" s="20">
        <v>4</v>
      </c>
      <c r="O21" s="26">
        <f>M21*N21</f>
        <v>3500</v>
      </c>
    </row>
    <row r="22" spans="1:15" ht="15" thickBot="1" x14ac:dyDescent="0.4">
      <c r="A22" s="31">
        <v>45511.842361111114</v>
      </c>
      <c r="B22" s="32">
        <v>0.57717592592592593</v>
      </c>
      <c r="C22" s="33" t="s">
        <v>14</v>
      </c>
      <c r="D22" s="33" t="s">
        <v>20</v>
      </c>
      <c r="E22" s="34">
        <v>372.78</v>
      </c>
      <c r="F22" s="33">
        <v>1</v>
      </c>
      <c r="G22" s="34">
        <v>372.78</v>
      </c>
      <c r="H22" s="33" t="s">
        <v>36</v>
      </c>
      <c r="I22" s="33" t="str">
        <f t="shared" si="0"/>
        <v>Low sales</v>
      </c>
      <c r="J22" s="33" t="str">
        <f t="shared" si="1"/>
        <v>not eligible</v>
      </c>
    </row>
    <row r="23" spans="1:15" x14ac:dyDescent="0.35">
      <c r="A23" s="31">
        <v>45579.521527777775</v>
      </c>
      <c r="B23" s="32">
        <v>0.47143518518518518</v>
      </c>
      <c r="C23" s="33" t="s">
        <v>14</v>
      </c>
      <c r="D23" s="33" t="s">
        <v>27</v>
      </c>
      <c r="E23" s="34">
        <v>453.55</v>
      </c>
      <c r="F23" s="33">
        <v>4</v>
      </c>
      <c r="G23" s="34">
        <v>1814.2</v>
      </c>
      <c r="H23" s="33" t="s">
        <v>37</v>
      </c>
      <c r="I23" s="33" t="str">
        <f t="shared" si="0"/>
        <v>High sales</v>
      </c>
      <c r="J23" s="33" t="str">
        <f t="shared" si="1"/>
        <v>not eligible</v>
      </c>
      <c r="L23" s="9" t="s">
        <v>457</v>
      </c>
    </row>
    <row r="24" spans="1:15" ht="15" thickBot="1" x14ac:dyDescent="0.4">
      <c r="A24" s="31">
        <v>45487.17083333333</v>
      </c>
      <c r="B24" s="32">
        <v>0.60523148148148154</v>
      </c>
      <c r="C24" s="33" t="s">
        <v>11</v>
      </c>
      <c r="D24" s="33" t="s">
        <v>16</v>
      </c>
      <c r="E24" s="34">
        <v>400.46</v>
      </c>
      <c r="F24" s="33">
        <v>3</v>
      </c>
      <c r="G24" s="34">
        <v>1201.3800000000001</v>
      </c>
      <c r="H24" s="33" t="s">
        <v>38</v>
      </c>
      <c r="I24" s="33" t="str">
        <f t="shared" si="0"/>
        <v>Medium sales</v>
      </c>
      <c r="J24" s="33" t="str">
        <f t="shared" si="1"/>
        <v>eligible</v>
      </c>
      <c r="L24" s="24" t="s">
        <v>458</v>
      </c>
    </row>
    <row r="25" spans="1:15" x14ac:dyDescent="0.35">
      <c r="A25" s="31">
        <v>45564.563194444447</v>
      </c>
      <c r="B25" s="32">
        <v>0.5977662037037037</v>
      </c>
      <c r="C25" s="33" t="s">
        <v>14</v>
      </c>
      <c r="D25" s="33" t="s">
        <v>20</v>
      </c>
      <c r="E25" s="34">
        <v>457.92</v>
      </c>
      <c r="F25" s="33">
        <v>4</v>
      </c>
      <c r="G25" s="34">
        <v>1831.68</v>
      </c>
      <c r="H25" s="33" t="s">
        <v>39</v>
      </c>
      <c r="I25" s="33" t="str">
        <f t="shared" si="0"/>
        <v>High sales</v>
      </c>
      <c r="J25" s="33" t="str">
        <f t="shared" si="1"/>
        <v>not eligible</v>
      </c>
    </row>
    <row r="26" spans="1:15" x14ac:dyDescent="0.35">
      <c r="A26" s="31">
        <v>45651.502083333333</v>
      </c>
      <c r="B26" s="32">
        <v>0.58738425925925919</v>
      </c>
      <c r="C26" s="33" t="s">
        <v>11</v>
      </c>
      <c r="D26" s="33" t="s">
        <v>9</v>
      </c>
      <c r="E26" s="34">
        <v>153.38</v>
      </c>
      <c r="F26" s="33">
        <v>4</v>
      </c>
      <c r="G26" s="34">
        <v>613.52</v>
      </c>
      <c r="H26" s="33" t="s">
        <v>40</v>
      </c>
      <c r="I26" s="33" t="str">
        <f t="shared" si="0"/>
        <v>Medium sales</v>
      </c>
      <c r="J26" s="33" t="str">
        <f t="shared" si="1"/>
        <v>not eligible</v>
      </c>
    </row>
    <row r="27" spans="1:15" x14ac:dyDescent="0.35">
      <c r="A27" s="31">
        <v>45299.84097222222</v>
      </c>
      <c r="B27" s="32">
        <v>0.49748842592592596</v>
      </c>
      <c r="C27" s="33" t="s">
        <v>11</v>
      </c>
      <c r="D27" s="33" t="s">
        <v>16</v>
      </c>
      <c r="E27" s="34">
        <v>242.49</v>
      </c>
      <c r="F27" s="33">
        <v>4</v>
      </c>
      <c r="G27" s="34">
        <v>969.96</v>
      </c>
      <c r="H27" s="33" t="s">
        <v>41</v>
      </c>
      <c r="I27" s="33" t="str">
        <f t="shared" si="0"/>
        <v>Medium sales</v>
      </c>
      <c r="J27" s="33" t="str">
        <f t="shared" si="1"/>
        <v>not eligible</v>
      </c>
    </row>
    <row r="28" spans="1:15" x14ac:dyDescent="0.35">
      <c r="A28" s="31">
        <v>45349.717361111114</v>
      </c>
      <c r="B28" s="32">
        <v>0.83467592592592599</v>
      </c>
      <c r="C28" s="33" t="s">
        <v>11</v>
      </c>
      <c r="D28" s="33" t="s">
        <v>9</v>
      </c>
      <c r="E28" s="34">
        <v>478.73</v>
      </c>
      <c r="F28" s="33">
        <v>2</v>
      </c>
      <c r="G28" s="34">
        <v>957.46</v>
      </c>
      <c r="H28" s="33" t="s">
        <v>42</v>
      </c>
      <c r="I28" s="33" t="str">
        <f t="shared" si="0"/>
        <v>Medium sales</v>
      </c>
      <c r="J28" s="33" t="str">
        <f t="shared" si="1"/>
        <v>not eligible</v>
      </c>
    </row>
    <row r="29" spans="1:15" x14ac:dyDescent="0.35">
      <c r="A29" s="31">
        <v>45003.296527777777</v>
      </c>
      <c r="B29" s="32">
        <v>5.1041666666666666E-3</v>
      </c>
      <c r="C29" s="33" t="s">
        <v>14</v>
      </c>
      <c r="D29" s="33" t="s">
        <v>27</v>
      </c>
      <c r="E29" s="34">
        <v>123.61</v>
      </c>
      <c r="F29" s="33">
        <v>5</v>
      </c>
      <c r="G29" s="34">
        <v>618.04999999999995</v>
      </c>
      <c r="H29" s="33" t="s">
        <v>43</v>
      </c>
      <c r="I29" s="33" t="str">
        <f t="shared" si="0"/>
        <v>Medium sales</v>
      </c>
      <c r="J29" s="33" t="str">
        <f t="shared" si="1"/>
        <v>not eligible</v>
      </c>
    </row>
    <row r="30" spans="1:15" x14ac:dyDescent="0.35">
      <c r="A30" s="31">
        <v>45180.834722222222</v>
      </c>
      <c r="B30" s="32">
        <v>0.8383680555555556</v>
      </c>
      <c r="C30" s="33" t="s">
        <v>11</v>
      </c>
      <c r="D30" s="33" t="s">
        <v>9</v>
      </c>
      <c r="E30" s="34">
        <v>92.09</v>
      </c>
      <c r="F30" s="33">
        <v>3</v>
      </c>
      <c r="G30" s="34">
        <v>276.27</v>
      </c>
      <c r="H30" s="33" t="s">
        <v>44</v>
      </c>
      <c r="I30" s="33" t="str">
        <f t="shared" si="0"/>
        <v>Low sales</v>
      </c>
      <c r="J30" s="33" t="str">
        <f t="shared" si="1"/>
        <v>not eligible</v>
      </c>
    </row>
    <row r="31" spans="1:15" x14ac:dyDescent="0.35">
      <c r="A31" s="31">
        <v>45258.412499999999</v>
      </c>
      <c r="B31" s="32">
        <v>0.38459490740740737</v>
      </c>
      <c r="C31" s="33" t="s">
        <v>11</v>
      </c>
      <c r="D31" s="33" t="s">
        <v>27</v>
      </c>
      <c r="E31" s="34">
        <v>52.94</v>
      </c>
      <c r="F31" s="33">
        <v>5</v>
      </c>
      <c r="G31" s="34">
        <v>264.7</v>
      </c>
      <c r="H31" s="33" t="s">
        <v>45</v>
      </c>
      <c r="I31" s="33" t="str">
        <f t="shared" si="0"/>
        <v>Low sales</v>
      </c>
      <c r="J31" s="33" t="str">
        <f t="shared" si="1"/>
        <v>not eligible</v>
      </c>
    </row>
    <row r="32" spans="1:15" x14ac:dyDescent="0.35">
      <c r="A32" s="31">
        <v>45303.20208333333</v>
      </c>
      <c r="B32" s="32">
        <v>0.34684027777777776</v>
      </c>
      <c r="C32" s="33" t="s">
        <v>8</v>
      </c>
      <c r="D32" s="33" t="s">
        <v>12</v>
      </c>
      <c r="E32" s="34">
        <v>389.83</v>
      </c>
      <c r="F32" s="33">
        <v>4</v>
      </c>
      <c r="G32" s="34">
        <v>1559.32</v>
      </c>
      <c r="H32" s="33" t="s">
        <v>46</v>
      </c>
      <c r="I32" s="33" t="str">
        <f t="shared" si="0"/>
        <v>High sales</v>
      </c>
      <c r="J32" s="33" t="str">
        <f t="shared" si="1"/>
        <v>not eligible</v>
      </c>
    </row>
    <row r="33" spans="1:10" x14ac:dyDescent="0.35">
      <c r="A33" s="31">
        <v>45077.963194444441</v>
      </c>
      <c r="B33" s="32">
        <v>0.65877314814814814</v>
      </c>
      <c r="C33" s="33" t="s">
        <v>14</v>
      </c>
      <c r="D33" s="33" t="s">
        <v>9</v>
      </c>
      <c r="E33" s="34">
        <v>263.45999999999998</v>
      </c>
      <c r="F33" s="33">
        <v>2</v>
      </c>
      <c r="G33" s="34">
        <v>526.91999999999996</v>
      </c>
      <c r="H33" s="33" t="s">
        <v>47</v>
      </c>
      <c r="I33" s="33" t="str">
        <f t="shared" si="0"/>
        <v>Medium sales</v>
      </c>
      <c r="J33" s="33" t="str">
        <f t="shared" si="1"/>
        <v>not eligible</v>
      </c>
    </row>
    <row r="34" spans="1:10" x14ac:dyDescent="0.35">
      <c r="A34" s="31">
        <v>45613.948611111111</v>
      </c>
      <c r="B34" s="32">
        <v>0.24072916666666666</v>
      </c>
      <c r="C34" s="33" t="s">
        <v>8</v>
      </c>
      <c r="D34" s="33" t="s">
        <v>27</v>
      </c>
      <c r="E34" s="34">
        <v>389.06</v>
      </c>
      <c r="F34" s="33">
        <v>1</v>
      </c>
      <c r="G34" s="34">
        <v>389.06</v>
      </c>
      <c r="H34" s="33" t="s">
        <v>48</v>
      </c>
      <c r="I34" s="33" t="str">
        <f t="shared" si="0"/>
        <v>Low sales</v>
      </c>
      <c r="J34" s="33" t="str">
        <f t="shared" si="1"/>
        <v>not eligible</v>
      </c>
    </row>
    <row r="35" spans="1:10" x14ac:dyDescent="0.35">
      <c r="A35" s="31">
        <v>45334.172222222223</v>
      </c>
      <c r="B35" s="32">
        <v>0.55219907407407409</v>
      </c>
      <c r="C35" s="33" t="s">
        <v>8</v>
      </c>
      <c r="D35" s="33" t="s">
        <v>12</v>
      </c>
      <c r="E35" s="34">
        <v>484.47</v>
      </c>
      <c r="F35" s="33">
        <v>5</v>
      </c>
      <c r="G35" s="34">
        <v>2422.35</v>
      </c>
      <c r="H35" s="33" t="s">
        <v>49</v>
      </c>
      <c r="I35" s="33" t="str">
        <f t="shared" si="0"/>
        <v>High sales</v>
      </c>
      <c r="J35" s="33" t="str">
        <f t="shared" si="1"/>
        <v>not eligible</v>
      </c>
    </row>
    <row r="36" spans="1:10" x14ac:dyDescent="0.35">
      <c r="A36" s="31">
        <v>45245.540277777778</v>
      </c>
      <c r="B36" s="32">
        <v>8.2291666666666659E-3</v>
      </c>
      <c r="C36" s="33" t="s">
        <v>8</v>
      </c>
      <c r="D36" s="33" t="s">
        <v>20</v>
      </c>
      <c r="E36" s="34">
        <v>84.4</v>
      </c>
      <c r="F36" s="33">
        <v>3</v>
      </c>
      <c r="G36" s="34">
        <v>253.2</v>
      </c>
      <c r="H36" s="33" t="s">
        <v>50</v>
      </c>
      <c r="I36" s="33" t="str">
        <f t="shared" si="0"/>
        <v>Low sales</v>
      </c>
      <c r="J36" s="33" t="str">
        <f t="shared" si="1"/>
        <v>not eligible</v>
      </c>
    </row>
    <row r="37" spans="1:10" x14ac:dyDescent="0.35">
      <c r="A37" s="31">
        <v>45126.470138888886</v>
      </c>
      <c r="B37" s="32">
        <v>0.54975694444444445</v>
      </c>
      <c r="C37" s="33" t="s">
        <v>14</v>
      </c>
      <c r="D37" s="33" t="s">
        <v>20</v>
      </c>
      <c r="E37" s="34">
        <v>294.49</v>
      </c>
      <c r="F37" s="33">
        <v>5</v>
      </c>
      <c r="G37" s="34">
        <v>1472.45</v>
      </c>
      <c r="H37" s="33" t="s">
        <v>51</v>
      </c>
      <c r="I37" s="33" t="str">
        <f t="shared" si="0"/>
        <v>Medium sales</v>
      </c>
      <c r="J37" s="33" t="str">
        <f t="shared" si="1"/>
        <v>not eligible</v>
      </c>
    </row>
    <row r="38" spans="1:10" x14ac:dyDescent="0.35">
      <c r="A38" s="31">
        <v>45389.827777777777</v>
      </c>
      <c r="B38" s="32">
        <v>0.58347222222222228</v>
      </c>
      <c r="C38" s="33" t="s">
        <v>14</v>
      </c>
      <c r="D38" s="33" t="s">
        <v>12</v>
      </c>
      <c r="E38" s="34">
        <v>365</v>
      </c>
      <c r="F38" s="33">
        <v>1</v>
      </c>
      <c r="G38" s="34">
        <v>365</v>
      </c>
      <c r="H38" s="33" t="s">
        <v>52</v>
      </c>
      <c r="I38" s="33" t="str">
        <f t="shared" si="0"/>
        <v>Low sales</v>
      </c>
      <c r="J38" s="33" t="str">
        <f t="shared" si="1"/>
        <v>not eligible</v>
      </c>
    </row>
    <row r="39" spans="1:10" x14ac:dyDescent="0.35">
      <c r="A39" s="31">
        <v>45476.425000000003</v>
      </c>
      <c r="B39" s="32">
        <v>0.54449074074074078</v>
      </c>
      <c r="C39" s="33" t="s">
        <v>11</v>
      </c>
      <c r="D39" s="33" t="s">
        <v>16</v>
      </c>
      <c r="E39" s="34">
        <v>121.4</v>
      </c>
      <c r="F39" s="33">
        <v>1</v>
      </c>
      <c r="G39" s="34">
        <v>121.4</v>
      </c>
      <c r="H39" s="33" t="s">
        <v>53</v>
      </c>
      <c r="I39" s="33" t="str">
        <f t="shared" si="0"/>
        <v>Low sales</v>
      </c>
      <c r="J39" s="33" t="str">
        <f t="shared" si="1"/>
        <v>not eligible</v>
      </c>
    </row>
    <row r="40" spans="1:10" x14ac:dyDescent="0.35">
      <c r="A40" s="31">
        <v>44989.143055555556</v>
      </c>
      <c r="B40" s="32">
        <v>0.47222222222222227</v>
      </c>
      <c r="C40" s="33" t="s">
        <v>14</v>
      </c>
      <c r="D40" s="33" t="s">
        <v>16</v>
      </c>
      <c r="E40" s="34">
        <v>56.35</v>
      </c>
      <c r="F40" s="33">
        <v>3</v>
      </c>
      <c r="G40" s="34">
        <v>169.05</v>
      </c>
      <c r="H40" s="33" t="s">
        <v>39</v>
      </c>
      <c r="I40" s="33" t="str">
        <f t="shared" si="0"/>
        <v>Low sales</v>
      </c>
      <c r="J40" s="33" t="str">
        <f t="shared" si="1"/>
        <v>not eligible</v>
      </c>
    </row>
    <row r="41" spans="1:10" x14ac:dyDescent="0.35">
      <c r="A41" s="31">
        <v>45464.338194444441</v>
      </c>
      <c r="B41" s="32">
        <v>0.51304398148148145</v>
      </c>
      <c r="C41" s="33" t="s">
        <v>14</v>
      </c>
      <c r="D41" s="33" t="s">
        <v>20</v>
      </c>
      <c r="E41" s="34">
        <v>174.95</v>
      </c>
      <c r="F41" s="33">
        <v>5</v>
      </c>
      <c r="G41" s="34">
        <v>874.75</v>
      </c>
      <c r="H41" s="33" t="s">
        <v>54</v>
      </c>
      <c r="I41" s="33" t="str">
        <f t="shared" si="0"/>
        <v>Medium sales</v>
      </c>
      <c r="J41" s="33" t="str">
        <f t="shared" si="1"/>
        <v>not eligible</v>
      </c>
    </row>
    <row r="42" spans="1:10" x14ac:dyDescent="0.35">
      <c r="A42" s="31">
        <v>45105.145138888889</v>
      </c>
      <c r="B42" s="32">
        <v>9.2118055555555564E-2</v>
      </c>
      <c r="C42" s="33" t="s">
        <v>14</v>
      </c>
      <c r="D42" s="33" t="s">
        <v>27</v>
      </c>
      <c r="E42" s="34">
        <v>383.83</v>
      </c>
      <c r="F42" s="33">
        <v>3</v>
      </c>
      <c r="G42" s="34">
        <v>1151.49</v>
      </c>
      <c r="H42" s="33" t="s">
        <v>55</v>
      </c>
      <c r="I42" s="33" t="str">
        <f t="shared" si="0"/>
        <v>Medium sales</v>
      </c>
      <c r="J42" s="33" t="str">
        <f t="shared" si="1"/>
        <v>not eligible</v>
      </c>
    </row>
    <row r="43" spans="1:10" x14ac:dyDescent="0.35">
      <c r="A43" s="31">
        <v>45580.743750000001</v>
      </c>
      <c r="B43" s="32">
        <v>0.32748842592592592</v>
      </c>
      <c r="C43" s="33" t="s">
        <v>14</v>
      </c>
      <c r="D43" s="33" t="s">
        <v>20</v>
      </c>
      <c r="E43" s="34">
        <v>413.42</v>
      </c>
      <c r="F43" s="33">
        <v>1</v>
      </c>
      <c r="G43" s="34">
        <v>413.42</v>
      </c>
      <c r="H43" s="33" t="s">
        <v>56</v>
      </c>
      <c r="I43" s="33" t="str">
        <f t="shared" si="0"/>
        <v>Low sales</v>
      </c>
      <c r="J43" s="33" t="str">
        <f t="shared" si="1"/>
        <v>not eligible</v>
      </c>
    </row>
    <row r="44" spans="1:10" x14ac:dyDescent="0.35">
      <c r="A44" s="31">
        <v>45503.429861111108</v>
      </c>
      <c r="B44" s="32">
        <v>0.57872685185185191</v>
      </c>
      <c r="C44" s="33" t="s">
        <v>14</v>
      </c>
      <c r="D44" s="33" t="s">
        <v>9</v>
      </c>
      <c r="E44" s="34">
        <v>300.52999999999997</v>
      </c>
      <c r="F44" s="33">
        <v>5</v>
      </c>
      <c r="G44" s="34">
        <v>1502.65</v>
      </c>
      <c r="H44" s="33" t="s">
        <v>57</v>
      </c>
      <c r="I44" s="33" t="str">
        <f t="shared" si="0"/>
        <v>High sales</v>
      </c>
      <c r="J44" s="33" t="str">
        <f t="shared" si="1"/>
        <v>not eligible</v>
      </c>
    </row>
    <row r="45" spans="1:10" x14ac:dyDescent="0.35">
      <c r="A45" s="31">
        <v>45293.970833333333</v>
      </c>
      <c r="B45" s="32">
        <v>8.2395833333333335E-2</v>
      </c>
      <c r="C45" s="33" t="s">
        <v>14</v>
      </c>
      <c r="D45" s="33" t="s">
        <v>20</v>
      </c>
      <c r="E45" s="34">
        <v>387.29</v>
      </c>
      <c r="F45" s="33">
        <v>5</v>
      </c>
      <c r="G45" s="34">
        <v>1936.45</v>
      </c>
      <c r="H45" s="33" t="s">
        <v>58</v>
      </c>
      <c r="I45" s="33" t="str">
        <f t="shared" si="0"/>
        <v>High sales</v>
      </c>
      <c r="J45" s="33" t="str">
        <f t="shared" si="1"/>
        <v>not eligible</v>
      </c>
    </row>
    <row r="46" spans="1:10" x14ac:dyDescent="0.35">
      <c r="A46" s="31">
        <v>45195.533333333333</v>
      </c>
      <c r="B46" s="32">
        <v>0.52263888888888888</v>
      </c>
      <c r="C46" s="33" t="s">
        <v>8</v>
      </c>
      <c r="D46" s="33" t="s">
        <v>27</v>
      </c>
      <c r="E46" s="34">
        <v>493.08</v>
      </c>
      <c r="F46" s="33">
        <v>1</v>
      </c>
      <c r="G46" s="34">
        <v>493.08</v>
      </c>
      <c r="H46" s="33" t="s">
        <v>59</v>
      </c>
      <c r="I46" s="33" t="str">
        <f t="shared" si="0"/>
        <v>Low sales</v>
      </c>
      <c r="J46" s="33" t="str">
        <f t="shared" si="1"/>
        <v>not eligible</v>
      </c>
    </row>
    <row r="47" spans="1:10" x14ac:dyDescent="0.35">
      <c r="A47" s="31">
        <v>45158.158333333333</v>
      </c>
      <c r="B47" s="32">
        <v>0.90901620370370362</v>
      </c>
      <c r="C47" s="33" t="s">
        <v>14</v>
      </c>
      <c r="D47" s="33" t="s">
        <v>9</v>
      </c>
      <c r="E47" s="34">
        <v>111.1</v>
      </c>
      <c r="F47" s="33">
        <v>4</v>
      </c>
      <c r="G47" s="34">
        <v>444.4</v>
      </c>
      <c r="H47" s="33" t="s">
        <v>60</v>
      </c>
      <c r="I47" s="33" t="str">
        <f t="shared" si="0"/>
        <v>Low sales</v>
      </c>
      <c r="J47" s="33" t="str">
        <f t="shared" si="1"/>
        <v>not eligible</v>
      </c>
    </row>
    <row r="48" spans="1:10" x14ac:dyDescent="0.35">
      <c r="A48" s="31">
        <v>44992.488194444442</v>
      </c>
      <c r="B48" s="32">
        <v>0.66670138888888886</v>
      </c>
      <c r="C48" s="33" t="s">
        <v>8</v>
      </c>
      <c r="D48" s="33" t="s">
        <v>12</v>
      </c>
      <c r="E48" s="34">
        <v>324.60000000000002</v>
      </c>
      <c r="F48" s="33">
        <v>1</v>
      </c>
      <c r="G48" s="34">
        <v>324.60000000000002</v>
      </c>
      <c r="H48" s="33" t="s">
        <v>61</v>
      </c>
      <c r="I48" s="33" t="str">
        <f t="shared" si="0"/>
        <v>Low sales</v>
      </c>
      <c r="J48" s="33" t="str">
        <f t="shared" si="1"/>
        <v>not eligible</v>
      </c>
    </row>
    <row r="49" spans="1:10" x14ac:dyDescent="0.35">
      <c r="A49" s="31">
        <v>45156.144444444442</v>
      </c>
      <c r="B49" s="32">
        <v>0.2630439814814815</v>
      </c>
      <c r="C49" s="33" t="s">
        <v>14</v>
      </c>
      <c r="D49" s="33" t="s">
        <v>9</v>
      </c>
      <c r="E49" s="34">
        <v>216.87</v>
      </c>
      <c r="F49" s="33">
        <v>5</v>
      </c>
      <c r="G49" s="34">
        <v>1084.3499999999999</v>
      </c>
      <c r="H49" s="33" t="s">
        <v>62</v>
      </c>
      <c r="I49" s="33" t="str">
        <f t="shared" si="0"/>
        <v>Medium sales</v>
      </c>
      <c r="J49" s="33" t="str">
        <f t="shared" si="1"/>
        <v>not eligible</v>
      </c>
    </row>
    <row r="50" spans="1:10" x14ac:dyDescent="0.35">
      <c r="A50" s="31">
        <v>45202.829861111109</v>
      </c>
      <c r="B50" s="32">
        <v>0.64184027777777775</v>
      </c>
      <c r="C50" s="33" t="s">
        <v>8</v>
      </c>
      <c r="D50" s="33" t="s">
        <v>16</v>
      </c>
      <c r="E50" s="34">
        <v>471.56</v>
      </c>
      <c r="F50" s="33">
        <v>2</v>
      </c>
      <c r="G50" s="34">
        <v>943.12</v>
      </c>
      <c r="H50" s="33" t="s">
        <v>55</v>
      </c>
      <c r="I50" s="33" t="str">
        <f t="shared" si="0"/>
        <v>Medium sales</v>
      </c>
      <c r="J50" s="33" t="str">
        <f t="shared" si="1"/>
        <v>not eligible</v>
      </c>
    </row>
    <row r="51" spans="1:10" x14ac:dyDescent="0.35">
      <c r="A51" s="31">
        <v>45174.295138888891</v>
      </c>
      <c r="B51" s="32">
        <v>0.95959490740740738</v>
      </c>
      <c r="C51" s="33" t="s">
        <v>8</v>
      </c>
      <c r="D51" s="33" t="s">
        <v>9</v>
      </c>
      <c r="E51" s="34">
        <v>215.35</v>
      </c>
      <c r="F51" s="33">
        <v>1</v>
      </c>
      <c r="G51" s="34">
        <v>215.35</v>
      </c>
      <c r="H51" s="33" t="s">
        <v>63</v>
      </c>
      <c r="I51" s="33" t="str">
        <f t="shared" si="0"/>
        <v>Low sales</v>
      </c>
      <c r="J51" s="33" t="str">
        <f t="shared" si="1"/>
        <v>not eligible</v>
      </c>
    </row>
    <row r="52" spans="1:10" x14ac:dyDescent="0.35">
      <c r="A52" s="31">
        <v>44963.638194444444</v>
      </c>
      <c r="B52" s="32">
        <v>7.2175925925925921E-2</v>
      </c>
      <c r="C52" s="33" t="s">
        <v>11</v>
      </c>
      <c r="D52" s="33" t="s">
        <v>12</v>
      </c>
      <c r="E52" s="34">
        <v>439.66</v>
      </c>
      <c r="F52" s="33">
        <v>1</v>
      </c>
      <c r="G52" s="34">
        <v>439.66</v>
      </c>
      <c r="H52" s="33" t="s">
        <v>64</v>
      </c>
      <c r="I52" s="33" t="str">
        <f t="shared" si="0"/>
        <v>Low sales</v>
      </c>
      <c r="J52" s="33" t="str">
        <f t="shared" si="1"/>
        <v>not eligible</v>
      </c>
    </row>
    <row r="53" spans="1:10" x14ac:dyDescent="0.35">
      <c r="A53" s="31">
        <v>45256.848611111112</v>
      </c>
      <c r="B53" s="32">
        <v>0.91783564814814822</v>
      </c>
      <c r="C53" s="33" t="s">
        <v>11</v>
      </c>
      <c r="D53" s="33" t="s">
        <v>20</v>
      </c>
      <c r="E53" s="34">
        <v>464.08</v>
      </c>
      <c r="F53" s="33">
        <v>3</v>
      </c>
      <c r="G53" s="34">
        <v>1392.24</v>
      </c>
      <c r="H53" s="33" t="s">
        <v>56</v>
      </c>
      <c r="I53" s="33" t="str">
        <f t="shared" si="0"/>
        <v>Medium sales</v>
      </c>
      <c r="J53" s="33" t="str">
        <f t="shared" si="1"/>
        <v>eligible</v>
      </c>
    </row>
    <row r="54" spans="1:10" x14ac:dyDescent="0.35">
      <c r="A54" s="31">
        <v>45430.918749999997</v>
      </c>
      <c r="B54" s="32">
        <v>1.25E-3</v>
      </c>
      <c r="C54" s="33" t="s">
        <v>14</v>
      </c>
      <c r="D54" s="33" t="s">
        <v>12</v>
      </c>
      <c r="E54" s="34">
        <v>285.29000000000002</v>
      </c>
      <c r="F54" s="33">
        <v>5</v>
      </c>
      <c r="G54" s="34">
        <v>1426.45</v>
      </c>
      <c r="H54" s="33" t="s">
        <v>65</v>
      </c>
      <c r="I54" s="33" t="str">
        <f t="shared" si="0"/>
        <v>Medium sales</v>
      </c>
      <c r="J54" s="33" t="str">
        <f t="shared" si="1"/>
        <v>not eligible</v>
      </c>
    </row>
    <row r="55" spans="1:10" x14ac:dyDescent="0.35">
      <c r="A55" s="31">
        <v>45119.020833333336</v>
      </c>
      <c r="B55" s="32">
        <v>0.68064814814814811</v>
      </c>
      <c r="C55" s="33" t="s">
        <v>11</v>
      </c>
      <c r="D55" s="33" t="s">
        <v>12</v>
      </c>
      <c r="E55" s="34">
        <v>27.13</v>
      </c>
      <c r="F55" s="33">
        <v>5</v>
      </c>
      <c r="G55" s="34">
        <v>135.65</v>
      </c>
      <c r="H55" s="33" t="s">
        <v>25</v>
      </c>
      <c r="I55" s="33" t="str">
        <f t="shared" si="0"/>
        <v>Low sales</v>
      </c>
      <c r="J55" s="33" t="str">
        <f t="shared" si="1"/>
        <v>not eligible</v>
      </c>
    </row>
    <row r="56" spans="1:10" x14ac:dyDescent="0.35">
      <c r="A56" s="31">
        <v>45522.969444444447</v>
      </c>
      <c r="B56" s="32">
        <v>0.32306712962962963</v>
      </c>
      <c r="C56" s="33" t="s">
        <v>11</v>
      </c>
      <c r="D56" s="33" t="s">
        <v>9</v>
      </c>
      <c r="E56" s="34">
        <v>238.6</v>
      </c>
      <c r="F56" s="33">
        <v>2</v>
      </c>
      <c r="G56" s="34">
        <v>477.2</v>
      </c>
      <c r="H56" s="33" t="s">
        <v>66</v>
      </c>
      <c r="I56" s="33" t="str">
        <f t="shared" si="0"/>
        <v>Low sales</v>
      </c>
      <c r="J56" s="33" t="str">
        <f t="shared" si="1"/>
        <v>not eligible</v>
      </c>
    </row>
    <row r="57" spans="1:10" x14ac:dyDescent="0.35">
      <c r="A57" s="31">
        <v>45042.231249999997</v>
      </c>
      <c r="B57" s="32">
        <v>0.57035879629629627</v>
      </c>
      <c r="C57" s="33" t="s">
        <v>11</v>
      </c>
      <c r="D57" s="33" t="s">
        <v>12</v>
      </c>
      <c r="E57" s="34">
        <v>19.78</v>
      </c>
      <c r="F57" s="33">
        <v>2</v>
      </c>
      <c r="G57" s="34">
        <v>39.56</v>
      </c>
      <c r="H57" s="33" t="s">
        <v>67</v>
      </c>
      <c r="I57" s="33" t="str">
        <f t="shared" si="0"/>
        <v>Low sales</v>
      </c>
      <c r="J57" s="33" t="str">
        <f t="shared" si="1"/>
        <v>not eligible</v>
      </c>
    </row>
    <row r="58" spans="1:10" x14ac:dyDescent="0.35">
      <c r="A58" s="31">
        <v>45469.752083333333</v>
      </c>
      <c r="B58" s="32">
        <v>0.84812500000000002</v>
      </c>
      <c r="C58" s="33" t="s">
        <v>8</v>
      </c>
      <c r="D58" s="33" t="s">
        <v>9</v>
      </c>
      <c r="E58" s="34">
        <v>290.63</v>
      </c>
      <c r="F58" s="33">
        <v>5</v>
      </c>
      <c r="G58" s="34">
        <v>1453.15</v>
      </c>
      <c r="H58" s="33" t="s">
        <v>68</v>
      </c>
      <c r="I58" s="33" t="str">
        <f t="shared" si="0"/>
        <v>Medium sales</v>
      </c>
      <c r="J58" s="33" t="str">
        <f t="shared" si="1"/>
        <v>not eligible</v>
      </c>
    </row>
    <row r="59" spans="1:10" x14ac:dyDescent="0.35">
      <c r="A59" s="31">
        <v>45203.076388888891</v>
      </c>
      <c r="B59" s="32">
        <v>0.48402777777777778</v>
      </c>
      <c r="C59" s="33" t="s">
        <v>11</v>
      </c>
      <c r="D59" s="33" t="s">
        <v>9</v>
      </c>
      <c r="E59" s="34">
        <v>397.11</v>
      </c>
      <c r="F59" s="33">
        <v>2</v>
      </c>
      <c r="G59" s="34">
        <v>794.22</v>
      </c>
      <c r="H59" s="33" t="s">
        <v>69</v>
      </c>
      <c r="I59" s="33" t="str">
        <f t="shared" si="0"/>
        <v>Medium sales</v>
      </c>
      <c r="J59" s="33" t="str">
        <f t="shared" si="1"/>
        <v>not eligible</v>
      </c>
    </row>
    <row r="60" spans="1:10" x14ac:dyDescent="0.35">
      <c r="A60" s="31">
        <v>45527.566666666666</v>
      </c>
      <c r="B60" s="32">
        <v>0.57153935185185178</v>
      </c>
      <c r="C60" s="33" t="s">
        <v>14</v>
      </c>
      <c r="D60" s="33" t="s">
        <v>9</v>
      </c>
      <c r="E60" s="34">
        <v>81.849999999999994</v>
      </c>
      <c r="F60" s="33">
        <v>5</v>
      </c>
      <c r="G60" s="34">
        <v>409.25</v>
      </c>
      <c r="H60" s="33" t="s">
        <v>22</v>
      </c>
      <c r="I60" s="33" t="str">
        <f t="shared" si="0"/>
        <v>Low sales</v>
      </c>
      <c r="J60" s="33" t="str">
        <f t="shared" si="1"/>
        <v>not eligible</v>
      </c>
    </row>
    <row r="61" spans="1:10" x14ac:dyDescent="0.35">
      <c r="A61" s="31">
        <v>45201.103472222225</v>
      </c>
      <c r="B61" s="32">
        <v>0.32656250000000003</v>
      </c>
      <c r="C61" s="33" t="s">
        <v>8</v>
      </c>
      <c r="D61" s="33" t="s">
        <v>20</v>
      </c>
      <c r="E61" s="34">
        <v>356.42</v>
      </c>
      <c r="F61" s="33">
        <v>5</v>
      </c>
      <c r="G61" s="34">
        <v>1782.1</v>
      </c>
      <c r="H61" s="33" t="s">
        <v>70</v>
      </c>
      <c r="I61" s="33" t="str">
        <f t="shared" si="0"/>
        <v>High sales</v>
      </c>
      <c r="J61" s="33" t="str">
        <f t="shared" si="1"/>
        <v>not eligible</v>
      </c>
    </row>
    <row r="62" spans="1:10" x14ac:dyDescent="0.35">
      <c r="A62" s="31">
        <v>45286.3125</v>
      </c>
      <c r="B62" s="32">
        <v>0.98165509259259265</v>
      </c>
      <c r="C62" s="33" t="s">
        <v>8</v>
      </c>
      <c r="D62" s="33" t="s">
        <v>16</v>
      </c>
      <c r="E62" s="34">
        <v>147.69</v>
      </c>
      <c r="F62" s="33">
        <v>2</v>
      </c>
      <c r="G62" s="34">
        <v>295.38</v>
      </c>
      <c r="H62" s="33" t="s">
        <v>71</v>
      </c>
      <c r="I62" s="33" t="str">
        <f t="shared" si="0"/>
        <v>Low sales</v>
      </c>
      <c r="J62" s="33" t="str">
        <f t="shared" si="1"/>
        <v>not eligible</v>
      </c>
    </row>
    <row r="63" spans="1:10" x14ac:dyDescent="0.35">
      <c r="A63" s="31">
        <v>45060.052083333336</v>
      </c>
      <c r="B63" s="32">
        <v>0.57644675925925926</v>
      </c>
      <c r="C63" s="33" t="s">
        <v>11</v>
      </c>
      <c r="D63" s="33" t="s">
        <v>16</v>
      </c>
      <c r="E63" s="34">
        <v>409.77</v>
      </c>
      <c r="F63" s="33">
        <v>4</v>
      </c>
      <c r="G63" s="34">
        <v>1639.08</v>
      </c>
      <c r="H63" s="33" t="s">
        <v>72</v>
      </c>
      <c r="I63" s="33" t="str">
        <f t="shared" si="0"/>
        <v>High sales</v>
      </c>
      <c r="J63" s="33" t="str">
        <f t="shared" si="1"/>
        <v>eligible</v>
      </c>
    </row>
    <row r="64" spans="1:10" x14ac:dyDescent="0.35">
      <c r="A64" s="31">
        <v>45394.752083333333</v>
      </c>
      <c r="B64" s="32">
        <v>0.74187499999999995</v>
      </c>
      <c r="C64" s="33" t="s">
        <v>8</v>
      </c>
      <c r="D64" s="33" t="s">
        <v>16</v>
      </c>
      <c r="E64" s="34">
        <v>43.15</v>
      </c>
      <c r="F64" s="33">
        <v>1</v>
      </c>
      <c r="G64" s="34">
        <v>43.15</v>
      </c>
      <c r="H64" s="33" t="s">
        <v>73</v>
      </c>
      <c r="I64" s="33" t="str">
        <f t="shared" si="0"/>
        <v>Low sales</v>
      </c>
      <c r="J64" s="33" t="str">
        <f t="shared" si="1"/>
        <v>not eligible</v>
      </c>
    </row>
    <row r="65" spans="1:10" x14ac:dyDescent="0.35">
      <c r="A65" s="31">
        <v>45334.438888888886</v>
      </c>
      <c r="B65" s="32">
        <v>0.99204861111111109</v>
      </c>
      <c r="C65" s="33" t="s">
        <v>11</v>
      </c>
      <c r="D65" s="33" t="s">
        <v>27</v>
      </c>
      <c r="E65" s="34">
        <v>397.01</v>
      </c>
      <c r="F65" s="33">
        <v>2</v>
      </c>
      <c r="G65" s="34">
        <v>794.02</v>
      </c>
      <c r="H65" s="33" t="s">
        <v>18</v>
      </c>
      <c r="I65" s="33" t="str">
        <f t="shared" si="0"/>
        <v>Medium sales</v>
      </c>
      <c r="J65" s="33" t="str">
        <f t="shared" si="1"/>
        <v>not eligible</v>
      </c>
    </row>
    <row r="66" spans="1:10" x14ac:dyDescent="0.35">
      <c r="A66" s="31">
        <v>45100.031944444447</v>
      </c>
      <c r="B66" s="32">
        <v>0.98069444444444442</v>
      </c>
      <c r="C66" s="33" t="s">
        <v>11</v>
      </c>
      <c r="D66" s="33" t="s">
        <v>27</v>
      </c>
      <c r="E66" s="34">
        <v>482.76</v>
      </c>
      <c r="F66" s="33">
        <v>4</v>
      </c>
      <c r="G66" s="34">
        <v>1931.04</v>
      </c>
      <c r="H66" s="33" t="s">
        <v>74</v>
      </c>
      <c r="I66" s="33" t="str">
        <f t="shared" si="0"/>
        <v>High sales</v>
      </c>
      <c r="J66" s="33" t="str">
        <f t="shared" si="1"/>
        <v>eligible</v>
      </c>
    </row>
    <row r="67" spans="1:10" x14ac:dyDescent="0.35">
      <c r="A67" s="31">
        <v>44962.197916666664</v>
      </c>
      <c r="B67" s="32">
        <v>0.8052083333333333</v>
      </c>
      <c r="C67" s="33" t="s">
        <v>11</v>
      </c>
      <c r="D67" s="33" t="s">
        <v>12</v>
      </c>
      <c r="E67" s="34">
        <v>91.19</v>
      </c>
      <c r="F67" s="33">
        <v>5</v>
      </c>
      <c r="G67" s="34">
        <v>455.95</v>
      </c>
      <c r="H67" s="33" t="s">
        <v>75</v>
      </c>
      <c r="I67" s="33" t="str">
        <f t="shared" ref="I67:I130" si="2">IF(G67&gt;1500,"High sales", IF(G67&gt;500,"Medium sales", "Low sales"))</f>
        <v>Low sales</v>
      </c>
      <c r="J67" s="33" t="str">
        <f t="shared" ref="J67:J130" si="3">IF(AND(G67&gt;1000,C67="Premium"), "eligible", "not eligible")</f>
        <v>not eligible</v>
      </c>
    </row>
    <row r="68" spans="1:10" x14ac:dyDescent="0.35">
      <c r="A68" s="31">
        <v>45175.17291666667</v>
      </c>
      <c r="B68" s="32">
        <v>0.59863425925925928</v>
      </c>
      <c r="C68" s="33" t="s">
        <v>8</v>
      </c>
      <c r="D68" s="33" t="s">
        <v>12</v>
      </c>
      <c r="E68" s="34">
        <v>469.96</v>
      </c>
      <c r="F68" s="33">
        <v>3</v>
      </c>
      <c r="G68" s="34">
        <v>1409.88</v>
      </c>
      <c r="H68" s="33" t="s">
        <v>76</v>
      </c>
      <c r="I68" s="33" t="str">
        <f t="shared" si="2"/>
        <v>Medium sales</v>
      </c>
      <c r="J68" s="33" t="str">
        <f t="shared" si="3"/>
        <v>not eligible</v>
      </c>
    </row>
    <row r="69" spans="1:10" x14ac:dyDescent="0.35">
      <c r="A69" s="31">
        <v>45403.137499999997</v>
      </c>
      <c r="B69" s="32">
        <v>0.88582175925925932</v>
      </c>
      <c r="C69" s="33" t="s">
        <v>8</v>
      </c>
      <c r="D69" s="33" t="s">
        <v>20</v>
      </c>
      <c r="E69" s="34">
        <v>424.57</v>
      </c>
      <c r="F69" s="33">
        <v>5</v>
      </c>
      <c r="G69" s="34">
        <v>2122.85</v>
      </c>
      <c r="H69" s="33" t="s">
        <v>77</v>
      </c>
      <c r="I69" s="33" t="str">
        <f t="shared" si="2"/>
        <v>High sales</v>
      </c>
      <c r="J69" s="33" t="str">
        <f t="shared" si="3"/>
        <v>not eligible</v>
      </c>
    </row>
    <row r="70" spans="1:10" x14ac:dyDescent="0.35">
      <c r="A70" s="31">
        <v>44927.079861111109</v>
      </c>
      <c r="B70" s="32">
        <v>0.99888888888888883</v>
      </c>
      <c r="C70" s="33" t="s">
        <v>14</v>
      </c>
      <c r="D70" s="33" t="s">
        <v>20</v>
      </c>
      <c r="E70" s="34">
        <v>175.39</v>
      </c>
      <c r="F70" s="33">
        <v>1</v>
      </c>
      <c r="G70" s="34">
        <v>175.39</v>
      </c>
      <c r="H70" s="33" t="s">
        <v>78</v>
      </c>
      <c r="I70" s="33" t="str">
        <f t="shared" si="2"/>
        <v>Low sales</v>
      </c>
      <c r="J70" s="33" t="str">
        <f t="shared" si="3"/>
        <v>not eligible</v>
      </c>
    </row>
    <row r="71" spans="1:10" x14ac:dyDescent="0.35">
      <c r="A71" s="31">
        <v>45140.468055555553</v>
      </c>
      <c r="B71" s="32">
        <v>0.73908564814814814</v>
      </c>
      <c r="C71" s="33" t="s">
        <v>11</v>
      </c>
      <c r="D71" s="33" t="s">
        <v>12</v>
      </c>
      <c r="E71" s="34">
        <v>448.88</v>
      </c>
      <c r="F71" s="33">
        <v>5</v>
      </c>
      <c r="G71" s="34">
        <v>2244.4</v>
      </c>
      <c r="H71" s="33" t="s">
        <v>79</v>
      </c>
      <c r="I71" s="33" t="str">
        <f t="shared" si="2"/>
        <v>High sales</v>
      </c>
      <c r="J71" s="33" t="str">
        <f t="shared" si="3"/>
        <v>eligible</v>
      </c>
    </row>
    <row r="72" spans="1:10" x14ac:dyDescent="0.35">
      <c r="A72" s="31">
        <v>45152.99722222222</v>
      </c>
      <c r="B72" s="32">
        <v>0.89304398148148145</v>
      </c>
      <c r="C72" s="33" t="s">
        <v>8</v>
      </c>
      <c r="D72" s="33" t="s">
        <v>20</v>
      </c>
      <c r="E72" s="34">
        <v>350.97</v>
      </c>
      <c r="F72" s="33">
        <v>5</v>
      </c>
      <c r="G72" s="34">
        <v>1754.85</v>
      </c>
      <c r="H72" s="33" t="s">
        <v>31</v>
      </c>
      <c r="I72" s="33" t="str">
        <f t="shared" si="2"/>
        <v>High sales</v>
      </c>
      <c r="J72" s="33" t="str">
        <f t="shared" si="3"/>
        <v>not eligible</v>
      </c>
    </row>
    <row r="73" spans="1:10" x14ac:dyDescent="0.35">
      <c r="A73" s="31">
        <v>45576.894444444442</v>
      </c>
      <c r="B73" s="32">
        <v>0.91322916666666665</v>
      </c>
      <c r="C73" s="33" t="s">
        <v>11</v>
      </c>
      <c r="D73" s="33" t="s">
        <v>16</v>
      </c>
      <c r="E73" s="34">
        <v>317.55</v>
      </c>
      <c r="F73" s="33">
        <v>1</v>
      </c>
      <c r="G73" s="34">
        <v>317.55</v>
      </c>
      <c r="H73" s="33" t="s">
        <v>59</v>
      </c>
      <c r="I73" s="33" t="str">
        <f t="shared" si="2"/>
        <v>Low sales</v>
      </c>
      <c r="J73" s="33" t="str">
        <f t="shared" si="3"/>
        <v>not eligible</v>
      </c>
    </row>
    <row r="74" spans="1:10" x14ac:dyDescent="0.35">
      <c r="A74" s="31">
        <v>44959.414583333331</v>
      </c>
      <c r="B74" s="32">
        <v>0.2913425925925926</v>
      </c>
      <c r="C74" s="33" t="s">
        <v>11</v>
      </c>
      <c r="D74" s="33" t="s">
        <v>12</v>
      </c>
      <c r="E74" s="34">
        <v>491.74</v>
      </c>
      <c r="F74" s="33">
        <v>1</v>
      </c>
      <c r="G74" s="34">
        <v>491.74</v>
      </c>
      <c r="H74" s="33" t="s">
        <v>43</v>
      </c>
      <c r="I74" s="33" t="str">
        <f t="shared" si="2"/>
        <v>Low sales</v>
      </c>
      <c r="J74" s="33" t="str">
        <f t="shared" si="3"/>
        <v>not eligible</v>
      </c>
    </row>
    <row r="75" spans="1:10" x14ac:dyDescent="0.35">
      <c r="A75" s="31">
        <v>45007.831250000003</v>
      </c>
      <c r="B75" s="32">
        <v>0.23864583333333333</v>
      </c>
      <c r="C75" s="33" t="s">
        <v>8</v>
      </c>
      <c r="D75" s="33" t="s">
        <v>16</v>
      </c>
      <c r="E75" s="34">
        <v>331.31</v>
      </c>
      <c r="F75" s="33">
        <v>4</v>
      </c>
      <c r="G75" s="34">
        <v>1325.24</v>
      </c>
      <c r="H75" s="33" t="s">
        <v>54</v>
      </c>
      <c r="I75" s="33" t="str">
        <f t="shared" si="2"/>
        <v>Medium sales</v>
      </c>
      <c r="J75" s="33" t="str">
        <f t="shared" si="3"/>
        <v>not eligible</v>
      </c>
    </row>
    <row r="76" spans="1:10" x14ac:dyDescent="0.35">
      <c r="A76" s="31">
        <v>45631.399305555555</v>
      </c>
      <c r="B76" s="32">
        <v>0.59061342592592592</v>
      </c>
      <c r="C76" s="33" t="s">
        <v>11</v>
      </c>
      <c r="D76" s="33" t="s">
        <v>16</v>
      </c>
      <c r="E76" s="34">
        <v>53.36</v>
      </c>
      <c r="F76" s="33">
        <v>1</v>
      </c>
      <c r="G76" s="34">
        <v>53.36</v>
      </c>
      <c r="H76" s="33" t="s">
        <v>80</v>
      </c>
      <c r="I76" s="33" t="str">
        <f t="shared" si="2"/>
        <v>Low sales</v>
      </c>
      <c r="J76" s="33" t="str">
        <f t="shared" si="3"/>
        <v>not eligible</v>
      </c>
    </row>
    <row r="77" spans="1:10" x14ac:dyDescent="0.35">
      <c r="A77" s="31">
        <v>45153.425000000003</v>
      </c>
      <c r="B77" s="32">
        <v>0.97052083333333339</v>
      </c>
      <c r="C77" s="33" t="s">
        <v>8</v>
      </c>
      <c r="D77" s="33" t="s">
        <v>20</v>
      </c>
      <c r="E77" s="34">
        <v>199.82</v>
      </c>
      <c r="F77" s="33">
        <v>3</v>
      </c>
      <c r="G77" s="34">
        <v>599.46</v>
      </c>
      <c r="H77" s="33" t="s">
        <v>81</v>
      </c>
      <c r="I77" s="33" t="str">
        <f t="shared" si="2"/>
        <v>Medium sales</v>
      </c>
      <c r="J77" s="33" t="str">
        <f t="shared" si="3"/>
        <v>not eligible</v>
      </c>
    </row>
    <row r="78" spans="1:10" x14ac:dyDescent="0.35">
      <c r="A78" s="31">
        <v>45095.284722222219</v>
      </c>
      <c r="B78" s="32">
        <v>9.7280092592592585E-2</v>
      </c>
      <c r="C78" s="33" t="s">
        <v>8</v>
      </c>
      <c r="D78" s="33" t="s">
        <v>12</v>
      </c>
      <c r="E78" s="34">
        <v>189.16</v>
      </c>
      <c r="F78" s="33">
        <v>2</v>
      </c>
      <c r="G78" s="34">
        <v>378.32</v>
      </c>
      <c r="H78" s="33" t="s">
        <v>82</v>
      </c>
      <c r="I78" s="33" t="str">
        <f t="shared" si="2"/>
        <v>Low sales</v>
      </c>
      <c r="J78" s="33" t="str">
        <f t="shared" si="3"/>
        <v>not eligible</v>
      </c>
    </row>
    <row r="79" spans="1:10" x14ac:dyDescent="0.35">
      <c r="A79" s="31">
        <v>45128.79791666667</v>
      </c>
      <c r="B79" s="32">
        <v>0.17666666666666667</v>
      </c>
      <c r="C79" s="33" t="s">
        <v>8</v>
      </c>
      <c r="D79" s="33" t="s">
        <v>9</v>
      </c>
      <c r="E79" s="34">
        <v>361.82</v>
      </c>
      <c r="F79" s="33">
        <v>4</v>
      </c>
      <c r="G79" s="34">
        <v>1447.28</v>
      </c>
      <c r="H79" s="33" t="s">
        <v>83</v>
      </c>
      <c r="I79" s="33" t="str">
        <f t="shared" si="2"/>
        <v>Medium sales</v>
      </c>
      <c r="J79" s="33" t="str">
        <f t="shared" si="3"/>
        <v>not eligible</v>
      </c>
    </row>
    <row r="80" spans="1:10" x14ac:dyDescent="0.35">
      <c r="A80" s="31">
        <v>45270.246527777781</v>
      </c>
      <c r="B80" s="32">
        <v>0.79299768518518521</v>
      </c>
      <c r="C80" s="33" t="s">
        <v>11</v>
      </c>
      <c r="D80" s="33" t="s">
        <v>20</v>
      </c>
      <c r="E80" s="34">
        <v>53.34</v>
      </c>
      <c r="F80" s="33">
        <v>4</v>
      </c>
      <c r="G80" s="34">
        <v>213.36</v>
      </c>
      <c r="H80" s="33" t="s">
        <v>84</v>
      </c>
      <c r="I80" s="33" t="str">
        <f t="shared" si="2"/>
        <v>Low sales</v>
      </c>
      <c r="J80" s="33" t="str">
        <f t="shared" si="3"/>
        <v>not eligible</v>
      </c>
    </row>
    <row r="81" spans="1:10" x14ac:dyDescent="0.35">
      <c r="A81" s="31">
        <v>45542.131249999999</v>
      </c>
      <c r="B81" s="32">
        <v>0.51162037037037034</v>
      </c>
      <c r="C81" s="33" t="s">
        <v>14</v>
      </c>
      <c r="D81" s="33" t="s">
        <v>12</v>
      </c>
      <c r="E81" s="34">
        <v>38.76</v>
      </c>
      <c r="F81" s="33">
        <v>1</v>
      </c>
      <c r="G81" s="34">
        <v>38.76</v>
      </c>
      <c r="H81" s="33" t="s">
        <v>85</v>
      </c>
      <c r="I81" s="33" t="str">
        <f t="shared" si="2"/>
        <v>Low sales</v>
      </c>
      <c r="J81" s="33" t="str">
        <f t="shared" si="3"/>
        <v>not eligible</v>
      </c>
    </row>
    <row r="82" spans="1:10" x14ac:dyDescent="0.35">
      <c r="A82" s="31">
        <v>45594.534722222219</v>
      </c>
      <c r="B82" s="32">
        <v>0.70754629629629628</v>
      </c>
      <c r="C82" s="33" t="s">
        <v>8</v>
      </c>
      <c r="D82" s="33" t="s">
        <v>20</v>
      </c>
      <c r="E82" s="34">
        <v>107.76</v>
      </c>
      <c r="F82" s="33">
        <v>1</v>
      </c>
      <c r="G82" s="34">
        <v>107.76</v>
      </c>
      <c r="H82" s="33" t="s">
        <v>86</v>
      </c>
      <c r="I82" s="33" t="str">
        <f t="shared" si="2"/>
        <v>Low sales</v>
      </c>
      <c r="J82" s="33" t="str">
        <f t="shared" si="3"/>
        <v>not eligible</v>
      </c>
    </row>
    <row r="83" spans="1:10" x14ac:dyDescent="0.35">
      <c r="A83" s="31">
        <v>45514.635416666664</v>
      </c>
      <c r="B83" s="32">
        <v>0.29734953703703704</v>
      </c>
      <c r="C83" s="33" t="s">
        <v>14</v>
      </c>
      <c r="D83" s="33" t="s">
        <v>20</v>
      </c>
      <c r="E83" s="34">
        <v>470.17</v>
      </c>
      <c r="F83" s="33">
        <v>3</v>
      </c>
      <c r="G83" s="34">
        <v>1410.51</v>
      </c>
      <c r="H83" s="33" t="s">
        <v>87</v>
      </c>
      <c r="I83" s="33" t="str">
        <f t="shared" si="2"/>
        <v>Medium sales</v>
      </c>
      <c r="J83" s="33" t="str">
        <f t="shared" si="3"/>
        <v>not eligible</v>
      </c>
    </row>
    <row r="84" spans="1:10" x14ac:dyDescent="0.35">
      <c r="A84" s="31">
        <v>45632.582638888889</v>
      </c>
      <c r="B84" s="32">
        <v>0.10922453703703704</v>
      </c>
      <c r="C84" s="33" t="s">
        <v>8</v>
      </c>
      <c r="D84" s="33" t="s">
        <v>16</v>
      </c>
      <c r="E84" s="34">
        <v>189.19</v>
      </c>
      <c r="F84" s="33">
        <v>2</v>
      </c>
      <c r="G84" s="34">
        <v>378.38</v>
      </c>
      <c r="H84" s="33" t="s">
        <v>88</v>
      </c>
      <c r="I84" s="33" t="str">
        <f t="shared" si="2"/>
        <v>Low sales</v>
      </c>
      <c r="J84" s="33" t="str">
        <f t="shared" si="3"/>
        <v>not eligible</v>
      </c>
    </row>
    <row r="85" spans="1:10" x14ac:dyDescent="0.35">
      <c r="A85" s="31">
        <v>45460.363194444442</v>
      </c>
      <c r="B85" s="32">
        <v>4.1736111111111113E-2</v>
      </c>
      <c r="C85" s="33" t="s">
        <v>14</v>
      </c>
      <c r="D85" s="33" t="s">
        <v>20</v>
      </c>
      <c r="E85" s="34">
        <v>351.26</v>
      </c>
      <c r="F85" s="33">
        <v>5</v>
      </c>
      <c r="G85" s="34">
        <v>1756.3</v>
      </c>
      <c r="H85" s="33" t="s">
        <v>89</v>
      </c>
      <c r="I85" s="33" t="str">
        <f t="shared" si="2"/>
        <v>High sales</v>
      </c>
      <c r="J85" s="33" t="str">
        <f t="shared" si="3"/>
        <v>not eligible</v>
      </c>
    </row>
    <row r="86" spans="1:10" x14ac:dyDescent="0.35">
      <c r="A86" s="31">
        <v>45419.289583333331</v>
      </c>
      <c r="B86" s="32">
        <v>0.49453703703703705</v>
      </c>
      <c r="C86" s="33" t="s">
        <v>8</v>
      </c>
      <c r="D86" s="33" t="s">
        <v>16</v>
      </c>
      <c r="E86" s="34">
        <v>281</v>
      </c>
      <c r="F86" s="33">
        <v>3</v>
      </c>
      <c r="G86" s="34">
        <v>843</v>
      </c>
      <c r="H86" s="33" t="s">
        <v>90</v>
      </c>
      <c r="I86" s="33" t="str">
        <f t="shared" si="2"/>
        <v>Medium sales</v>
      </c>
      <c r="J86" s="33" t="str">
        <f t="shared" si="3"/>
        <v>not eligible</v>
      </c>
    </row>
    <row r="87" spans="1:10" x14ac:dyDescent="0.35">
      <c r="A87" s="31">
        <v>45425.713194444441</v>
      </c>
      <c r="B87" s="32">
        <v>0.30107638888888888</v>
      </c>
      <c r="C87" s="33" t="s">
        <v>8</v>
      </c>
      <c r="D87" s="33" t="s">
        <v>9</v>
      </c>
      <c r="E87" s="34">
        <v>176.74</v>
      </c>
      <c r="F87" s="33">
        <v>4</v>
      </c>
      <c r="G87" s="34">
        <v>706.96</v>
      </c>
      <c r="H87" s="33" t="s">
        <v>29</v>
      </c>
      <c r="I87" s="33" t="str">
        <f t="shared" si="2"/>
        <v>Medium sales</v>
      </c>
      <c r="J87" s="33" t="str">
        <f t="shared" si="3"/>
        <v>not eligible</v>
      </c>
    </row>
    <row r="88" spans="1:10" x14ac:dyDescent="0.35">
      <c r="A88" s="31">
        <v>45541.64166666667</v>
      </c>
      <c r="B88" s="32">
        <v>0.26993055555555556</v>
      </c>
      <c r="C88" s="33" t="s">
        <v>8</v>
      </c>
      <c r="D88" s="33" t="s">
        <v>20</v>
      </c>
      <c r="E88" s="34">
        <v>447.9</v>
      </c>
      <c r="F88" s="33">
        <v>3</v>
      </c>
      <c r="G88" s="34">
        <v>1343.7</v>
      </c>
      <c r="H88" s="33" t="s">
        <v>91</v>
      </c>
      <c r="I88" s="33" t="str">
        <f t="shared" si="2"/>
        <v>Medium sales</v>
      </c>
      <c r="J88" s="33" t="str">
        <f t="shared" si="3"/>
        <v>not eligible</v>
      </c>
    </row>
    <row r="89" spans="1:10" x14ac:dyDescent="0.35">
      <c r="A89" s="31">
        <v>45125.92291666667</v>
      </c>
      <c r="B89" s="32">
        <v>0.31821759259259258</v>
      </c>
      <c r="C89" s="33" t="s">
        <v>8</v>
      </c>
      <c r="D89" s="33" t="s">
        <v>20</v>
      </c>
      <c r="E89" s="34">
        <v>74.78</v>
      </c>
      <c r="F89" s="33">
        <v>4</v>
      </c>
      <c r="G89" s="34">
        <v>299.12</v>
      </c>
      <c r="H89" s="33" t="s">
        <v>92</v>
      </c>
      <c r="I89" s="33" t="str">
        <f t="shared" si="2"/>
        <v>Low sales</v>
      </c>
      <c r="J89" s="33" t="str">
        <f t="shared" si="3"/>
        <v>not eligible</v>
      </c>
    </row>
    <row r="90" spans="1:10" x14ac:dyDescent="0.35">
      <c r="A90" s="31">
        <v>45044.268750000003</v>
      </c>
      <c r="B90" s="32">
        <v>0.80150462962962965</v>
      </c>
      <c r="C90" s="33" t="s">
        <v>11</v>
      </c>
      <c r="D90" s="33" t="s">
        <v>16</v>
      </c>
      <c r="E90" s="34">
        <v>383.7</v>
      </c>
      <c r="F90" s="33">
        <v>5</v>
      </c>
      <c r="G90" s="34">
        <v>1918.5</v>
      </c>
      <c r="H90" s="33" t="s">
        <v>93</v>
      </c>
      <c r="I90" s="33" t="str">
        <f t="shared" si="2"/>
        <v>High sales</v>
      </c>
      <c r="J90" s="33" t="str">
        <f t="shared" si="3"/>
        <v>eligible</v>
      </c>
    </row>
    <row r="91" spans="1:10" x14ac:dyDescent="0.35">
      <c r="A91" s="31">
        <v>45417.513888888891</v>
      </c>
      <c r="B91" s="32">
        <v>0.14685185185185184</v>
      </c>
      <c r="C91" s="33" t="s">
        <v>8</v>
      </c>
      <c r="D91" s="33" t="s">
        <v>20</v>
      </c>
      <c r="E91" s="34">
        <v>404.52</v>
      </c>
      <c r="F91" s="33">
        <v>4</v>
      </c>
      <c r="G91" s="34">
        <v>1618.08</v>
      </c>
      <c r="H91" s="33" t="s">
        <v>94</v>
      </c>
      <c r="I91" s="33" t="str">
        <f t="shared" si="2"/>
        <v>High sales</v>
      </c>
      <c r="J91" s="33" t="str">
        <f t="shared" si="3"/>
        <v>not eligible</v>
      </c>
    </row>
    <row r="92" spans="1:10" x14ac:dyDescent="0.35">
      <c r="A92" s="31">
        <v>45557.910416666666</v>
      </c>
      <c r="B92" s="32">
        <v>0.52357638888888891</v>
      </c>
      <c r="C92" s="33" t="s">
        <v>11</v>
      </c>
      <c r="D92" s="33" t="s">
        <v>20</v>
      </c>
      <c r="E92" s="34">
        <v>224.19</v>
      </c>
      <c r="F92" s="33">
        <v>1</v>
      </c>
      <c r="G92" s="34">
        <v>224.19</v>
      </c>
      <c r="H92" s="33" t="s">
        <v>95</v>
      </c>
      <c r="I92" s="33" t="str">
        <f t="shared" si="2"/>
        <v>Low sales</v>
      </c>
      <c r="J92" s="33" t="str">
        <f t="shared" si="3"/>
        <v>not eligible</v>
      </c>
    </row>
    <row r="93" spans="1:10" x14ac:dyDescent="0.35">
      <c r="A93" s="31">
        <v>45399.053472222222</v>
      </c>
      <c r="B93" s="32">
        <v>0.59092592592592597</v>
      </c>
      <c r="C93" s="33" t="s">
        <v>14</v>
      </c>
      <c r="D93" s="33" t="s">
        <v>27</v>
      </c>
      <c r="E93" s="34">
        <v>43.86</v>
      </c>
      <c r="F93" s="33">
        <v>1</v>
      </c>
      <c r="G93" s="34">
        <v>43.86</v>
      </c>
      <c r="H93" s="33" t="s">
        <v>96</v>
      </c>
      <c r="I93" s="33" t="str">
        <f t="shared" si="2"/>
        <v>Low sales</v>
      </c>
      <c r="J93" s="33" t="str">
        <f t="shared" si="3"/>
        <v>not eligible</v>
      </c>
    </row>
    <row r="94" spans="1:10" x14ac:dyDescent="0.35">
      <c r="A94" s="31">
        <v>45314.713888888888</v>
      </c>
      <c r="B94" s="32">
        <v>0.55579861111111117</v>
      </c>
      <c r="C94" s="33" t="s">
        <v>8</v>
      </c>
      <c r="D94" s="33" t="s">
        <v>20</v>
      </c>
      <c r="E94" s="34">
        <v>478.62</v>
      </c>
      <c r="F94" s="33">
        <v>4</v>
      </c>
      <c r="G94" s="34">
        <v>1914.48</v>
      </c>
      <c r="H94" s="33" t="s">
        <v>97</v>
      </c>
      <c r="I94" s="33" t="str">
        <f t="shared" si="2"/>
        <v>High sales</v>
      </c>
      <c r="J94" s="33" t="str">
        <f t="shared" si="3"/>
        <v>not eligible</v>
      </c>
    </row>
    <row r="95" spans="1:10" x14ac:dyDescent="0.35">
      <c r="A95" s="31">
        <v>45224.589583333334</v>
      </c>
      <c r="B95" s="32">
        <v>0.12306712962962962</v>
      </c>
      <c r="C95" s="33" t="s">
        <v>14</v>
      </c>
      <c r="D95" s="33" t="s">
        <v>9</v>
      </c>
      <c r="E95" s="34">
        <v>411.93</v>
      </c>
      <c r="F95" s="33">
        <v>4</v>
      </c>
      <c r="G95" s="34">
        <v>1647.72</v>
      </c>
      <c r="H95" s="33" t="s">
        <v>98</v>
      </c>
      <c r="I95" s="33" t="str">
        <f t="shared" si="2"/>
        <v>High sales</v>
      </c>
      <c r="J95" s="33" t="str">
        <f t="shared" si="3"/>
        <v>not eligible</v>
      </c>
    </row>
    <row r="96" spans="1:10" x14ac:dyDescent="0.35">
      <c r="A96" s="31">
        <v>45126.976388888892</v>
      </c>
      <c r="B96" s="32">
        <v>0.49979166666666663</v>
      </c>
      <c r="C96" s="33" t="s">
        <v>8</v>
      </c>
      <c r="D96" s="33" t="s">
        <v>12</v>
      </c>
      <c r="E96" s="34">
        <v>324.42</v>
      </c>
      <c r="F96" s="33">
        <v>4</v>
      </c>
      <c r="G96" s="34">
        <v>1297.68</v>
      </c>
      <c r="H96" s="33" t="s">
        <v>99</v>
      </c>
      <c r="I96" s="33" t="str">
        <f t="shared" si="2"/>
        <v>Medium sales</v>
      </c>
      <c r="J96" s="33" t="str">
        <f t="shared" si="3"/>
        <v>not eligible</v>
      </c>
    </row>
    <row r="97" spans="1:10" x14ac:dyDescent="0.35">
      <c r="A97" s="31">
        <v>45177.145833333336</v>
      </c>
      <c r="B97" s="32">
        <v>0.60067129629629623</v>
      </c>
      <c r="C97" s="33" t="s">
        <v>14</v>
      </c>
      <c r="D97" s="33" t="s">
        <v>12</v>
      </c>
      <c r="E97" s="34">
        <v>338.05</v>
      </c>
      <c r="F97" s="33">
        <v>5</v>
      </c>
      <c r="G97" s="34">
        <v>1690.25</v>
      </c>
      <c r="H97" s="33" t="s">
        <v>100</v>
      </c>
      <c r="I97" s="33" t="str">
        <f t="shared" si="2"/>
        <v>High sales</v>
      </c>
      <c r="J97" s="33" t="str">
        <f t="shared" si="3"/>
        <v>not eligible</v>
      </c>
    </row>
    <row r="98" spans="1:10" x14ac:dyDescent="0.35">
      <c r="A98" s="31">
        <v>45279.907638888886</v>
      </c>
      <c r="B98" s="32">
        <v>0.2044560185185185</v>
      </c>
      <c r="C98" s="33" t="s">
        <v>8</v>
      </c>
      <c r="D98" s="33" t="s">
        <v>27</v>
      </c>
      <c r="E98" s="34">
        <v>429.05</v>
      </c>
      <c r="F98" s="33">
        <v>3</v>
      </c>
      <c r="G98" s="34">
        <v>1287.1500000000001</v>
      </c>
      <c r="H98" s="33" t="s">
        <v>101</v>
      </c>
      <c r="I98" s="33" t="str">
        <f t="shared" si="2"/>
        <v>Medium sales</v>
      </c>
      <c r="J98" s="33" t="str">
        <f t="shared" si="3"/>
        <v>not eligible</v>
      </c>
    </row>
    <row r="99" spans="1:10" x14ac:dyDescent="0.35">
      <c r="A99" s="31">
        <v>45215.393055555556</v>
      </c>
      <c r="B99" s="32">
        <v>0.12340277777777779</v>
      </c>
      <c r="C99" s="33" t="s">
        <v>8</v>
      </c>
      <c r="D99" s="33" t="s">
        <v>20</v>
      </c>
      <c r="E99" s="34">
        <v>94.21</v>
      </c>
      <c r="F99" s="33">
        <v>2</v>
      </c>
      <c r="G99" s="34">
        <v>188.42</v>
      </c>
      <c r="H99" s="33" t="s">
        <v>102</v>
      </c>
      <c r="I99" s="33" t="str">
        <f t="shared" si="2"/>
        <v>Low sales</v>
      </c>
      <c r="J99" s="33" t="str">
        <f t="shared" si="3"/>
        <v>not eligible</v>
      </c>
    </row>
    <row r="100" spans="1:10" x14ac:dyDescent="0.35">
      <c r="A100" s="31">
        <v>45167.020833333336</v>
      </c>
      <c r="B100" s="32">
        <v>0.30140046296296297</v>
      </c>
      <c r="C100" s="33" t="s">
        <v>8</v>
      </c>
      <c r="D100" s="33" t="s">
        <v>20</v>
      </c>
      <c r="E100" s="34">
        <v>217.42</v>
      </c>
      <c r="F100" s="33">
        <v>5</v>
      </c>
      <c r="G100" s="34">
        <v>1087.0999999999999</v>
      </c>
      <c r="H100" s="33" t="s">
        <v>103</v>
      </c>
      <c r="I100" s="33" t="str">
        <f t="shared" si="2"/>
        <v>Medium sales</v>
      </c>
      <c r="J100" s="33" t="str">
        <f t="shared" si="3"/>
        <v>not eligible</v>
      </c>
    </row>
    <row r="101" spans="1:10" x14ac:dyDescent="0.35">
      <c r="A101" s="31">
        <v>45614.775000000001</v>
      </c>
      <c r="B101" s="32">
        <v>0.69961805555555545</v>
      </c>
      <c r="C101" s="33" t="s">
        <v>11</v>
      </c>
      <c r="D101" s="33" t="s">
        <v>20</v>
      </c>
      <c r="E101" s="34">
        <v>264.58999999999997</v>
      </c>
      <c r="F101" s="33">
        <v>2</v>
      </c>
      <c r="G101" s="34">
        <v>529.17999999999995</v>
      </c>
      <c r="H101" s="33" t="s">
        <v>104</v>
      </c>
      <c r="I101" s="33" t="str">
        <f t="shared" si="2"/>
        <v>Medium sales</v>
      </c>
      <c r="J101" s="33" t="str">
        <f t="shared" si="3"/>
        <v>not eligible</v>
      </c>
    </row>
    <row r="102" spans="1:10" x14ac:dyDescent="0.35">
      <c r="A102" s="31">
        <v>45019.636805555558</v>
      </c>
      <c r="B102" s="32">
        <v>0.87832175925925926</v>
      </c>
      <c r="C102" s="33" t="s">
        <v>11</v>
      </c>
      <c r="D102" s="33" t="s">
        <v>12</v>
      </c>
      <c r="E102" s="34">
        <v>274.95</v>
      </c>
      <c r="F102" s="33">
        <v>5</v>
      </c>
      <c r="G102" s="34">
        <v>1374.75</v>
      </c>
      <c r="H102" s="33" t="s">
        <v>105</v>
      </c>
      <c r="I102" s="33" t="str">
        <f t="shared" si="2"/>
        <v>Medium sales</v>
      </c>
      <c r="J102" s="33" t="str">
        <f t="shared" si="3"/>
        <v>eligible</v>
      </c>
    </row>
    <row r="103" spans="1:10" x14ac:dyDescent="0.35">
      <c r="A103" s="31">
        <v>45181.540277777778</v>
      </c>
      <c r="B103" s="32">
        <v>0.82939814814814816</v>
      </c>
      <c r="C103" s="33" t="s">
        <v>14</v>
      </c>
      <c r="D103" s="33" t="s">
        <v>20</v>
      </c>
      <c r="E103" s="34">
        <v>217.31</v>
      </c>
      <c r="F103" s="33">
        <v>3</v>
      </c>
      <c r="G103" s="34">
        <v>651.92999999999995</v>
      </c>
      <c r="H103" s="33" t="s">
        <v>106</v>
      </c>
      <c r="I103" s="33" t="str">
        <f t="shared" si="2"/>
        <v>Medium sales</v>
      </c>
      <c r="J103" s="33" t="str">
        <f t="shared" si="3"/>
        <v>not eligible</v>
      </c>
    </row>
    <row r="104" spans="1:10" x14ac:dyDescent="0.35">
      <c r="A104" s="31">
        <v>45568.324999999997</v>
      </c>
      <c r="B104" s="32">
        <v>0.59282407407407411</v>
      </c>
      <c r="C104" s="33" t="s">
        <v>8</v>
      </c>
      <c r="D104" s="33" t="s">
        <v>20</v>
      </c>
      <c r="E104" s="34">
        <v>130.99</v>
      </c>
      <c r="F104" s="33">
        <v>1</v>
      </c>
      <c r="G104" s="34">
        <v>130.99</v>
      </c>
      <c r="H104" s="33" t="s">
        <v>107</v>
      </c>
      <c r="I104" s="33" t="str">
        <f t="shared" si="2"/>
        <v>Low sales</v>
      </c>
      <c r="J104" s="33" t="str">
        <f t="shared" si="3"/>
        <v>not eligible</v>
      </c>
    </row>
    <row r="105" spans="1:10" x14ac:dyDescent="0.35">
      <c r="A105" s="31">
        <v>45553.530555555553</v>
      </c>
      <c r="B105" s="32">
        <v>0.96759259259259256</v>
      </c>
      <c r="C105" s="33" t="s">
        <v>14</v>
      </c>
      <c r="D105" s="33" t="s">
        <v>27</v>
      </c>
      <c r="E105" s="34">
        <v>494.43</v>
      </c>
      <c r="F105" s="33">
        <v>4</v>
      </c>
      <c r="G105" s="34">
        <v>1977.72</v>
      </c>
      <c r="H105" s="33" t="s">
        <v>108</v>
      </c>
      <c r="I105" s="33" t="str">
        <f t="shared" si="2"/>
        <v>High sales</v>
      </c>
      <c r="J105" s="33" t="str">
        <f t="shared" si="3"/>
        <v>not eligible</v>
      </c>
    </row>
    <row r="106" spans="1:10" x14ac:dyDescent="0.35">
      <c r="A106" s="31">
        <v>45185.51458333333</v>
      </c>
      <c r="B106" s="32">
        <v>0.6036921296296297</v>
      </c>
      <c r="C106" s="33" t="s">
        <v>14</v>
      </c>
      <c r="D106" s="33" t="s">
        <v>12</v>
      </c>
      <c r="E106" s="34">
        <v>61.69</v>
      </c>
      <c r="F106" s="33">
        <v>3</v>
      </c>
      <c r="G106" s="34">
        <v>185.07</v>
      </c>
      <c r="H106" s="33" t="s">
        <v>109</v>
      </c>
      <c r="I106" s="33" t="str">
        <f t="shared" si="2"/>
        <v>Low sales</v>
      </c>
      <c r="J106" s="33" t="str">
        <f t="shared" si="3"/>
        <v>not eligible</v>
      </c>
    </row>
    <row r="107" spans="1:10" x14ac:dyDescent="0.35">
      <c r="A107" s="31">
        <v>45531.884722222225</v>
      </c>
      <c r="B107" s="32">
        <v>0.76238425925925923</v>
      </c>
      <c r="C107" s="33" t="s">
        <v>11</v>
      </c>
      <c r="D107" s="33" t="s">
        <v>9</v>
      </c>
      <c r="E107" s="34">
        <v>339.09</v>
      </c>
      <c r="F107" s="33">
        <v>4</v>
      </c>
      <c r="G107" s="34">
        <v>1356.36</v>
      </c>
      <c r="H107" s="33" t="s">
        <v>110</v>
      </c>
      <c r="I107" s="33" t="str">
        <f t="shared" si="2"/>
        <v>Medium sales</v>
      </c>
      <c r="J107" s="33" t="str">
        <f t="shared" si="3"/>
        <v>eligible</v>
      </c>
    </row>
    <row r="108" spans="1:10" x14ac:dyDescent="0.35">
      <c r="A108" s="31">
        <v>45370.690972222219</v>
      </c>
      <c r="B108" s="32">
        <v>0.36351851851851852</v>
      </c>
      <c r="C108" s="33" t="s">
        <v>8</v>
      </c>
      <c r="D108" s="33" t="s">
        <v>27</v>
      </c>
      <c r="E108" s="34">
        <v>344.58</v>
      </c>
      <c r="F108" s="33">
        <v>5</v>
      </c>
      <c r="G108" s="34">
        <v>1722.9</v>
      </c>
      <c r="H108" s="33" t="s">
        <v>111</v>
      </c>
      <c r="I108" s="33" t="str">
        <f t="shared" si="2"/>
        <v>High sales</v>
      </c>
      <c r="J108" s="33" t="str">
        <f t="shared" si="3"/>
        <v>not eligible</v>
      </c>
    </row>
    <row r="109" spans="1:10" x14ac:dyDescent="0.35">
      <c r="A109" s="31">
        <v>45181.554166666669</v>
      </c>
      <c r="B109" s="32">
        <v>0.43972222222222218</v>
      </c>
      <c r="C109" s="33" t="s">
        <v>14</v>
      </c>
      <c r="D109" s="33" t="s">
        <v>20</v>
      </c>
      <c r="E109" s="34">
        <v>101.81</v>
      </c>
      <c r="F109" s="33">
        <v>1</v>
      </c>
      <c r="G109" s="34">
        <v>101.81</v>
      </c>
      <c r="H109" s="33" t="s">
        <v>112</v>
      </c>
      <c r="I109" s="33" t="str">
        <f t="shared" si="2"/>
        <v>Low sales</v>
      </c>
      <c r="J109" s="33" t="str">
        <f t="shared" si="3"/>
        <v>not eligible</v>
      </c>
    </row>
    <row r="110" spans="1:10" x14ac:dyDescent="0.35">
      <c r="A110" s="31">
        <v>45185.914583333331</v>
      </c>
      <c r="B110" s="32">
        <v>0.48391203703703706</v>
      </c>
      <c r="C110" s="33" t="s">
        <v>14</v>
      </c>
      <c r="D110" s="33" t="s">
        <v>16</v>
      </c>
      <c r="E110" s="34">
        <v>226.52</v>
      </c>
      <c r="F110" s="33">
        <v>1</v>
      </c>
      <c r="G110" s="34">
        <v>226.52</v>
      </c>
      <c r="H110" s="33" t="s">
        <v>113</v>
      </c>
      <c r="I110" s="33" t="str">
        <f t="shared" si="2"/>
        <v>Low sales</v>
      </c>
      <c r="J110" s="33" t="str">
        <f t="shared" si="3"/>
        <v>not eligible</v>
      </c>
    </row>
    <row r="111" spans="1:10" x14ac:dyDescent="0.35">
      <c r="A111" s="31">
        <v>45046.918055555558</v>
      </c>
      <c r="B111" s="32">
        <v>0.59868055555555555</v>
      </c>
      <c r="C111" s="33" t="s">
        <v>14</v>
      </c>
      <c r="D111" s="33" t="s">
        <v>9</v>
      </c>
      <c r="E111" s="34">
        <v>304.22000000000003</v>
      </c>
      <c r="F111" s="33">
        <v>1</v>
      </c>
      <c r="G111" s="34">
        <v>304.22000000000003</v>
      </c>
      <c r="H111" s="33" t="s">
        <v>78</v>
      </c>
      <c r="I111" s="33" t="str">
        <f t="shared" si="2"/>
        <v>Low sales</v>
      </c>
      <c r="J111" s="33" t="str">
        <f t="shared" si="3"/>
        <v>not eligible</v>
      </c>
    </row>
    <row r="112" spans="1:10" x14ac:dyDescent="0.35">
      <c r="A112" s="31">
        <v>45353.824305555558</v>
      </c>
      <c r="B112" s="32">
        <v>6.6875000000000004E-2</v>
      </c>
      <c r="C112" s="33" t="s">
        <v>14</v>
      </c>
      <c r="D112" s="33" t="s">
        <v>20</v>
      </c>
      <c r="E112" s="34">
        <v>65.72</v>
      </c>
      <c r="F112" s="33">
        <v>4</v>
      </c>
      <c r="G112" s="34">
        <v>262.88</v>
      </c>
      <c r="H112" s="33" t="s">
        <v>58</v>
      </c>
      <c r="I112" s="33" t="str">
        <f t="shared" si="2"/>
        <v>Low sales</v>
      </c>
      <c r="J112" s="33" t="str">
        <f t="shared" si="3"/>
        <v>not eligible</v>
      </c>
    </row>
    <row r="113" spans="1:10" x14ac:dyDescent="0.35">
      <c r="A113" s="31">
        <v>45221.788888888892</v>
      </c>
      <c r="B113" s="32">
        <v>0.97472222222222227</v>
      </c>
      <c r="C113" s="33" t="s">
        <v>11</v>
      </c>
      <c r="D113" s="33" t="s">
        <v>9</v>
      </c>
      <c r="E113" s="34">
        <v>23.07</v>
      </c>
      <c r="F113" s="33">
        <v>2</v>
      </c>
      <c r="G113" s="34">
        <v>46.14</v>
      </c>
      <c r="H113" s="33" t="s">
        <v>114</v>
      </c>
      <c r="I113" s="33" t="str">
        <f t="shared" si="2"/>
        <v>Low sales</v>
      </c>
      <c r="J113" s="33" t="str">
        <f t="shared" si="3"/>
        <v>not eligible</v>
      </c>
    </row>
    <row r="114" spans="1:10" x14ac:dyDescent="0.35">
      <c r="A114" s="31">
        <v>45192.236111111109</v>
      </c>
      <c r="B114" s="32">
        <v>1.7210648148148149E-2</v>
      </c>
      <c r="C114" s="33" t="s">
        <v>14</v>
      </c>
      <c r="D114" s="33" t="s">
        <v>9</v>
      </c>
      <c r="E114" s="34">
        <v>236.09</v>
      </c>
      <c r="F114" s="33">
        <v>5</v>
      </c>
      <c r="G114" s="34">
        <v>1180.45</v>
      </c>
      <c r="H114" s="33" t="s">
        <v>115</v>
      </c>
      <c r="I114" s="33" t="str">
        <f t="shared" si="2"/>
        <v>Medium sales</v>
      </c>
      <c r="J114" s="33" t="str">
        <f t="shared" si="3"/>
        <v>not eligible</v>
      </c>
    </row>
    <row r="115" spans="1:10" x14ac:dyDescent="0.35">
      <c r="A115" s="31">
        <v>44993.323611111111</v>
      </c>
      <c r="B115" s="32">
        <v>0.49927083333333333</v>
      </c>
      <c r="C115" s="33" t="s">
        <v>14</v>
      </c>
      <c r="D115" s="33" t="s">
        <v>16</v>
      </c>
      <c r="E115" s="34">
        <v>484.31</v>
      </c>
      <c r="F115" s="33">
        <v>5</v>
      </c>
      <c r="G115" s="34">
        <v>2421.5500000000002</v>
      </c>
      <c r="H115" s="33" t="s">
        <v>65</v>
      </c>
      <c r="I115" s="33" t="str">
        <f t="shared" si="2"/>
        <v>High sales</v>
      </c>
      <c r="J115" s="33" t="str">
        <f t="shared" si="3"/>
        <v>not eligible</v>
      </c>
    </row>
    <row r="116" spans="1:10" x14ac:dyDescent="0.35">
      <c r="A116" s="31">
        <v>45065.147916666669</v>
      </c>
      <c r="B116" s="32">
        <v>0.17818287037037037</v>
      </c>
      <c r="C116" s="33" t="s">
        <v>8</v>
      </c>
      <c r="D116" s="33" t="s">
        <v>9</v>
      </c>
      <c r="E116" s="34">
        <v>410.03</v>
      </c>
      <c r="F116" s="33">
        <v>3</v>
      </c>
      <c r="G116" s="34">
        <v>1230.0899999999999</v>
      </c>
      <c r="H116" s="33" t="s">
        <v>116</v>
      </c>
      <c r="I116" s="33" t="str">
        <f t="shared" si="2"/>
        <v>Medium sales</v>
      </c>
      <c r="J116" s="33" t="str">
        <f t="shared" si="3"/>
        <v>not eligible</v>
      </c>
    </row>
    <row r="117" spans="1:10" x14ac:dyDescent="0.35">
      <c r="A117" s="31">
        <v>45579.734722222223</v>
      </c>
      <c r="B117" s="32">
        <v>0.65687499999999999</v>
      </c>
      <c r="C117" s="33" t="s">
        <v>14</v>
      </c>
      <c r="D117" s="33" t="s">
        <v>16</v>
      </c>
      <c r="E117" s="34">
        <v>402.41</v>
      </c>
      <c r="F117" s="33">
        <v>5</v>
      </c>
      <c r="G117" s="34">
        <v>2012.05</v>
      </c>
      <c r="H117" s="33" t="s">
        <v>117</v>
      </c>
      <c r="I117" s="33" t="str">
        <f t="shared" si="2"/>
        <v>High sales</v>
      </c>
      <c r="J117" s="33" t="str">
        <f t="shared" si="3"/>
        <v>not eligible</v>
      </c>
    </row>
    <row r="118" spans="1:10" x14ac:dyDescent="0.35">
      <c r="A118" s="31">
        <v>45137.650694444441</v>
      </c>
      <c r="B118" s="32">
        <v>4.5266203703703704E-2</v>
      </c>
      <c r="C118" s="33" t="s">
        <v>11</v>
      </c>
      <c r="D118" s="33" t="s">
        <v>27</v>
      </c>
      <c r="E118" s="34">
        <v>197.65</v>
      </c>
      <c r="F118" s="33">
        <v>1</v>
      </c>
      <c r="G118" s="34">
        <v>197.65</v>
      </c>
      <c r="H118" s="33" t="s">
        <v>75</v>
      </c>
      <c r="I118" s="33" t="str">
        <f t="shared" si="2"/>
        <v>Low sales</v>
      </c>
      <c r="J118" s="33" t="str">
        <f t="shared" si="3"/>
        <v>not eligible</v>
      </c>
    </row>
    <row r="119" spans="1:10" x14ac:dyDescent="0.35">
      <c r="A119" s="31">
        <v>44931.553472222222</v>
      </c>
      <c r="B119" s="32">
        <v>0.67924768518518519</v>
      </c>
      <c r="C119" s="33" t="s">
        <v>14</v>
      </c>
      <c r="D119" s="33" t="s">
        <v>20</v>
      </c>
      <c r="E119" s="34">
        <v>336.23</v>
      </c>
      <c r="F119" s="33">
        <v>2</v>
      </c>
      <c r="G119" s="34">
        <v>672.46</v>
      </c>
      <c r="H119" s="33" t="s">
        <v>78</v>
      </c>
      <c r="I119" s="33" t="str">
        <f t="shared" si="2"/>
        <v>Medium sales</v>
      </c>
      <c r="J119" s="33" t="str">
        <f t="shared" si="3"/>
        <v>not eligible</v>
      </c>
    </row>
    <row r="120" spans="1:10" x14ac:dyDescent="0.35">
      <c r="A120" s="31">
        <v>45039.580555555556</v>
      </c>
      <c r="B120" s="32">
        <v>8.818287037037037E-2</v>
      </c>
      <c r="C120" s="33" t="s">
        <v>14</v>
      </c>
      <c r="D120" s="33" t="s">
        <v>27</v>
      </c>
      <c r="E120" s="34">
        <v>38.229999999999997</v>
      </c>
      <c r="F120" s="33">
        <v>2</v>
      </c>
      <c r="G120" s="34">
        <v>76.459999999999994</v>
      </c>
      <c r="H120" s="33" t="s">
        <v>86</v>
      </c>
      <c r="I120" s="33" t="str">
        <f t="shared" si="2"/>
        <v>Low sales</v>
      </c>
      <c r="J120" s="33" t="str">
        <f t="shared" si="3"/>
        <v>not eligible</v>
      </c>
    </row>
    <row r="121" spans="1:10" x14ac:dyDescent="0.35">
      <c r="A121" s="31">
        <v>45495.973611111112</v>
      </c>
      <c r="B121" s="32">
        <v>3.4039351851851855E-2</v>
      </c>
      <c r="C121" s="33" t="s">
        <v>8</v>
      </c>
      <c r="D121" s="33" t="s">
        <v>9</v>
      </c>
      <c r="E121" s="34">
        <v>116.44</v>
      </c>
      <c r="F121" s="33">
        <v>4</v>
      </c>
      <c r="G121" s="34">
        <v>465.76</v>
      </c>
      <c r="H121" s="33" t="s">
        <v>118</v>
      </c>
      <c r="I121" s="33" t="str">
        <f t="shared" si="2"/>
        <v>Low sales</v>
      </c>
      <c r="J121" s="33" t="str">
        <f t="shared" si="3"/>
        <v>not eligible</v>
      </c>
    </row>
    <row r="122" spans="1:10" x14ac:dyDescent="0.35">
      <c r="A122" s="31">
        <v>45037.467361111114</v>
      </c>
      <c r="B122" s="32">
        <v>0.58004629629629634</v>
      </c>
      <c r="C122" s="33" t="s">
        <v>14</v>
      </c>
      <c r="D122" s="33" t="s">
        <v>27</v>
      </c>
      <c r="E122" s="34">
        <v>235.6</v>
      </c>
      <c r="F122" s="33">
        <v>1</v>
      </c>
      <c r="G122" s="34">
        <v>235.6</v>
      </c>
      <c r="H122" s="33" t="s">
        <v>119</v>
      </c>
      <c r="I122" s="33" t="str">
        <f t="shared" si="2"/>
        <v>Low sales</v>
      </c>
      <c r="J122" s="33" t="str">
        <f t="shared" si="3"/>
        <v>not eligible</v>
      </c>
    </row>
    <row r="123" spans="1:10" x14ac:dyDescent="0.35">
      <c r="A123" s="31">
        <v>44940.592361111114</v>
      </c>
      <c r="B123" s="32">
        <v>0.22964120370370369</v>
      </c>
      <c r="C123" s="33" t="s">
        <v>11</v>
      </c>
      <c r="D123" s="33" t="s">
        <v>16</v>
      </c>
      <c r="E123" s="34">
        <v>80.010000000000005</v>
      </c>
      <c r="F123" s="33">
        <v>2</v>
      </c>
      <c r="G123" s="34">
        <v>160.02000000000001</v>
      </c>
      <c r="H123" s="33" t="s">
        <v>120</v>
      </c>
      <c r="I123" s="33" t="str">
        <f t="shared" si="2"/>
        <v>Low sales</v>
      </c>
      <c r="J123" s="33" t="str">
        <f t="shared" si="3"/>
        <v>not eligible</v>
      </c>
    </row>
    <row r="124" spans="1:10" x14ac:dyDescent="0.35">
      <c r="A124" s="31">
        <v>45228.655555555553</v>
      </c>
      <c r="B124" s="32">
        <v>0.79800925925925925</v>
      </c>
      <c r="C124" s="33" t="s">
        <v>11</v>
      </c>
      <c r="D124" s="33" t="s">
        <v>12</v>
      </c>
      <c r="E124" s="34">
        <v>194.62</v>
      </c>
      <c r="F124" s="33">
        <v>5</v>
      </c>
      <c r="G124" s="34">
        <v>973.1</v>
      </c>
      <c r="H124" s="33" t="s">
        <v>121</v>
      </c>
      <c r="I124" s="33" t="str">
        <f t="shared" si="2"/>
        <v>Medium sales</v>
      </c>
      <c r="J124" s="33" t="str">
        <f t="shared" si="3"/>
        <v>not eligible</v>
      </c>
    </row>
    <row r="125" spans="1:10" x14ac:dyDescent="0.35">
      <c r="A125" s="31">
        <v>45404.478472222225</v>
      </c>
      <c r="B125" s="32">
        <v>0.1106712962962963</v>
      </c>
      <c r="C125" s="33" t="s">
        <v>14</v>
      </c>
      <c r="D125" s="33" t="s">
        <v>12</v>
      </c>
      <c r="E125" s="34">
        <v>396.47</v>
      </c>
      <c r="F125" s="33">
        <v>4</v>
      </c>
      <c r="G125" s="34">
        <v>1585.88</v>
      </c>
      <c r="H125" s="33" t="s">
        <v>122</v>
      </c>
      <c r="I125" s="33" t="str">
        <f t="shared" si="2"/>
        <v>High sales</v>
      </c>
      <c r="J125" s="33" t="str">
        <f t="shared" si="3"/>
        <v>not eligible</v>
      </c>
    </row>
    <row r="126" spans="1:10" x14ac:dyDescent="0.35">
      <c r="A126" s="31">
        <v>45322.859027777777</v>
      </c>
      <c r="B126" s="32">
        <v>0.84334490740740742</v>
      </c>
      <c r="C126" s="33" t="s">
        <v>14</v>
      </c>
      <c r="D126" s="33" t="s">
        <v>16</v>
      </c>
      <c r="E126" s="34">
        <v>372.57</v>
      </c>
      <c r="F126" s="33">
        <v>5</v>
      </c>
      <c r="G126" s="34">
        <v>1862.85</v>
      </c>
      <c r="H126" s="33" t="s">
        <v>123</v>
      </c>
      <c r="I126" s="33" t="str">
        <f t="shared" si="2"/>
        <v>High sales</v>
      </c>
      <c r="J126" s="33" t="str">
        <f t="shared" si="3"/>
        <v>not eligible</v>
      </c>
    </row>
    <row r="127" spans="1:10" x14ac:dyDescent="0.35">
      <c r="A127" s="31">
        <v>45388.850694444445</v>
      </c>
      <c r="B127" s="32">
        <v>0.73274305555555552</v>
      </c>
      <c r="C127" s="33" t="s">
        <v>8</v>
      </c>
      <c r="D127" s="33" t="s">
        <v>9</v>
      </c>
      <c r="E127" s="34">
        <v>295.87</v>
      </c>
      <c r="F127" s="33">
        <v>5</v>
      </c>
      <c r="G127" s="34">
        <v>1479.35</v>
      </c>
      <c r="H127" s="33" t="s">
        <v>124</v>
      </c>
      <c r="I127" s="33" t="str">
        <f t="shared" si="2"/>
        <v>Medium sales</v>
      </c>
      <c r="J127" s="33" t="str">
        <f t="shared" si="3"/>
        <v>not eligible</v>
      </c>
    </row>
    <row r="128" spans="1:10" x14ac:dyDescent="0.35">
      <c r="A128" s="31">
        <v>45598.259027777778</v>
      </c>
      <c r="B128" s="32">
        <v>0.54932870370370368</v>
      </c>
      <c r="C128" s="33" t="s">
        <v>8</v>
      </c>
      <c r="D128" s="33" t="s">
        <v>12</v>
      </c>
      <c r="E128" s="34">
        <v>16.43</v>
      </c>
      <c r="F128" s="33">
        <v>2</v>
      </c>
      <c r="G128" s="34">
        <v>32.86</v>
      </c>
      <c r="H128" s="33" t="s">
        <v>125</v>
      </c>
      <c r="I128" s="33" t="str">
        <f t="shared" si="2"/>
        <v>Low sales</v>
      </c>
      <c r="J128" s="33" t="str">
        <f t="shared" si="3"/>
        <v>not eligible</v>
      </c>
    </row>
    <row r="129" spans="1:10" x14ac:dyDescent="0.35">
      <c r="A129" s="31">
        <v>45315.320138888892</v>
      </c>
      <c r="B129" s="32">
        <v>0.80439814814814825</v>
      </c>
      <c r="C129" s="33" t="s">
        <v>14</v>
      </c>
      <c r="D129" s="33" t="s">
        <v>16</v>
      </c>
      <c r="E129" s="34">
        <v>440.19</v>
      </c>
      <c r="F129" s="33">
        <v>4</v>
      </c>
      <c r="G129" s="34">
        <v>1760.76</v>
      </c>
      <c r="H129" s="33" t="s">
        <v>77</v>
      </c>
      <c r="I129" s="33" t="str">
        <f t="shared" si="2"/>
        <v>High sales</v>
      </c>
      <c r="J129" s="33" t="str">
        <f t="shared" si="3"/>
        <v>not eligible</v>
      </c>
    </row>
    <row r="130" spans="1:10" x14ac:dyDescent="0.35">
      <c r="A130" s="31">
        <v>45243.777083333334</v>
      </c>
      <c r="B130" s="32">
        <v>0.16361111111111112</v>
      </c>
      <c r="C130" s="33" t="s">
        <v>14</v>
      </c>
      <c r="D130" s="33" t="s">
        <v>12</v>
      </c>
      <c r="E130" s="34">
        <v>216.77</v>
      </c>
      <c r="F130" s="33">
        <v>2</v>
      </c>
      <c r="G130" s="34">
        <v>433.54</v>
      </c>
      <c r="H130" s="33" t="s">
        <v>115</v>
      </c>
      <c r="I130" s="33" t="str">
        <f t="shared" si="2"/>
        <v>Low sales</v>
      </c>
      <c r="J130" s="33" t="str">
        <f t="shared" si="3"/>
        <v>not eligible</v>
      </c>
    </row>
    <row r="131" spans="1:10" x14ac:dyDescent="0.35">
      <c r="A131" s="31">
        <v>45639.809027777781</v>
      </c>
      <c r="B131" s="32">
        <v>0.94552083333333325</v>
      </c>
      <c r="C131" s="33" t="s">
        <v>11</v>
      </c>
      <c r="D131" s="33" t="s">
        <v>20</v>
      </c>
      <c r="E131" s="34">
        <v>448.36</v>
      </c>
      <c r="F131" s="33">
        <v>3</v>
      </c>
      <c r="G131" s="34">
        <v>1345.08</v>
      </c>
      <c r="H131" s="33" t="s">
        <v>36</v>
      </c>
      <c r="I131" s="33" t="str">
        <f t="shared" ref="I131:I194" si="4">IF(G131&gt;1500,"High sales", IF(G131&gt;500,"Medium sales", "Low sales"))</f>
        <v>Medium sales</v>
      </c>
      <c r="J131" s="33" t="str">
        <f t="shared" ref="J131:J194" si="5">IF(AND(G131&gt;1000,C131="Premium"), "eligible", "not eligible")</f>
        <v>eligible</v>
      </c>
    </row>
    <row r="132" spans="1:10" x14ac:dyDescent="0.35">
      <c r="A132" s="31">
        <v>44976.897222222222</v>
      </c>
      <c r="B132" s="32">
        <v>0.69305555555555554</v>
      </c>
      <c r="C132" s="33" t="s">
        <v>11</v>
      </c>
      <c r="D132" s="33" t="s">
        <v>20</v>
      </c>
      <c r="E132" s="34">
        <v>406.56</v>
      </c>
      <c r="F132" s="33">
        <v>2</v>
      </c>
      <c r="G132" s="34">
        <v>813.12</v>
      </c>
      <c r="H132" s="33" t="s">
        <v>126</v>
      </c>
      <c r="I132" s="33" t="str">
        <f t="shared" si="4"/>
        <v>Medium sales</v>
      </c>
      <c r="J132" s="33" t="str">
        <f t="shared" si="5"/>
        <v>not eligible</v>
      </c>
    </row>
    <row r="133" spans="1:10" x14ac:dyDescent="0.35">
      <c r="A133" s="31">
        <v>45468.84097222222</v>
      </c>
      <c r="B133" s="32">
        <v>0.39483796296296297</v>
      </c>
      <c r="C133" s="33" t="s">
        <v>11</v>
      </c>
      <c r="D133" s="33" t="s">
        <v>20</v>
      </c>
      <c r="E133" s="34">
        <v>221.76</v>
      </c>
      <c r="F133" s="33">
        <v>1</v>
      </c>
      <c r="G133" s="34">
        <v>221.76</v>
      </c>
      <c r="H133" s="33" t="s">
        <v>127</v>
      </c>
      <c r="I133" s="33" t="str">
        <f t="shared" si="4"/>
        <v>Low sales</v>
      </c>
      <c r="J133" s="33" t="str">
        <f t="shared" si="5"/>
        <v>not eligible</v>
      </c>
    </row>
    <row r="134" spans="1:10" x14ac:dyDescent="0.35">
      <c r="A134" s="31">
        <v>45440.24722222222</v>
      </c>
      <c r="B134" s="32">
        <v>5.8298611111111114E-2</v>
      </c>
      <c r="C134" s="33" t="s">
        <v>14</v>
      </c>
      <c r="D134" s="33" t="s">
        <v>9</v>
      </c>
      <c r="E134" s="34">
        <v>220.95</v>
      </c>
      <c r="F134" s="33">
        <v>3</v>
      </c>
      <c r="G134" s="34">
        <v>662.85</v>
      </c>
      <c r="H134" s="33" t="s">
        <v>128</v>
      </c>
      <c r="I134" s="33" t="str">
        <f t="shared" si="4"/>
        <v>Medium sales</v>
      </c>
      <c r="J134" s="33" t="str">
        <f t="shared" si="5"/>
        <v>not eligible</v>
      </c>
    </row>
    <row r="135" spans="1:10" x14ac:dyDescent="0.35">
      <c r="A135" s="31">
        <v>45147.172222222223</v>
      </c>
      <c r="B135" s="32">
        <v>0.13673611111111111</v>
      </c>
      <c r="C135" s="33" t="s">
        <v>11</v>
      </c>
      <c r="D135" s="33" t="s">
        <v>16</v>
      </c>
      <c r="E135" s="34">
        <v>429.75</v>
      </c>
      <c r="F135" s="33">
        <v>5</v>
      </c>
      <c r="G135" s="34">
        <v>2148.75</v>
      </c>
      <c r="H135" s="33" t="s">
        <v>22</v>
      </c>
      <c r="I135" s="33" t="str">
        <f t="shared" si="4"/>
        <v>High sales</v>
      </c>
      <c r="J135" s="33" t="str">
        <f t="shared" si="5"/>
        <v>eligible</v>
      </c>
    </row>
    <row r="136" spans="1:10" x14ac:dyDescent="0.35">
      <c r="A136" s="31">
        <v>45331.455555555556</v>
      </c>
      <c r="B136" s="32">
        <v>2.0173611111111111E-2</v>
      </c>
      <c r="C136" s="33" t="s">
        <v>8</v>
      </c>
      <c r="D136" s="33" t="s">
        <v>20</v>
      </c>
      <c r="E136" s="34">
        <v>469.21</v>
      </c>
      <c r="F136" s="33">
        <v>1</v>
      </c>
      <c r="G136" s="34">
        <v>469.21</v>
      </c>
      <c r="H136" s="33" t="s">
        <v>129</v>
      </c>
      <c r="I136" s="33" t="str">
        <f t="shared" si="4"/>
        <v>Low sales</v>
      </c>
      <c r="J136" s="33" t="str">
        <f t="shared" si="5"/>
        <v>not eligible</v>
      </c>
    </row>
    <row r="137" spans="1:10" x14ac:dyDescent="0.35">
      <c r="A137" s="31">
        <v>45582.989583333336</v>
      </c>
      <c r="B137" s="32">
        <v>0.9028356481481481</v>
      </c>
      <c r="C137" s="33" t="s">
        <v>14</v>
      </c>
      <c r="D137" s="33" t="s">
        <v>9</v>
      </c>
      <c r="E137" s="34">
        <v>217.83</v>
      </c>
      <c r="F137" s="33">
        <v>5</v>
      </c>
      <c r="G137" s="34">
        <v>1089.1500000000001</v>
      </c>
      <c r="H137" s="33" t="s">
        <v>130</v>
      </c>
      <c r="I137" s="33" t="str">
        <f t="shared" si="4"/>
        <v>Medium sales</v>
      </c>
      <c r="J137" s="33" t="str">
        <f t="shared" si="5"/>
        <v>not eligible</v>
      </c>
    </row>
    <row r="138" spans="1:10" x14ac:dyDescent="0.35">
      <c r="A138" s="31">
        <v>45036.74722222222</v>
      </c>
      <c r="B138" s="32">
        <v>3.9837962962962964E-2</v>
      </c>
      <c r="C138" s="33" t="s">
        <v>8</v>
      </c>
      <c r="D138" s="33" t="s">
        <v>16</v>
      </c>
      <c r="E138" s="34">
        <v>302.26</v>
      </c>
      <c r="F138" s="33">
        <v>4</v>
      </c>
      <c r="G138" s="34">
        <v>1209.04</v>
      </c>
      <c r="H138" s="33" t="s">
        <v>131</v>
      </c>
      <c r="I138" s="33" t="str">
        <f t="shared" si="4"/>
        <v>Medium sales</v>
      </c>
      <c r="J138" s="33" t="str">
        <f t="shared" si="5"/>
        <v>not eligible</v>
      </c>
    </row>
    <row r="139" spans="1:10" x14ac:dyDescent="0.35">
      <c r="A139" s="31">
        <v>44931.144444444442</v>
      </c>
      <c r="B139" s="32">
        <v>0.57630787037037035</v>
      </c>
      <c r="C139" s="33" t="s">
        <v>11</v>
      </c>
      <c r="D139" s="33" t="s">
        <v>16</v>
      </c>
      <c r="E139" s="34">
        <v>365.97</v>
      </c>
      <c r="F139" s="33">
        <v>4</v>
      </c>
      <c r="G139" s="34">
        <v>1463.88</v>
      </c>
      <c r="H139" s="33" t="s">
        <v>132</v>
      </c>
      <c r="I139" s="33" t="str">
        <f t="shared" si="4"/>
        <v>Medium sales</v>
      </c>
      <c r="J139" s="33" t="str">
        <f t="shared" si="5"/>
        <v>eligible</v>
      </c>
    </row>
    <row r="140" spans="1:10" x14ac:dyDescent="0.35">
      <c r="A140" s="31">
        <v>45593.363888888889</v>
      </c>
      <c r="B140" s="32">
        <v>0.91399305555555566</v>
      </c>
      <c r="C140" s="33" t="s">
        <v>14</v>
      </c>
      <c r="D140" s="33" t="s">
        <v>20</v>
      </c>
      <c r="E140" s="34">
        <v>404.88</v>
      </c>
      <c r="F140" s="33">
        <v>4</v>
      </c>
      <c r="G140" s="34">
        <v>1619.52</v>
      </c>
      <c r="H140" s="33" t="s">
        <v>133</v>
      </c>
      <c r="I140" s="33" t="str">
        <f t="shared" si="4"/>
        <v>High sales</v>
      </c>
      <c r="J140" s="33" t="str">
        <f t="shared" si="5"/>
        <v>not eligible</v>
      </c>
    </row>
    <row r="141" spans="1:10" x14ac:dyDescent="0.35">
      <c r="A141" s="31">
        <v>45643.734722222223</v>
      </c>
      <c r="B141" s="32">
        <v>0.19928240740740741</v>
      </c>
      <c r="C141" s="33" t="s">
        <v>11</v>
      </c>
      <c r="D141" s="33" t="s">
        <v>16</v>
      </c>
      <c r="E141" s="34">
        <v>97.28</v>
      </c>
      <c r="F141" s="33">
        <v>4</v>
      </c>
      <c r="G141" s="34">
        <v>389.12</v>
      </c>
      <c r="H141" s="33" t="s">
        <v>134</v>
      </c>
      <c r="I141" s="33" t="str">
        <f t="shared" si="4"/>
        <v>Low sales</v>
      </c>
      <c r="J141" s="33" t="str">
        <f t="shared" si="5"/>
        <v>not eligible</v>
      </c>
    </row>
    <row r="142" spans="1:10" x14ac:dyDescent="0.35">
      <c r="A142" s="31">
        <v>45619.977083333331</v>
      </c>
      <c r="B142" s="32">
        <v>0.22363425925925925</v>
      </c>
      <c r="C142" s="33" t="s">
        <v>14</v>
      </c>
      <c r="D142" s="33" t="s">
        <v>20</v>
      </c>
      <c r="E142" s="34">
        <v>262.89</v>
      </c>
      <c r="F142" s="33">
        <v>4</v>
      </c>
      <c r="G142" s="34">
        <v>1051.56</v>
      </c>
      <c r="H142" s="33" t="s">
        <v>135</v>
      </c>
      <c r="I142" s="33" t="str">
        <f t="shared" si="4"/>
        <v>Medium sales</v>
      </c>
      <c r="J142" s="33" t="str">
        <f t="shared" si="5"/>
        <v>not eligible</v>
      </c>
    </row>
    <row r="143" spans="1:10" x14ac:dyDescent="0.35">
      <c r="A143" s="31">
        <v>45380.638194444444</v>
      </c>
      <c r="B143" s="32">
        <v>0.87918981481481484</v>
      </c>
      <c r="C143" s="33" t="s">
        <v>11</v>
      </c>
      <c r="D143" s="33" t="s">
        <v>16</v>
      </c>
      <c r="E143" s="34">
        <v>344.72</v>
      </c>
      <c r="F143" s="33">
        <v>5</v>
      </c>
      <c r="G143" s="34">
        <v>1723.6</v>
      </c>
      <c r="H143" s="33" t="s">
        <v>136</v>
      </c>
      <c r="I143" s="33" t="str">
        <f t="shared" si="4"/>
        <v>High sales</v>
      </c>
      <c r="J143" s="33" t="str">
        <f t="shared" si="5"/>
        <v>eligible</v>
      </c>
    </row>
    <row r="144" spans="1:10" x14ac:dyDescent="0.35">
      <c r="A144" s="31">
        <v>44929.699305555558</v>
      </c>
      <c r="B144" s="32">
        <v>0.31149305555555556</v>
      </c>
      <c r="C144" s="33" t="s">
        <v>14</v>
      </c>
      <c r="D144" s="33" t="s">
        <v>16</v>
      </c>
      <c r="E144" s="34">
        <v>336.85</v>
      </c>
      <c r="F144" s="33">
        <v>1</v>
      </c>
      <c r="G144" s="34">
        <v>336.85</v>
      </c>
      <c r="H144" s="33" t="s">
        <v>137</v>
      </c>
      <c r="I144" s="33" t="str">
        <f t="shared" si="4"/>
        <v>Low sales</v>
      </c>
      <c r="J144" s="33" t="str">
        <f t="shared" si="5"/>
        <v>not eligible</v>
      </c>
    </row>
    <row r="145" spans="1:10" x14ac:dyDescent="0.35">
      <c r="A145" s="31">
        <v>44949.979166666664</v>
      </c>
      <c r="B145" s="32">
        <v>0.70328703703703699</v>
      </c>
      <c r="C145" s="33" t="s">
        <v>11</v>
      </c>
      <c r="D145" s="33" t="s">
        <v>27</v>
      </c>
      <c r="E145" s="34">
        <v>217.13</v>
      </c>
      <c r="F145" s="33">
        <v>1</v>
      </c>
      <c r="G145" s="34">
        <v>217.13</v>
      </c>
      <c r="H145" s="33" t="s">
        <v>138</v>
      </c>
      <c r="I145" s="33" t="str">
        <f t="shared" si="4"/>
        <v>Low sales</v>
      </c>
      <c r="J145" s="33" t="str">
        <f t="shared" si="5"/>
        <v>not eligible</v>
      </c>
    </row>
    <row r="146" spans="1:10" x14ac:dyDescent="0.35">
      <c r="A146" s="31">
        <v>44961.700694444444</v>
      </c>
      <c r="B146" s="32">
        <v>0.68291666666666673</v>
      </c>
      <c r="C146" s="33" t="s">
        <v>14</v>
      </c>
      <c r="D146" s="33" t="s">
        <v>27</v>
      </c>
      <c r="E146" s="34">
        <v>343.97</v>
      </c>
      <c r="F146" s="33">
        <v>2</v>
      </c>
      <c r="G146" s="34">
        <v>687.94</v>
      </c>
      <c r="H146" s="33" t="s">
        <v>139</v>
      </c>
      <c r="I146" s="33" t="str">
        <f t="shared" si="4"/>
        <v>Medium sales</v>
      </c>
      <c r="J146" s="33" t="str">
        <f t="shared" si="5"/>
        <v>not eligible</v>
      </c>
    </row>
    <row r="147" spans="1:10" x14ac:dyDescent="0.35">
      <c r="A147" s="31">
        <v>45189.178472222222</v>
      </c>
      <c r="B147" s="32">
        <v>0.51362268518518517</v>
      </c>
      <c r="C147" s="33" t="s">
        <v>8</v>
      </c>
      <c r="D147" s="33" t="s">
        <v>12</v>
      </c>
      <c r="E147" s="34">
        <v>61.65</v>
      </c>
      <c r="F147" s="33">
        <v>4</v>
      </c>
      <c r="G147" s="34">
        <v>246.6</v>
      </c>
      <c r="H147" s="33" t="s">
        <v>139</v>
      </c>
      <c r="I147" s="33" t="str">
        <f t="shared" si="4"/>
        <v>Low sales</v>
      </c>
      <c r="J147" s="33" t="str">
        <f t="shared" si="5"/>
        <v>not eligible</v>
      </c>
    </row>
    <row r="148" spans="1:10" x14ac:dyDescent="0.35">
      <c r="A148" s="31">
        <v>45058.774305555555</v>
      </c>
      <c r="B148" s="32">
        <v>0.81480324074074073</v>
      </c>
      <c r="C148" s="33" t="s">
        <v>14</v>
      </c>
      <c r="D148" s="33" t="s">
        <v>9</v>
      </c>
      <c r="E148" s="34">
        <v>154.75</v>
      </c>
      <c r="F148" s="33">
        <v>4</v>
      </c>
      <c r="G148" s="34">
        <v>619</v>
      </c>
      <c r="H148" s="33" t="s">
        <v>140</v>
      </c>
      <c r="I148" s="33" t="str">
        <f t="shared" si="4"/>
        <v>Medium sales</v>
      </c>
      <c r="J148" s="33" t="str">
        <f t="shared" si="5"/>
        <v>not eligible</v>
      </c>
    </row>
    <row r="149" spans="1:10" x14ac:dyDescent="0.35">
      <c r="A149" s="31">
        <v>45422.675694444442</v>
      </c>
      <c r="B149" s="32">
        <v>0.63278935185185181</v>
      </c>
      <c r="C149" s="33" t="s">
        <v>8</v>
      </c>
      <c r="D149" s="33" t="s">
        <v>9</v>
      </c>
      <c r="E149" s="34">
        <v>45.01</v>
      </c>
      <c r="F149" s="33">
        <v>3</v>
      </c>
      <c r="G149" s="34">
        <v>135.03</v>
      </c>
      <c r="H149" s="33" t="s">
        <v>120</v>
      </c>
      <c r="I149" s="33" t="str">
        <f t="shared" si="4"/>
        <v>Low sales</v>
      </c>
      <c r="J149" s="33" t="str">
        <f t="shared" si="5"/>
        <v>not eligible</v>
      </c>
    </row>
    <row r="150" spans="1:10" x14ac:dyDescent="0.35">
      <c r="A150" s="31">
        <v>45096.593055555553</v>
      </c>
      <c r="B150" s="32">
        <v>0.44692129629629629</v>
      </c>
      <c r="C150" s="33" t="s">
        <v>8</v>
      </c>
      <c r="D150" s="33" t="s">
        <v>12</v>
      </c>
      <c r="E150" s="34">
        <v>206.59</v>
      </c>
      <c r="F150" s="33">
        <v>5</v>
      </c>
      <c r="G150" s="34">
        <v>1032.95</v>
      </c>
      <c r="H150" s="33" t="s">
        <v>141</v>
      </c>
      <c r="I150" s="33" t="str">
        <f t="shared" si="4"/>
        <v>Medium sales</v>
      </c>
      <c r="J150" s="33" t="str">
        <f t="shared" si="5"/>
        <v>not eligible</v>
      </c>
    </row>
    <row r="151" spans="1:10" x14ac:dyDescent="0.35">
      <c r="A151" s="31">
        <v>45077.301388888889</v>
      </c>
      <c r="B151" s="32">
        <v>0.19768518518518519</v>
      </c>
      <c r="C151" s="33" t="s">
        <v>14</v>
      </c>
      <c r="D151" s="33" t="s">
        <v>12</v>
      </c>
      <c r="E151" s="34">
        <v>66.03</v>
      </c>
      <c r="F151" s="33">
        <v>1</v>
      </c>
      <c r="G151" s="34">
        <v>66.03</v>
      </c>
      <c r="H151" s="33" t="s">
        <v>142</v>
      </c>
      <c r="I151" s="33" t="str">
        <f t="shared" si="4"/>
        <v>Low sales</v>
      </c>
      <c r="J151" s="33" t="str">
        <f t="shared" si="5"/>
        <v>not eligible</v>
      </c>
    </row>
    <row r="152" spans="1:10" x14ac:dyDescent="0.35">
      <c r="A152" s="31">
        <v>45017.691666666666</v>
      </c>
      <c r="B152" s="32">
        <v>0.25150462962962966</v>
      </c>
      <c r="C152" s="33" t="s">
        <v>14</v>
      </c>
      <c r="D152" s="33" t="s">
        <v>20</v>
      </c>
      <c r="E152" s="34">
        <v>148.97999999999999</v>
      </c>
      <c r="F152" s="33">
        <v>5</v>
      </c>
      <c r="G152" s="34">
        <v>744.9</v>
      </c>
      <c r="H152" s="33" t="s">
        <v>143</v>
      </c>
      <c r="I152" s="33" t="str">
        <f t="shared" si="4"/>
        <v>Medium sales</v>
      </c>
      <c r="J152" s="33" t="str">
        <f t="shared" si="5"/>
        <v>not eligible</v>
      </c>
    </row>
    <row r="153" spans="1:10" x14ac:dyDescent="0.35">
      <c r="A153" s="31">
        <v>45483.145833333336</v>
      </c>
      <c r="B153" s="32">
        <v>7.8101851851851853E-2</v>
      </c>
      <c r="C153" s="33" t="s">
        <v>11</v>
      </c>
      <c r="D153" s="33" t="s">
        <v>20</v>
      </c>
      <c r="E153" s="34">
        <v>66.25</v>
      </c>
      <c r="F153" s="33">
        <v>3</v>
      </c>
      <c r="G153" s="34">
        <v>198.75</v>
      </c>
      <c r="H153" s="33" t="s">
        <v>144</v>
      </c>
      <c r="I153" s="33" t="str">
        <f t="shared" si="4"/>
        <v>Low sales</v>
      </c>
      <c r="J153" s="33" t="str">
        <f t="shared" si="5"/>
        <v>not eligible</v>
      </c>
    </row>
    <row r="154" spans="1:10" x14ac:dyDescent="0.35">
      <c r="A154" s="31">
        <v>45665.455555555556</v>
      </c>
      <c r="B154" s="32">
        <v>0.21972222222222224</v>
      </c>
      <c r="C154" s="33" t="s">
        <v>14</v>
      </c>
      <c r="D154" s="33" t="s">
        <v>9</v>
      </c>
      <c r="E154" s="34">
        <v>438.41</v>
      </c>
      <c r="F154" s="33">
        <v>4</v>
      </c>
      <c r="G154" s="34">
        <v>1753.64</v>
      </c>
      <c r="H154" s="33" t="s">
        <v>145</v>
      </c>
      <c r="I154" s="33" t="str">
        <f t="shared" si="4"/>
        <v>High sales</v>
      </c>
      <c r="J154" s="33" t="str">
        <f t="shared" si="5"/>
        <v>not eligible</v>
      </c>
    </row>
    <row r="155" spans="1:10" x14ac:dyDescent="0.35">
      <c r="A155" s="31">
        <v>45165.932638888888</v>
      </c>
      <c r="B155" s="32">
        <v>0.2177199074074074</v>
      </c>
      <c r="C155" s="33" t="s">
        <v>11</v>
      </c>
      <c r="D155" s="33" t="s">
        <v>16</v>
      </c>
      <c r="E155" s="34">
        <v>213.32</v>
      </c>
      <c r="F155" s="33">
        <v>1</v>
      </c>
      <c r="G155" s="34">
        <v>213.32</v>
      </c>
      <c r="H155" s="33" t="s">
        <v>146</v>
      </c>
      <c r="I155" s="33" t="str">
        <f t="shared" si="4"/>
        <v>Low sales</v>
      </c>
      <c r="J155" s="33" t="str">
        <f t="shared" si="5"/>
        <v>not eligible</v>
      </c>
    </row>
    <row r="156" spans="1:10" x14ac:dyDescent="0.35">
      <c r="A156" s="31">
        <v>45107.45208333333</v>
      </c>
      <c r="B156" s="32">
        <v>0.33953703703703703</v>
      </c>
      <c r="C156" s="33" t="s">
        <v>8</v>
      </c>
      <c r="D156" s="33" t="s">
        <v>16</v>
      </c>
      <c r="E156" s="34">
        <v>137.63</v>
      </c>
      <c r="F156" s="33">
        <v>3</v>
      </c>
      <c r="G156" s="34">
        <v>412.89</v>
      </c>
      <c r="H156" s="33" t="s">
        <v>147</v>
      </c>
      <c r="I156" s="33" t="str">
        <f t="shared" si="4"/>
        <v>Low sales</v>
      </c>
      <c r="J156" s="33" t="str">
        <f t="shared" si="5"/>
        <v>not eligible</v>
      </c>
    </row>
    <row r="157" spans="1:10" x14ac:dyDescent="0.35">
      <c r="A157" s="31">
        <v>44960.955555555556</v>
      </c>
      <c r="B157" s="32">
        <v>0.43950231481481478</v>
      </c>
      <c r="C157" s="33" t="s">
        <v>14</v>
      </c>
      <c r="D157" s="33" t="s">
        <v>27</v>
      </c>
      <c r="E157" s="34">
        <v>400.27</v>
      </c>
      <c r="F157" s="33">
        <v>2</v>
      </c>
      <c r="G157" s="34">
        <v>800.54</v>
      </c>
      <c r="H157" s="33" t="s">
        <v>128</v>
      </c>
      <c r="I157" s="33" t="str">
        <f t="shared" si="4"/>
        <v>Medium sales</v>
      </c>
      <c r="J157" s="33" t="str">
        <f t="shared" si="5"/>
        <v>not eligible</v>
      </c>
    </row>
    <row r="158" spans="1:10" x14ac:dyDescent="0.35">
      <c r="A158" s="31">
        <v>45049.497916666667</v>
      </c>
      <c r="B158" s="32">
        <v>0.20315972222222223</v>
      </c>
      <c r="C158" s="33" t="s">
        <v>8</v>
      </c>
      <c r="D158" s="33" t="s">
        <v>9</v>
      </c>
      <c r="E158" s="34">
        <v>73.98</v>
      </c>
      <c r="F158" s="33">
        <v>3</v>
      </c>
      <c r="G158" s="34">
        <v>221.94</v>
      </c>
      <c r="H158" s="33" t="s">
        <v>148</v>
      </c>
      <c r="I158" s="33" t="str">
        <f t="shared" si="4"/>
        <v>Low sales</v>
      </c>
      <c r="J158" s="33" t="str">
        <f t="shared" si="5"/>
        <v>not eligible</v>
      </c>
    </row>
    <row r="159" spans="1:10" x14ac:dyDescent="0.35">
      <c r="A159" s="31">
        <v>45106.322916666664</v>
      </c>
      <c r="B159" s="32">
        <v>0.93989583333333337</v>
      </c>
      <c r="C159" s="33" t="s">
        <v>14</v>
      </c>
      <c r="D159" s="33" t="s">
        <v>16</v>
      </c>
      <c r="E159" s="34">
        <v>250.51</v>
      </c>
      <c r="F159" s="33">
        <v>3</v>
      </c>
      <c r="G159" s="34">
        <v>751.53</v>
      </c>
      <c r="H159" s="33" t="s">
        <v>119</v>
      </c>
      <c r="I159" s="33" t="str">
        <f t="shared" si="4"/>
        <v>Medium sales</v>
      </c>
      <c r="J159" s="33" t="str">
        <f t="shared" si="5"/>
        <v>not eligible</v>
      </c>
    </row>
    <row r="160" spans="1:10" x14ac:dyDescent="0.35">
      <c r="A160" s="31">
        <v>45317.392361111109</v>
      </c>
      <c r="B160" s="32">
        <v>0.20953703703703705</v>
      </c>
      <c r="C160" s="33" t="s">
        <v>14</v>
      </c>
      <c r="D160" s="33" t="s">
        <v>20</v>
      </c>
      <c r="E160" s="34">
        <v>22.28</v>
      </c>
      <c r="F160" s="33">
        <v>2</v>
      </c>
      <c r="G160" s="34">
        <v>44.56</v>
      </c>
      <c r="H160" s="33" t="s">
        <v>149</v>
      </c>
      <c r="I160" s="33" t="str">
        <f t="shared" si="4"/>
        <v>Low sales</v>
      </c>
      <c r="J160" s="33" t="str">
        <f t="shared" si="5"/>
        <v>not eligible</v>
      </c>
    </row>
    <row r="161" spans="1:10" x14ac:dyDescent="0.35">
      <c r="A161" s="31">
        <v>45059.354861111111</v>
      </c>
      <c r="B161" s="32">
        <v>0.34987268518518522</v>
      </c>
      <c r="C161" s="33" t="s">
        <v>14</v>
      </c>
      <c r="D161" s="33" t="s">
        <v>9</v>
      </c>
      <c r="E161" s="34">
        <v>359.05</v>
      </c>
      <c r="F161" s="33">
        <v>2</v>
      </c>
      <c r="G161" s="34">
        <v>718.1</v>
      </c>
      <c r="H161" s="33" t="s">
        <v>150</v>
      </c>
      <c r="I161" s="33" t="str">
        <f t="shared" si="4"/>
        <v>Medium sales</v>
      </c>
      <c r="J161" s="33" t="str">
        <f t="shared" si="5"/>
        <v>not eligible</v>
      </c>
    </row>
    <row r="162" spans="1:10" x14ac:dyDescent="0.35">
      <c r="A162" s="31">
        <v>45569.612500000003</v>
      </c>
      <c r="B162" s="32">
        <v>0.33667824074074071</v>
      </c>
      <c r="C162" s="33" t="s">
        <v>14</v>
      </c>
      <c r="D162" s="33" t="s">
        <v>16</v>
      </c>
      <c r="E162" s="34">
        <v>472.75</v>
      </c>
      <c r="F162" s="33">
        <v>5</v>
      </c>
      <c r="G162" s="34">
        <v>2363.75</v>
      </c>
      <c r="H162" s="33" t="s">
        <v>151</v>
      </c>
      <c r="I162" s="33" t="str">
        <f t="shared" si="4"/>
        <v>High sales</v>
      </c>
      <c r="J162" s="33" t="str">
        <f t="shared" si="5"/>
        <v>not eligible</v>
      </c>
    </row>
    <row r="163" spans="1:10" x14ac:dyDescent="0.35">
      <c r="A163" s="31">
        <v>45424.509722222225</v>
      </c>
      <c r="B163" s="32">
        <v>0.34004629629629629</v>
      </c>
      <c r="C163" s="33" t="s">
        <v>14</v>
      </c>
      <c r="D163" s="33" t="s">
        <v>12</v>
      </c>
      <c r="E163" s="34">
        <v>287.52</v>
      </c>
      <c r="F163" s="33">
        <v>1</v>
      </c>
      <c r="G163" s="34">
        <v>287.52</v>
      </c>
      <c r="H163" s="33" t="s">
        <v>102</v>
      </c>
      <c r="I163" s="33" t="str">
        <f t="shared" si="4"/>
        <v>Low sales</v>
      </c>
      <c r="J163" s="33" t="str">
        <f t="shared" si="5"/>
        <v>not eligible</v>
      </c>
    </row>
    <row r="164" spans="1:10" x14ac:dyDescent="0.35">
      <c r="A164" s="31">
        <v>45598.081944444442</v>
      </c>
      <c r="B164" s="32">
        <v>0.92770833333333336</v>
      </c>
      <c r="C164" s="33" t="s">
        <v>8</v>
      </c>
      <c r="D164" s="33" t="s">
        <v>16</v>
      </c>
      <c r="E164" s="34">
        <v>318.08999999999997</v>
      </c>
      <c r="F164" s="33">
        <v>1</v>
      </c>
      <c r="G164" s="34">
        <v>318.08999999999997</v>
      </c>
      <c r="H164" s="33" t="s">
        <v>152</v>
      </c>
      <c r="I164" s="33" t="str">
        <f t="shared" si="4"/>
        <v>Low sales</v>
      </c>
      <c r="J164" s="33" t="str">
        <f t="shared" si="5"/>
        <v>not eligible</v>
      </c>
    </row>
    <row r="165" spans="1:10" x14ac:dyDescent="0.35">
      <c r="A165" s="31">
        <v>45596.354861111111</v>
      </c>
      <c r="B165" s="32">
        <v>0.73422453703703694</v>
      </c>
      <c r="C165" s="33" t="s">
        <v>14</v>
      </c>
      <c r="D165" s="33" t="s">
        <v>16</v>
      </c>
      <c r="E165" s="34">
        <v>142.24</v>
      </c>
      <c r="F165" s="33">
        <v>3</v>
      </c>
      <c r="G165" s="34">
        <v>426.72</v>
      </c>
      <c r="H165" s="33" t="s">
        <v>59</v>
      </c>
      <c r="I165" s="33" t="str">
        <f t="shared" si="4"/>
        <v>Low sales</v>
      </c>
      <c r="J165" s="33" t="str">
        <f t="shared" si="5"/>
        <v>not eligible</v>
      </c>
    </row>
    <row r="166" spans="1:10" x14ac:dyDescent="0.35">
      <c r="A166" s="31">
        <v>45431.515972222223</v>
      </c>
      <c r="B166" s="32">
        <v>0.15987268518518519</v>
      </c>
      <c r="C166" s="33" t="s">
        <v>14</v>
      </c>
      <c r="D166" s="33" t="s">
        <v>27</v>
      </c>
      <c r="E166" s="34">
        <v>405.4</v>
      </c>
      <c r="F166" s="33">
        <v>3</v>
      </c>
      <c r="G166" s="34">
        <v>1216.2</v>
      </c>
      <c r="H166" s="33" t="s">
        <v>146</v>
      </c>
      <c r="I166" s="33" t="str">
        <f t="shared" si="4"/>
        <v>Medium sales</v>
      </c>
      <c r="J166" s="33" t="str">
        <f t="shared" si="5"/>
        <v>not eligible</v>
      </c>
    </row>
    <row r="167" spans="1:10" x14ac:dyDescent="0.35">
      <c r="A167" s="31">
        <v>45424.136805555558</v>
      </c>
      <c r="B167" s="32">
        <v>0.52958333333333341</v>
      </c>
      <c r="C167" s="33" t="s">
        <v>8</v>
      </c>
      <c r="D167" s="33" t="s">
        <v>16</v>
      </c>
      <c r="E167" s="34">
        <v>368.51</v>
      </c>
      <c r="F167" s="33">
        <v>4</v>
      </c>
      <c r="G167" s="34">
        <v>1474.04</v>
      </c>
      <c r="H167" s="33" t="s">
        <v>153</v>
      </c>
      <c r="I167" s="33" t="str">
        <f t="shared" si="4"/>
        <v>Medium sales</v>
      </c>
      <c r="J167" s="33" t="str">
        <f t="shared" si="5"/>
        <v>not eligible</v>
      </c>
    </row>
    <row r="168" spans="1:10" x14ac:dyDescent="0.35">
      <c r="A168" s="31">
        <v>44948.404166666667</v>
      </c>
      <c r="B168" s="32">
        <v>8.89699074074074E-2</v>
      </c>
      <c r="C168" s="33" t="s">
        <v>11</v>
      </c>
      <c r="D168" s="33" t="s">
        <v>20</v>
      </c>
      <c r="E168" s="34">
        <v>363.47</v>
      </c>
      <c r="F168" s="33">
        <v>4</v>
      </c>
      <c r="G168" s="34">
        <v>1453.88</v>
      </c>
      <c r="H168" s="33" t="s">
        <v>68</v>
      </c>
      <c r="I168" s="33" t="str">
        <f t="shared" si="4"/>
        <v>Medium sales</v>
      </c>
      <c r="J168" s="33" t="str">
        <f t="shared" si="5"/>
        <v>eligible</v>
      </c>
    </row>
    <row r="169" spans="1:10" x14ac:dyDescent="0.35">
      <c r="A169" s="31">
        <v>45458.397916666669</v>
      </c>
      <c r="B169" s="32">
        <v>0.75667824074074075</v>
      </c>
      <c r="C169" s="33" t="s">
        <v>14</v>
      </c>
      <c r="D169" s="33" t="s">
        <v>20</v>
      </c>
      <c r="E169" s="34">
        <v>201.39</v>
      </c>
      <c r="F169" s="33">
        <v>1</v>
      </c>
      <c r="G169" s="34">
        <v>201.39</v>
      </c>
      <c r="H169" s="33" t="s">
        <v>26</v>
      </c>
      <c r="I169" s="33" t="str">
        <f t="shared" si="4"/>
        <v>Low sales</v>
      </c>
      <c r="J169" s="33" t="str">
        <f t="shared" si="5"/>
        <v>not eligible</v>
      </c>
    </row>
    <row r="170" spans="1:10" x14ac:dyDescent="0.35">
      <c r="A170" s="31">
        <v>45421.247916666667</v>
      </c>
      <c r="B170" s="32">
        <v>0.49197916666666663</v>
      </c>
      <c r="C170" s="33" t="s">
        <v>11</v>
      </c>
      <c r="D170" s="33" t="s">
        <v>16</v>
      </c>
      <c r="E170" s="34">
        <v>107.88</v>
      </c>
      <c r="F170" s="33">
        <v>4</v>
      </c>
      <c r="G170" s="34">
        <v>431.52</v>
      </c>
      <c r="H170" s="33" t="s">
        <v>33</v>
      </c>
      <c r="I170" s="33" t="str">
        <f t="shared" si="4"/>
        <v>Low sales</v>
      </c>
      <c r="J170" s="33" t="str">
        <f t="shared" si="5"/>
        <v>not eligible</v>
      </c>
    </row>
    <row r="171" spans="1:10" x14ac:dyDescent="0.35">
      <c r="A171" s="31">
        <v>45428.493055555555</v>
      </c>
      <c r="B171" s="32">
        <v>5.3981481481481484E-2</v>
      </c>
      <c r="C171" s="33" t="s">
        <v>11</v>
      </c>
      <c r="D171" s="33" t="s">
        <v>12</v>
      </c>
      <c r="E171" s="34">
        <v>293.06</v>
      </c>
      <c r="F171" s="33">
        <v>1</v>
      </c>
      <c r="G171" s="34">
        <v>293.06</v>
      </c>
      <c r="H171" s="33" t="s">
        <v>154</v>
      </c>
      <c r="I171" s="33" t="str">
        <f t="shared" si="4"/>
        <v>Low sales</v>
      </c>
      <c r="J171" s="33" t="str">
        <f t="shared" si="5"/>
        <v>not eligible</v>
      </c>
    </row>
    <row r="172" spans="1:10" x14ac:dyDescent="0.35">
      <c r="A172" s="31">
        <v>45264.654166666667</v>
      </c>
      <c r="B172" s="32">
        <v>3.2534722222222222E-2</v>
      </c>
      <c r="C172" s="33" t="s">
        <v>14</v>
      </c>
      <c r="D172" s="33" t="s">
        <v>16</v>
      </c>
      <c r="E172" s="34">
        <v>304.49</v>
      </c>
      <c r="F172" s="33">
        <v>2</v>
      </c>
      <c r="G172" s="34">
        <v>608.98</v>
      </c>
      <c r="H172" s="33" t="s">
        <v>155</v>
      </c>
      <c r="I172" s="33" t="str">
        <f t="shared" si="4"/>
        <v>Medium sales</v>
      </c>
      <c r="J172" s="33" t="str">
        <f t="shared" si="5"/>
        <v>not eligible</v>
      </c>
    </row>
    <row r="173" spans="1:10" x14ac:dyDescent="0.35">
      <c r="A173" s="31">
        <v>45051.547222222223</v>
      </c>
      <c r="B173" s="32">
        <v>0.68884259259259262</v>
      </c>
      <c r="C173" s="33" t="s">
        <v>14</v>
      </c>
      <c r="D173" s="33" t="s">
        <v>9</v>
      </c>
      <c r="E173" s="34">
        <v>21.21</v>
      </c>
      <c r="F173" s="33">
        <v>4</v>
      </c>
      <c r="G173" s="34">
        <v>84.84</v>
      </c>
      <c r="H173" s="33" t="s">
        <v>156</v>
      </c>
      <c r="I173" s="33" t="str">
        <f t="shared" si="4"/>
        <v>Low sales</v>
      </c>
      <c r="J173" s="33" t="str">
        <f t="shared" si="5"/>
        <v>not eligible</v>
      </c>
    </row>
    <row r="174" spans="1:10" x14ac:dyDescent="0.35">
      <c r="A174" s="31">
        <v>45628.134722222225</v>
      </c>
      <c r="B174" s="32">
        <v>0.38231481481481483</v>
      </c>
      <c r="C174" s="33" t="s">
        <v>11</v>
      </c>
      <c r="D174" s="33" t="s">
        <v>9</v>
      </c>
      <c r="E174" s="34">
        <v>474.87</v>
      </c>
      <c r="F174" s="33">
        <v>1</v>
      </c>
      <c r="G174" s="34">
        <v>474.87</v>
      </c>
      <c r="H174" s="33" t="s">
        <v>53</v>
      </c>
      <c r="I174" s="33" t="str">
        <f t="shared" si="4"/>
        <v>Low sales</v>
      </c>
      <c r="J174" s="33" t="str">
        <f t="shared" si="5"/>
        <v>not eligible</v>
      </c>
    </row>
    <row r="175" spans="1:10" x14ac:dyDescent="0.35">
      <c r="A175" s="31">
        <v>45397.177777777775</v>
      </c>
      <c r="B175" s="32">
        <v>0.54240740740740734</v>
      </c>
      <c r="C175" s="33" t="s">
        <v>11</v>
      </c>
      <c r="D175" s="33" t="s">
        <v>16</v>
      </c>
      <c r="E175" s="34">
        <v>342.39</v>
      </c>
      <c r="F175" s="33">
        <v>1</v>
      </c>
      <c r="G175" s="34">
        <v>342.39</v>
      </c>
      <c r="H175" s="33" t="s">
        <v>157</v>
      </c>
      <c r="I175" s="33" t="str">
        <f t="shared" si="4"/>
        <v>Low sales</v>
      </c>
      <c r="J175" s="33" t="str">
        <f t="shared" si="5"/>
        <v>not eligible</v>
      </c>
    </row>
    <row r="176" spans="1:10" x14ac:dyDescent="0.35">
      <c r="A176" s="31">
        <v>45623.595833333333</v>
      </c>
      <c r="B176" s="32">
        <v>0.73454861111111114</v>
      </c>
      <c r="C176" s="33" t="s">
        <v>11</v>
      </c>
      <c r="D176" s="33" t="s">
        <v>9</v>
      </c>
      <c r="E176" s="34">
        <v>55.09</v>
      </c>
      <c r="F176" s="33">
        <v>3</v>
      </c>
      <c r="G176" s="34">
        <v>165.27</v>
      </c>
      <c r="H176" s="33" t="s">
        <v>35</v>
      </c>
      <c r="I176" s="33" t="str">
        <f t="shared" si="4"/>
        <v>Low sales</v>
      </c>
      <c r="J176" s="33" t="str">
        <f t="shared" si="5"/>
        <v>not eligible</v>
      </c>
    </row>
    <row r="177" spans="1:10" x14ac:dyDescent="0.35">
      <c r="A177" s="31">
        <v>45358.566666666666</v>
      </c>
      <c r="B177" s="32">
        <v>0.19979166666666667</v>
      </c>
      <c r="C177" s="33" t="s">
        <v>8</v>
      </c>
      <c r="D177" s="33" t="s">
        <v>16</v>
      </c>
      <c r="E177" s="34">
        <v>319.10000000000002</v>
      </c>
      <c r="F177" s="33">
        <v>1</v>
      </c>
      <c r="G177" s="34">
        <v>319.10000000000002</v>
      </c>
      <c r="H177" s="33" t="s">
        <v>158</v>
      </c>
      <c r="I177" s="33" t="str">
        <f t="shared" si="4"/>
        <v>Low sales</v>
      </c>
      <c r="J177" s="33" t="str">
        <f t="shared" si="5"/>
        <v>not eligible</v>
      </c>
    </row>
    <row r="178" spans="1:10" x14ac:dyDescent="0.35">
      <c r="A178" s="31">
        <v>45188.899305555555</v>
      </c>
      <c r="B178" s="32">
        <v>0.74991898148148151</v>
      </c>
      <c r="C178" s="33" t="s">
        <v>11</v>
      </c>
      <c r="D178" s="33" t="s">
        <v>16</v>
      </c>
      <c r="E178" s="34">
        <v>316.13</v>
      </c>
      <c r="F178" s="33">
        <v>2</v>
      </c>
      <c r="G178" s="34">
        <v>632.26</v>
      </c>
      <c r="H178" s="33" t="s">
        <v>74</v>
      </c>
      <c r="I178" s="33" t="str">
        <f t="shared" si="4"/>
        <v>Medium sales</v>
      </c>
      <c r="J178" s="33" t="str">
        <f t="shared" si="5"/>
        <v>not eligible</v>
      </c>
    </row>
    <row r="179" spans="1:10" x14ac:dyDescent="0.35">
      <c r="A179" s="31">
        <v>45363.277083333334</v>
      </c>
      <c r="B179" s="32">
        <v>0.70137731481481491</v>
      </c>
      <c r="C179" s="33" t="s">
        <v>11</v>
      </c>
      <c r="D179" s="33" t="s">
        <v>27</v>
      </c>
      <c r="E179" s="34">
        <v>240.78</v>
      </c>
      <c r="F179" s="33">
        <v>3</v>
      </c>
      <c r="G179" s="34">
        <v>722.34</v>
      </c>
      <c r="H179" s="33" t="s">
        <v>159</v>
      </c>
      <c r="I179" s="33" t="str">
        <f t="shared" si="4"/>
        <v>Medium sales</v>
      </c>
      <c r="J179" s="33" t="str">
        <f t="shared" si="5"/>
        <v>not eligible</v>
      </c>
    </row>
    <row r="180" spans="1:10" x14ac:dyDescent="0.35">
      <c r="A180" s="31">
        <v>45106.854861111111</v>
      </c>
      <c r="B180" s="32">
        <v>0.85886574074074085</v>
      </c>
      <c r="C180" s="33" t="s">
        <v>8</v>
      </c>
      <c r="D180" s="33" t="s">
        <v>27</v>
      </c>
      <c r="E180" s="34">
        <v>425.35</v>
      </c>
      <c r="F180" s="33">
        <v>5</v>
      </c>
      <c r="G180" s="34">
        <v>2126.75</v>
      </c>
      <c r="H180" s="33" t="s">
        <v>160</v>
      </c>
      <c r="I180" s="33" t="str">
        <f t="shared" si="4"/>
        <v>High sales</v>
      </c>
      <c r="J180" s="33" t="str">
        <f t="shared" si="5"/>
        <v>not eligible</v>
      </c>
    </row>
    <row r="181" spans="1:10" x14ac:dyDescent="0.35">
      <c r="A181" s="31">
        <v>45149.536805555559</v>
      </c>
      <c r="B181" s="32">
        <v>0.45023148148148145</v>
      </c>
      <c r="C181" s="33" t="s">
        <v>14</v>
      </c>
      <c r="D181" s="33" t="s">
        <v>9</v>
      </c>
      <c r="E181" s="34">
        <v>399.28</v>
      </c>
      <c r="F181" s="33">
        <v>2</v>
      </c>
      <c r="G181" s="34">
        <v>798.56</v>
      </c>
      <c r="H181" s="33" t="s">
        <v>65</v>
      </c>
      <c r="I181" s="33" t="str">
        <f t="shared" si="4"/>
        <v>Medium sales</v>
      </c>
      <c r="J181" s="33" t="str">
        <f t="shared" si="5"/>
        <v>not eligible</v>
      </c>
    </row>
    <row r="182" spans="1:10" x14ac:dyDescent="0.35">
      <c r="A182" s="31">
        <v>45215.185416666667</v>
      </c>
      <c r="B182" s="32">
        <v>0.11320601851851853</v>
      </c>
      <c r="C182" s="33" t="s">
        <v>14</v>
      </c>
      <c r="D182" s="33" t="s">
        <v>12</v>
      </c>
      <c r="E182" s="34">
        <v>398.79</v>
      </c>
      <c r="F182" s="33">
        <v>3</v>
      </c>
      <c r="G182" s="34">
        <v>1196.3699999999999</v>
      </c>
      <c r="H182" s="33" t="s">
        <v>144</v>
      </c>
      <c r="I182" s="33" t="str">
        <f t="shared" si="4"/>
        <v>Medium sales</v>
      </c>
      <c r="J182" s="33" t="str">
        <f t="shared" si="5"/>
        <v>not eligible</v>
      </c>
    </row>
    <row r="183" spans="1:10" x14ac:dyDescent="0.35">
      <c r="A183" s="31">
        <v>45546.597222222219</v>
      </c>
      <c r="B183" s="32">
        <v>0.13299768518518518</v>
      </c>
      <c r="C183" s="33" t="s">
        <v>11</v>
      </c>
      <c r="D183" s="33" t="s">
        <v>27</v>
      </c>
      <c r="E183" s="34">
        <v>172.7</v>
      </c>
      <c r="F183" s="33">
        <v>2</v>
      </c>
      <c r="G183" s="34">
        <v>345.4</v>
      </c>
      <c r="H183" s="33" t="s">
        <v>119</v>
      </c>
      <c r="I183" s="33" t="str">
        <f t="shared" si="4"/>
        <v>Low sales</v>
      </c>
      <c r="J183" s="33" t="str">
        <f t="shared" si="5"/>
        <v>not eligible</v>
      </c>
    </row>
    <row r="184" spans="1:10" x14ac:dyDescent="0.35">
      <c r="A184" s="31">
        <v>45177.509722222225</v>
      </c>
      <c r="B184" s="32">
        <v>0.53538194444444442</v>
      </c>
      <c r="C184" s="33" t="s">
        <v>8</v>
      </c>
      <c r="D184" s="33" t="s">
        <v>20</v>
      </c>
      <c r="E184" s="34">
        <v>385.69</v>
      </c>
      <c r="F184" s="33">
        <v>4</v>
      </c>
      <c r="G184" s="34">
        <v>1542.76</v>
      </c>
      <c r="H184" s="33" t="s">
        <v>161</v>
      </c>
      <c r="I184" s="33" t="str">
        <f t="shared" si="4"/>
        <v>High sales</v>
      </c>
      <c r="J184" s="33" t="str">
        <f t="shared" si="5"/>
        <v>not eligible</v>
      </c>
    </row>
    <row r="185" spans="1:10" x14ac:dyDescent="0.35">
      <c r="A185" s="31">
        <v>45275.079861111109</v>
      </c>
      <c r="B185" s="32">
        <v>0.9682291666666667</v>
      </c>
      <c r="C185" s="33" t="s">
        <v>11</v>
      </c>
      <c r="D185" s="33" t="s">
        <v>16</v>
      </c>
      <c r="E185" s="34">
        <v>48.3</v>
      </c>
      <c r="F185" s="33">
        <v>2</v>
      </c>
      <c r="G185" s="34">
        <v>96.6</v>
      </c>
      <c r="H185" s="33" t="s">
        <v>162</v>
      </c>
      <c r="I185" s="33" t="str">
        <f t="shared" si="4"/>
        <v>Low sales</v>
      </c>
      <c r="J185" s="33" t="str">
        <f t="shared" si="5"/>
        <v>not eligible</v>
      </c>
    </row>
    <row r="186" spans="1:10" x14ac:dyDescent="0.35">
      <c r="A186" s="31">
        <v>45161.219444444447</v>
      </c>
      <c r="B186" s="32">
        <v>0.67417824074074073</v>
      </c>
      <c r="C186" s="33" t="s">
        <v>14</v>
      </c>
      <c r="D186" s="33" t="s">
        <v>12</v>
      </c>
      <c r="E186" s="34">
        <v>79.95</v>
      </c>
      <c r="F186" s="33">
        <v>4</v>
      </c>
      <c r="G186" s="34">
        <v>319.8</v>
      </c>
      <c r="H186" s="33" t="s">
        <v>163</v>
      </c>
      <c r="I186" s="33" t="str">
        <f t="shared" si="4"/>
        <v>Low sales</v>
      </c>
      <c r="J186" s="33" t="str">
        <f t="shared" si="5"/>
        <v>not eligible</v>
      </c>
    </row>
    <row r="187" spans="1:10" x14ac:dyDescent="0.35">
      <c r="A187" s="31">
        <v>45077.722916666666</v>
      </c>
      <c r="B187" s="32">
        <v>0.64077546296296295</v>
      </c>
      <c r="C187" s="33" t="s">
        <v>8</v>
      </c>
      <c r="D187" s="33" t="s">
        <v>12</v>
      </c>
      <c r="E187" s="34">
        <v>433.1</v>
      </c>
      <c r="F187" s="33">
        <v>3</v>
      </c>
      <c r="G187" s="34">
        <v>1299.3</v>
      </c>
      <c r="H187" s="33" t="s">
        <v>62</v>
      </c>
      <c r="I187" s="33" t="str">
        <f t="shared" si="4"/>
        <v>Medium sales</v>
      </c>
      <c r="J187" s="33" t="str">
        <f t="shared" si="5"/>
        <v>not eligible</v>
      </c>
    </row>
    <row r="188" spans="1:10" x14ac:dyDescent="0.35">
      <c r="A188" s="31">
        <v>45366.706250000003</v>
      </c>
      <c r="B188" s="32">
        <v>0.30569444444444444</v>
      </c>
      <c r="C188" s="33" t="s">
        <v>8</v>
      </c>
      <c r="D188" s="33" t="s">
        <v>16</v>
      </c>
      <c r="E188" s="34">
        <v>468.67</v>
      </c>
      <c r="F188" s="33">
        <v>3</v>
      </c>
      <c r="G188" s="34">
        <v>1406.01</v>
      </c>
      <c r="H188" s="33" t="s">
        <v>164</v>
      </c>
      <c r="I188" s="33" t="str">
        <f t="shared" si="4"/>
        <v>Medium sales</v>
      </c>
      <c r="J188" s="33" t="str">
        <f t="shared" si="5"/>
        <v>not eligible</v>
      </c>
    </row>
    <row r="189" spans="1:10" x14ac:dyDescent="0.35">
      <c r="A189" s="31">
        <v>45506.213194444441</v>
      </c>
      <c r="B189" s="32">
        <v>0.10238425925925926</v>
      </c>
      <c r="C189" s="33" t="s">
        <v>11</v>
      </c>
      <c r="D189" s="33" t="s">
        <v>12</v>
      </c>
      <c r="E189" s="34">
        <v>268.26</v>
      </c>
      <c r="F189" s="33">
        <v>2</v>
      </c>
      <c r="G189" s="34">
        <v>536.52</v>
      </c>
      <c r="H189" s="33" t="s">
        <v>165</v>
      </c>
      <c r="I189" s="33" t="str">
        <f t="shared" si="4"/>
        <v>Medium sales</v>
      </c>
      <c r="J189" s="33" t="str">
        <f t="shared" si="5"/>
        <v>not eligible</v>
      </c>
    </row>
    <row r="190" spans="1:10" x14ac:dyDescent="0.35">
      <c r="A190" s="31">
        <v>45071.474305555559</v>
      </c>
      <c r="B190" s="32">
        <v>0.11670138888888888</v>
      </c>
      <c r="C190" s="33" t="s">
        <v>8</v>
      </c>
      <c r="D190" s="33" t="s">
        <v>20</v>
      </c>
      <c r="E190" s="34">
        <v>161.13</v>
      </c>
      <c r="F190" s="33">
        <v>4</v>
      </c>
      <c r="G190" s="34">
        <v>644.52</v>
      </c>
      <c r="H190" s="33" t="s">
        <v>166</v>
      </c>
      <c r="I190" s="33" t="str">
        <f t="shared" si="4"/>
        <v>Medium sales</v>
      </c>
      <c r="J190" s="33" t="str">
        <f t="shared" si="5"/>
        <v>not eligible</v>
      </c>
    </row>
    <row r="191" spans="1:10" x14ac:dyDescent="0.35">
      <c r="A191" s="31">
        <v>45334.62222222222</v>
      </c>
      <c r="B191" s="32">
        <v>0.61175925925925922</v>
      </c>
      <c r="C191" s="33" t="s">
        <v>11</v>
      </c>
      <c r="D191" s="33" t="s">
        <v>27</v>
      </c>
      <c r="E191" s="34">
        <v>86.59</v>
      </c>
      <c r="F191" s="33">
        <v>5</v>
      </c>
      <c r="G191" s="34">
        <v>432.95</v>
      </c>
      <c r="H191" s="33" t="s">
        <v>82</v>
      </c>
      <c r="I191" s="33" t="str">
        <f t="shared" si="4"/>
        <v>Low sales</v>
      </c>
      <c r="J191" s="33" t="str">
        <f t="shared" si="5"/>
        <v>not eligible</v>
      </c>
    </row>
    <row r="192" spans="1:10" x14ac:dyDescent="0.35">
      <c r="A192" s="31">
        <v>45591.609027777777</v>
      </c>
      <c r="B192" s="32">
        <v>0.96402777777777782</v>
      </c>
      <c r="C192" s="33" t="s">
        <v>8</v>
      </c>
      <c r="D192" s="33" t="s">
        <v>12</v>
      </c>
      <c r="E192" s="34">
        <v>117.16</v>
      </c>
      <c r="F192" s="33">
        <v>5</v>
      </c>
      <c r="G192" s="34">
        <v>585.79999999999995</v>
      </c>
      <c r="H192" s="33" t="s">
        <v>79</v>
      </c>
      <c r="I192" s="33" t="str">
        <f t="shared" si="4"/>
        <v>Medium sales</v>
      </c>
      <c r="J192" s="33" t="str">
        <f t="shared" si="5"/>
        <v>not eligible</v>
      </c>
    </row>
    <row r="193" spans="1:10" x14ac:dyDescent="0.35">
      <c r="A193" s="31">
        <v>45548.283333333333</v>
      </c>
      <c r="B193" s="32">
        <v>0.99402777777777773</v>
      </c>
      <c r="C193" s="33" t="s">
        <v>14</v>
      </c>
      <c r="D193" s="33" t="s">
        <v>9</v>
      </c>
      <c r="E193" s="34">
        <v>37.42</v>
      </c>
      <c r="F193" s="33">
        <v>3</v>
      </c>
      <c r="G193" s="34">
        <v>112.26</v>
      </c>
      <c r="H193" s="33" t="s">
        <v>167</v>
      </c>
      <c r="I193" s="33" t="str">
        <f t="shared" si="4"/>
        <v>Low sales</v>
      </c>
      <c r="J193" s="33" t="str">
        <f t="shared" si="5"/>
        <v>not eligible</v>
      </c>
    </row>
    <row r="194" spans="1:10" x14ac:dyDescent="0.35">
      <c r="A194" s="31">
        <v>44951.790277777778</v>
      </c>
      <c r="B194" s="32">
        <v>0.19527777777777777</v>
      </c>
      <c r="C194" s="33" t="s">
        <v>11</v>
      </c>
      <c r="D194" s="33" t="s">
        <v>9</v>
      </c>
      <c r="E194" s="34">
        <v>57.31</v>
      </c>
      <c r="F194" s="33">
        <v>3</v>
      </c>
      <c r="G194" s="34">
        <v>171.93</v>
      </c>
      <c r="H194" s="33" t="s">
        <v>168</v>
      </c>
      <c r="I194" s="33" t="str">
        <f t="shared" si="4"/>
        <v>Low sales</v>
      </c>
      <c r="J194" s="33" t="str">
        <f t="shared" si="5"/>
        <v>not eligible</v>
      </c>
    </row>
    <row r="195" spans="1:10" x14ac:dyDescent="0.35">
      <c r="A195" s="31">
        <v>45008.412499999999</v>
      </c>
      <c r="B195" s="32">
        <v>4.341435185185185E-2</v>
      </c>
      <c r="C195" s="33" t="s">
        <v>14</v>
      </c>
      <c r="D195" s="33" t="s">
        <v>12</v>
      </c>
      <c r="E195" s="34">
        <v>179.06</v>
      </c>
      <c r="F195" s="33">
        <v>3</v>
      </c>
      <c r="G195" s="34">
        <v>537.17999999999995</v>
      </c>
      <c r="H195" s="33" t="s">
        <v>169</v>
      </c>
      <c r="I195" s="33" t="str">
        <f t="shared" ref="I195:I258" si="6">IF(G195&gt;1500,"High sales", IF(G195&gt;500,"Medium sales", "Low sales"))</f>
        <v>Medium sales</v>
      </c>
      <c r="J195" s="33" t="str">
        <f t="shared" ref="J195:J258" si="7">IF(AND(G195&gt;1000,C195="Premium"), "eligible", "not eligible")</f>
        <v>not eligible</v>
      </c>
    </row>
    <row r="196" spans="1:10" x14ac:dyDescent="0.35">
      <c r="A196" s="31">
        <v>45147.165277777778</v>
      </c>
      <c r="B196" s="32">
        <v>0.450625</v>
      </c>
      <c r="C196" s="33" t="s">
        <v>11</v>
      </c>
      <c r="D196" s="33" t="s">
        <v>9</v>
      </c>
      <c r="E196" s="34">
        <v>249.56</v>
      </c>
      <c r="F196" s="33">
        <v>1</v>
      </c>
      <c r="G196" s="34">
        <v>249.56</v>
      </c>
      <c r="H196" s="33" t="s">
        <v>129</v>
      </c>
      <c r="I196" s="33" t="str">
        <f t="shared" si="6"/>
        <v>Low sales</v>
      </c>
      <c r="J196" s="33" t="str">
        <f t="shared" si="7"/>
        <v>not eligible</v>
      </c>
    </row>
    <row r="197" spans="1:10" x14ac:dyDescent="0.35">
      <c r="A197" s="31">
        <v>45230.904861111114</v>
      </c>
      <c r="B197" s="32">
        <v>0.64236111111111105</v>
      </c>
      <c r="C197" s="33" t="s">
        <v>11</v>
      </c>
      <c r="D197" s="33" t="s">
        <v>16</v>
      </c>
      <c r="E197" s="34">
        <v>270.25</v>
      </c>
      <c r="F197" s="33">
        <v>3</v>
      </c>
      <c r="G197" s="34">
        <v>810.75</v>
      </c>
      <c r="H197" s="33" t="s">
        <v>15</v>
      </c>
      <c r="I197" s="33" t="str">
        <f t="shared" si="6"/>
        <v>Medium sales</v>
      </c>
      <c r="J197" s="33" t="str">
        <f t="shared" si="7"/>
        <v>not eligible</v>
      </c>
    </row>
    <row r="198" spans="1:10" x14ac:dyDescent="0.35">
      <c r="A198" s="31">
        <v>45600.306944444441</v>
      </c>
      <c r="B198" s="32">
        <v>0.66013888888888894</v>
      </c>
      <c r="C198" s="33" t="s">
        <v>11</v>
      </c>
      <c r="D198" s="33" t="s">
        <v>16</v>
      </c>
      <c r="E198" s="34">
        <v>251.37</v>
      </c>
      <c r="F198" s="33">
        <v>3</v>
      </c>
      <c r="G198" s="34">
        <v>754.11</v>
      </c>
      <c r="H198" s="33" t="s">
        <v>170</v>
      </c>
      <c r="I198" s="33" t="str">
        <f t="shared" si="6"/>
        <v>Medium sales</v>
      </c>
      <c r="J198" s="33" t="str">
        <f t="shared" si="7"/>
        <v>not eligible</v>
      </c>
    </row>
    <row r="199" spans="1:10" x14ac:dyDescent="0.35">
      <c r="A199" s="31">
        <v>45204.293055555558</v>
      </c>
      <c r="B199" s="32">
        <v>0.80237268518518512</v>
      </c>
      <c r="C199" s="33" t="s">
        <v>14</v>
      </c>
      <c r="D199" s="33" t="s">
        <v>27</v>
      </c>
      <c r="E199" s="34">
        <v>358.78</v>
      </c>
      <c r="F199" s="33">
        <v>3</v>
      </c>
      <c r="G199" s="34">
        <v>1076.3399999999999</v>
      </c>
      <c r="H199" s="33" t="s">
        <v>22</v>
      </c>
      <c r="I199" s="33" t="str">
        <f t="shared" si="6"/>
        <v>Medium sales</v>
      </c>
      <c r="J199" s="33" t="str">
        <f t="shared" si="7"/>
        <v>not eligible</v>
      </c>
    </row>
    <row r="200" spans="1:10" x14ac:dyDescent="0.35">
      <c r="A200" s="31">
        <v>45107.519444444442</v>
      </c>
      <c r="B200" s="32">
        <v>0.76354166666666667</v>
      </c>
      <c r="C200" s="33" t="s">
        <v>8</v>
      </c>
      <c r="D200" s="33" t="s">
        <v>27</v>
      </c>
      <c r="E200" s="34">
        <v>496.1</v>
      </c>
      <c r="F200" s="33">
        <v>2</v>
      </c>
      <c r="G200" s="34">
        <v>992.2</v>
      </c>
      <c r="H200" s="33" t="s">
        <v>171</v>
      </c>
      <c r="I200" s="33" t="str">
        <f t="shared" si="6"/>
        <v>Medium sales</v>
      </c>
      <c r="J200" s="33" t="str">
        <f t="shared" si="7"/>
        <v>not eligible</v>
      </c>
    </row>
    <row r="201" spans="1:10" x14ac:dyDescent="0.35">
      <c r="A201" s="31">
        <v>45442.777083333334</v>
      </c>
      <c r="B201" s="32">
        <v>0.27715277777777775</v>
      </c>
      <c r="C201" s="33" t="s">
        <v>14</v>
      </c>
      <c r="D201" s="33" t="s">
        <v>9</v>
      </c>
      <c r="E201" s="34">
        <v>385.74</v>
      </c>
      <c r="F201" s="33">
        <v>2</v>
      </c>
      <c r="G201" s="34">
        <v>771.48</v>
      </c>
      <c r="H201" s="33" t="s">
        <v>172</v>
      </c>
      <c r="I201" s="33" t="str">
        <f t="shared" si="6"/>
        <v>Medium sales</v>
      </c>
      <c r="J201" s="33" t="str">
        <f t="shared" si="7"/>
        <v>not eligible</v>
      </c>
    </row>
    <row r="202" spans="1:10" x14ac:dyDescent="0.35">
      <c r="A202" s="31">
        <v>45631.774305555555</v>
      </c>
      <c r="B202" s="32">
        <v>0.67724537037037036</v>
      </c>
      <c r="C202" s="33" t="s">
        <v>8</v>
      </c>
      <c r="D202" s="33" t="s">
        <v>9</v>
      </c>
      <c r="E202" s="34">
        <v>95.96</v>
      </c>
      <c r="F202" s="33">
        <v>4</v>
      </c>
      <c r="G202" s="34">
        <v>383.84</v>
      </c>
      <c r="H202" s="33" t="s">
        <v>173</v>
      </c>
      <c r="I202" s="33" t="str">
        <f t="shared" si="6"/>
        <v>Low sales</v>
      </c>
      <c r="J202" s="33" t="str">
        <f t="shared" si="7"/>
        <v>not eligible</v>
      </c>
    </row>
    <row r="203" spans="1:10" x14ac:dyDescent="0.35">
      <c r="A203" s="31">
        <v>45335.023611111108</v>
      </c>
      <c r="B203" s="32">
        <v>0.73761574074074077</v>
      </c>
      <c r="C203" s="33" t="s">
        <v>11</v>
      </c>
      <c r="D203" s="33" t="s">
        <v>12</v>
      </c>
      <c r="E203" s="34">
        <v>494.54</v>
      </c>
      <c r="F203" s="33">
        <v>3</v>
      </c>
      <c r="G203" s="34">
        <v>1483.62</v>
      </c>
      <c r="H203" s="33" t="s">
        <v>151</v>
      </c>
      <c r="I203" s="33" t="str">
        <f t="shared" si="6"/>
        <v>Medium sales</v>
      </c>
      <c r="J203" s="33" t="str">
        <f t="shared" si="7"/>
        <v>eligible</v>
      </c>
    </row>
    <row r="204" spans="1:10" x14ac:dyDescent="0.35">
      <c r="A204" s="31">
        <v>45012.527777777781</v>
      </c>
      <c r="B204" s="32">
        <v>0.73184027777777771</v>
      </c>
      <c r="C204" s="33" t="s">
        <v>11</v>
      </c>
      <c r="D204" s="33" t="s">
        <v>20</v>
      </c>
      <c r="E204" s="34">
        <v>125.53</v>
      </c>
      <c r="F204" s="33">
        <v>1</v>
      </c>
      <c r="G204" s="34">
        <v>125.53</v>
      </c>
      <c r="H204" s="33" t="s">
        <v>115</v>
      </c>
      <c r="I204" s="33" t="str">
        <f t="shared" si="6"/>
        <v>Low sales</v>
      </c>
      <c r="J204" s="33" t="str">
        <f t="shared" si="7"/>
        <v>not eligible</v>
      </c>
    </row>
    <row r="205" spans="1:10" x14ac:dyDescent="0.35">
      <c r="A205" s="31">
        <v>45480.80972222222</v>
      </c>
      <c r="B205" s="32">
        <v>0.72333333333333327</v>
      </c>
      <c r="C205" s="33" t="s">
        <v>14</v>
      </c>
      <c r="D205" s="33" t="s">
        <v>27</v>
      </c>
      <c r="E205" s="34">
        <v>28.56</v>
      </c>
      <c r="F205" s="33">
        <v>5</v>
      </c>
      <c r="G205" s="34">
        <v>142.80000000000001</v>
      </c>
      <c r="H205" s="33" t="s">
        <v>174</v>
      </c>
      <c r="I205" s="33" t="str">
        <f t="shared" si="6"/>
        <v>Low sales</v>
      </c>
      <c r="J205" s="33" t="str">
        <f t="shared" si="7"/>
        <v>not eligible</v>
      </c>
    </row>
    <row r="206" spans="1:10" x14ac:dyDescent="0.35">
      <c r="A206" s="31">
        <v>45598.097222222219</v>
      </c>
      <c r="B206" s="32">
        <v>4.6643518518518518E-3</v>
      </c>
      <c r="C206" s="33" t="s">
        <v>11</v>
      </c>
      <c r="D206" s="33" t="s">
        <v>20</v>
      </c>
      <c r="E206" s="34">
        <v>277.41000000000003</v>
      </c>
      <c r="F206" s="33">
        <v>1</v>
      </c>
      <c r="G206" s="34">
        <v>277.41000000000003</v>
      </c>
      <c r="H206" s="33" t="s">
        <v>59</v>
      </c>
      <c r="I206" s="33" t="str">
        <f t="shared" si="6"/>
        <v>Low sales</v>
      </c>
      <c r="J206" s="33" t="str">
        <f t="shared" si="7"/>
        <v>not eligible</v>
      </c>
    </row>
    <row r="207" spans="1:10" x14ac:dyDescent="0.35">
      <c r="A207" s="31">
        <v>45576.504861111112</v>
      </c>
      <c r="B207" s="32">
        <v>0.61653935185185182</v>
      </c>
      <c r="C207" s="33" t="s">
        <v>8</v>
      </c>
      <c r="D207" s="33" t="s">
        <v>16</v>
      </c>
      <c r="E207" s="34">
        <v>33.04</v>
      </c>
      <c r="F207" s="33">
        <v>1</v>
      </c>
      <c r="G207" s="34">
        <v>33.04</v>
      </c>
      <c r="H207" s="33" t="s">
        <v>30</v>
      </c>
      <c r="I207" s="33" t="str">
        <f t="shared" si="6"/>
        <v>Low sales</v>
      </c>
      <c r="J207" s="33" t="str">
        <f t="shared" si="7"/>
        <v>not eligible</v>
      </c>
    </row>
    <row r="208" spans="1:10" x14ac:dyDescent="0.35">
      <c r="A208" s="31">
        <v>45160.189583333333</v>
      </c>
      <c r="B208" s="32">
        <v>0.81202546296296296</v>
      </c>
      <c r="C208" s="33" t="s">
        <v>8</v>
      </c>
      <c r="D208" s="33" t="s">
        <v>16</v>
      </c>
      <c r="E208" s="34">
        <v>85.73</v>
      </c>
      <c r="F208" s="33">
        <v>4</v>
      </c>
      <c r="G208" s="34">
        <v>342.92</v>
      </c>
      <c r="H208" s="33" t="s">
        <v>90</v>
      </c>
      <c r="I208" s="33" t="str">
        <f t="shared" si="6"/>
        <v>Low sales</v>
      </c>
      <c r="J208" s="33" t="str">
        <f t="shared" si="7"/>
        <v>not eligible</v>
      </c>
    </row>
    <row r="209" spans="1:10" x14ac:dyDescent="0.35">
      <c r="A209" s="31">
        <v>45165.354861111111</v>
      </c>
      <c r="B209" s="32">
        <v>0.24319444444444446</v>
      </c>
      <c r="C209" s="33" t="s">
        <v>14</v>
      </c>
      <c r="D209" s="33" t="s">
        <v>9</v>
      </c>
      <c r="E209" s="34">
        <v>364.29</v>
      </c>
      <c r="F209" s="33">
        <v>5</v>
      </c>
      <c r="G209" s="34">
        <v>1821.45</v>
      </c>
      <c r="H209" s="33" t="s">
        <v>175</v>
      </c>
      <c r="I209" s="33" t="str">
        <f t="shared" si="6"/>
        <v>High sales</v>
      </c>
      <c r="J209" s="33" t="str">
        <f t="shared" si="7"/>
        <v>not eligible</v>
      </c>
    </row>
    <row r="210" spans="1:10" x14ac:dyDescent="0.35">
      <c r="A210" s="31">
        <v>45165.98333333333</v>
      </c>
      <c r="B210" s="32">
        <v>0.81596064814814817</v>
      </c>
      <c r="C210" s="33" t="s">
        <v>8</v>
      </c>
      <c r="D210" s="33" t="s">
        <v>20</v>
      </c>
      <c r="E210" s="34">
        <v>330.96</v>
      </c>
      <c r="F210" s="33">
        <v>3</v>
      </c>
      <c r="G210" s="34">
        <v>992.88</v>
      </c>
      <c r="H210" s="33" t="s">
        <v>176</v>
      </c>
      <c r="I210" s="33" t="str">
        <f t="shared" si="6"/>
        <v>Medium sales</v>
      </c>
      <c r="J210" s="33" t="str">
        <f t="shared" si="7"/>
        <v>not eligible</v>
      </c>
    </row>
    <row r="211" spans="1:10" x14ac:dyDescent="0.35">
      <c r="A211" s="31">
        <v>45031.036111111112</v>
      </c>
      <c r="B211" s="32">
        <v>0.58196759259259256</v>
      </c>
      <c r="C211" s="33" t="s">
        <v>14</v>
      </c>
      <c r="D211" s="33" t="s">
        <v>27</v>
      </c>
      <c r="E211" s="34">
        <v>200.85</v>
      </c>
      <c r="F211" s="33">
        <v>4</v>
      </c>
      <c r="G211" s="34">
        <v>803.4</v>
      </c>
      <c r="H211" s="33" t="s">
        <v>122</v>
      </c>
      <c r="I211" s="33" t="str">
        <f t="shared" si="6"/>
        <v>Medium sales</v>
      </c>
      <c r="J211" s="33" t="str">
        <f t="shared" si="7"/>
        <v>not eligible</v>
      </c>
    </row>
    <row r="212" spans="1:10" x14ac:dyDescent="0.35">
      <c r="A212" s="31">
        <v>45491.651388888888</v>
      </c>
      <c r="B212" s="32">
        <v>0.89038194444444441</v>
      </c>
      <c r="C212" s="33" t="s">
        <v>8</v>
      </c>
      <c r="D212" s="33" t="s">
        <v>9</v>
      </c>
      <c r="E212" s="34">
        <v>416.52</v>
      </c>
      <c r="F212" s="33">
        <v>5</v>
      </c>
      <c r="G212" s="34">
        <v>2082.6</v>
      </c>
      <c r="H212" s="33" t="s">
        <v>177</v>
      </c>
      <c r="I212" s="33" t="str">
        <f t="shared" si="6"/>
        <v>High sales</v>
      </c>
      <c r="J212" s="33" t="str">
        <f t="shared" si="7"/>
        <v>not eligible</v>
      </c>
    </row>
    <row r="213" spans="1:10" x14ac:dyDescent="0.35">
      <c r="A213" s="31">
        <v>45273.980555555558</v>
      </c>
      <c r="B213" s="32">
        <v>0.8294097222222222</v>
      </c>
      <c r="C213" s="33" t="s">
        <v>11</v>
      </c>
      <c r="D213" s="33" t="s">
        <v>16</v>
      </c>
      <c r="E213" s="34">
        <v>59.29</v>
      </c>
      <c r="F213" s="33">
        <v>1</v>
      </c>
      <c r="G213" s="34">
        <v>59.29</v>
      </c>
      <c r="H213" s="33" t="s">
        <v>178</v>
      </c>
      <c r="I213" s="33" t="str">
        <f t="shared" si="6"/>
        <v>Low sales</v>
      </c>
      <c r="J213" s="33" t="str">
        <f t="shared" si="7"/>
        <v>not eligible</v>
      </c>
    </row>
    <row r="214" spans="1:10" x14ac:dyDescent="0.35">
      <c r="A214" s="31">
        <v>44960.006249999999</v>
      </c>
      <c r="B214" s="32">
        <v>0.73696759259259259</v>
      </c>
      <c r="C214" s="33" t="s">
        <v>8</v>
      </c>
      <c r="D214" s="33" t="s">
        <v>9</v>
      </c>
      <c r="E214" s="34">
        <v>495.12</v>
      </c>
      <c r="F214" s="33">
        <v>2</v>
      </c>
      <c r="G214" s="34">
        <v>990.24</v>
      </c>
      <c r="H214" s="33" t="s">
        <v>100</v>
      </c>
      <c r="I214" s="33" t="str">
        <f t="shared" si="6"/>
        <v>Medium sales</v>
      </c>
      <c r="J214" s="33" t="str">
        <f t="shared" si="7"/>
        <v>not eligible</v>
      </c>
    </row>
    <row r="215" spans="1:10" x14ac:dyDescent="0.35">
      <c r="A215" s="31">
        <v>45325.862500000003</v>
      </c>
      <c r="B215" s="32">
        <v>0.67521990740740734</v>
      </c>
      <c r="C215" s="33" t="s">
        <v>8</v>
      </c>
      <c r="D215" s="33" t="s">
        <v>12</v>
      </c>
      <c r="E215" s="34">
        <v>51.13</v>
      </c>
      <c r="F215" s="33">
        <v>3</v>
      </c>
      <c r="G215" s="34">
        <v>153.38999999999999</v>
      </c>
      <c r="H215" s="33" t="s">
        <v>63</v>
      </c>
      <c r="I215" s="33" t="str">
        <f t="shared" si="6"/>
        <v>Low sales</v>
      </c>
      <c r="J215" s="33" t="str">
        <f t="shared" si="7"/>
        <v>not eligible</v>
      </c>
    </row>
    <row r="216" spans="1:10" x14ac:dyDescent="0.35">
      <c r="A216" s="31">
        <v>45544.740972222222</v>
      </c>
      <c r="B216" s="32">
        <v>0.37106481481481479</v>
      </c>
      <c r="C216" s="33" t="s">
        <v>8</v>
      </c>
      <c r="D216" s="33" t="s">
        <v>9</v>
      </c>
      <c r="E216" s="34">
        <v>31.33</v>
      </c>
      <c r="F216" s="33">
        <v>1</v>
      </c>
      <c r="G216" s="34">
        <v>31.33</v>
      </c>
      <c r="H216" s="33" t="s">
        <v>179</v>
      </c>
      <c r="I216" s="33" t="str">
        <f t="shared" si="6"/>
        <v>Low sales</v>
      </c>
      <c r="J216" s="33" t="str">
        <f t="shared" si="7"/>
        <v>not eligible</v>
      </c>
    </row>
    <row r="217" spans="1:10" x14ac:dyDescent="0.35">
      <c r="A217" s="31">
        <v>45194.364583333336</v>
      </c>
      <c r="B217" s="32">
        <v>0.25868055555555552</v>
      </c>
      <c r="C217" s="33" t="s">
        <v>8</v>
      </c>
      <c r="D217" s="33" t="s">
        <v>20</v>
      </c>
      <c r="E217" s="34">
        <v>480.3</v>
      </c>
      <c r="F217" s="33">
        <v>3</v>
      </c>
      <c r="G217" s="34">
        <v>1440.9</v>
      </c>
      <c r="H217" s="33" t="s">
        <v>180</v>
      </c>
      <c r="I217" s="33" t="str">
        <f t="shared" si="6"/>
        <v>Medium sales</v>
      </c>
      <c r="J217" s="33" t="str">
        <f t="shared" si="7"/>
        <v>not eligible</v>
      </c>
    </row>
    <row r="218" spans="1:10" x14ac:dyDescent="0.35">
      <c r="A218" s="31">
        <v>45048.756249999999</v>
      </c>
      <c r="B218" s="32">
        <v>0.13173611111111111</v>
      </c>
      <c r="C218" s="33" t="s">
        <v>11</v>
      </c>
      <c r="D218" s="33" t="s">
        <v>12</v>
      </c>
      <c r="E218" s="34">
        <v>269.56</v>
      </c>
      <c r="F218" s="33">
        <v>4</v>
      </c>
      <c r="G218" s="34">
        <v>1078.24</v>
      </c>
      <c r="H218" s="33" t="s">
        <v>181</v>
      </c>
      <c r="I218" s="33" t="str">
        <f t="shared" si="6"/>
        <v>Medium sales</v>
      </c>
      <c r="J218" s="33" t="str">
        <f t="shared" si="7"/>
        <v>eligible</v>
      </c>
    </row>
    <row r="219" spans="1:10" x14ac:dyDescent="0.35">
      <c r="A219" s="31">
        <v>45204.272222222222</v>
      </c>
      <c r="B219" s="32">
        <v>0.12128472222222221</v>
      </c>
      <c r="C219" s="33" t="s">
        <v>11</v>
      </c>
      <c r="D219" s="33" t="s">
        <v>27</v>
      </c>
      <c r="E219" s="34">
        <v>425</v>
      </c>
      <c r="F219" s="33">
        <v>1</v>
      </c>
      <c r="G219" s="34">
        <v>425</v>
      </c>
      <c r="H219" s="33" t="s">
        <v>182</v>
      </c>
      <c r="I219" s="33" t="str">
        <f t="shared" si="6"/>
        <v>Low sales</v>
      </c>
      <c r="J219" s="33" t="str">
        <f t="shared" si="7"/>
        <v>not eligible</v>
      </c>
    </row>
    <row r="220" spans="1:10" x14ac:dyDescent="0.35">
      <c r="A220" s="31">
        <v>45413.148611111108</v>
      </c>
      <c r="B220" s="32">
        <v>0.28972222222222221</v>
      </c>
      <c r="C220" s="33" t="s">
        <v>8</v>
      </c>
      <c r="D220" s="33" t="s">
        <v>20</v>
      </c>
      <c r="E220" s="34">
        <v>374.61</v>
      </c>
      <c r="F220" s="33">
        <v>1</v>
      </c>
      <c r="G220" s="34">
        <v>374.61</v>
      </c>
      <c r="H220" s="33" t="s">
        <v>79</v>
      </c>
      <c r="I220" s="33" t="str">
        <f t="shared" si="6"/>
        <v>Low sales</v>
      </c>
      <c r="J220" s="33" t="str">
        <f t="shared" si="7"/>
        <v>not eligible</v>
      </c>
    </row>
    <row r="221" spans="1:10" x14ac:dyDescent="0.35">
      <c r="A221" s="31">
        <v>44965.622916666667</v>
      </c>
      <c r="B221" s="32">
        <v>0.69049768518518517</v>
      </c>
      <c r="C221" s="33" t="s">
        <v>14</v>
      </c>
      <c r="D221" s="33" t="s">
        <v>20</v>
      </c>
      <c r="E221" s="34">
        <v>349.96</v>
      </c>
      <c r="F221" s="33">
        <v>5</v>
      </c>
      <c r="G221" s="34">
        <v>1749.8</v>
      </c>
      <c r="H221" s="33" t="s">
        <v>183</v>
      </c>
      <c r="I221" s="33" t="str">
        <f t="shared" si="6"/>
        <v>High sales</v>
      </c>
      <c r="J221" s="33" t="str">
        <f t="shared" si="7"/>
        <v>not eligible</v>
      </c>
    </row>
    <row r="222" spans="1:10" x14ac:dyDescent="0.35">
      <c r="A222" s="31">
        <v>45003.611805555556</v>
      </c>
      <c r="B222" s="32">
        <v>0.90315972222222218</v>
      </c>
      <c r="C222" s="33" t="s">
        <v>8</v>
      </c>
      <c r="D222" s="33" t="s">
        <v>12</v>
      </c>
      <c r="E222" s="34">
        <v>73.53</v>
      </c>
      <c r="F222" s="33">
        <v>2</v>
      </c>
      <c r="G222" s="34">
        <v>147.06</v>
      </c>
      <c r="H222" s="33" t="s">
        <v>64</v>
      </c>
      <c r="I222" s="33" t="str">
        <f t="shared" si="6"/>
        <v>Low sales</v>
      </c>
      <c r="J222" s="33" t="str">
        <f t="shared" si="7"/>
        <v>not eligible</v>
      </c>
    </row>
    <row r="223" spans="1:10" x14ac:dyDescent="0.35">
      <c r="A223" s="31">
        <v>44973.90902777778</v>
      </c>
      <c r="B223" s="32">
        <v>0.1625810185185185</v>
      </c>
      <c r="C223" s="33" t="s">
        <v>11</v>
      </c>
      <c r="D223" s="33" t="s">
        <v>9</v>
      </c>
      <c r="E223" s="34">
        <v>214.82</v>
      </c>
      <c r="F223" s="33">
        <v>3</v>
      </c>
      <c r="G223" s="34">
        <v>644.46</v>
      </c>
      <c r="H223" s="33" t="s">
        <v>184</v>
      </c>
      <c r="I223" s="33" t="str">
        <f t="shared" si="6"/>
        <v>Medium sales</v>
      </c>
      <c r="J223" s="33" t="str">
        <f t="shared" si="7"/>
        <v>not eligible</v>
      </c>
    </row>
    <row r="224" spans="1:10" x14ac:dyDescent="0.35">
      <c r="A224" s="31">
        <v>45081.519444444442</v>
      </c>
      <c r="B224" s="32">
        <v>7.6805555555555557E-2</v>
      </c>
      <c r="C224" s="33" t="s">
        <v>14</v>
      </c>
      <c r="D224" s="33" t="s">
        <v>16</v>
      </c>
      <c r="E224" s="34">
        <v>72.739999999999995</v>
      </c>
      <c r="F224" s="33">
        <v>1</v>
      </c>
      <c r="G224" s="34">
        <v>72.739999999999995</v>
      </c>
      <c r="H224" s="33" t="s">
        <v>185</v>
      </c>
      <c r="I224" s="33" t="str">
        <f t="shared" si="6"/>
        <v>Low sales</v>
      </c>
      <c r="J224" s="33" t="str">
        <f t="shared" si="7"/>
        <v>not eligible</v>
      </c>
    </row>
    <row r="225" spans="1:10" x14ac:dyDescent="0.35">
      <c r="A225" s="31">
        <v>45316.811111111114</v>
      </c>
      <c r="B225" s="32">
        <v>0.65930555555555559</v>
      </c>
      <c r="C225" s="33" t="s">
        <v>14</v>
      </c>
      <c r="D225" s="33" t="s">
        <v>9</v>
      </c>
      <c r="E225" s="34">
        <v>61.61</v>
      </c>
      <c r="F225" s="33">
        <v>2</v>
      </c>
      <c r="G225" s="34">
        <v>123.22</v>
      </c>
      <c r="H225" s="33" t="s">
        <v>186</v>
      </c>
      <c r="I225" s="33" t="str">
        <f t="shared" si="6"/>
        <v>Low sales</v>
      </c>
      <c r="J225" s="33" t="str">
        <f t="shared" si="7"/>
        <v>not eligible</v>
      </c>
    </row>
    <row r="226" spans="1:10" x14ac:dyDescent="0.35">
      <c r="A226" s="31">
        <v>45477.963194444441</v>
      </c>
      <c r="B226" s="32">
        <v>0.91535879629629635</v>
      </c>
      <c r="C226" s="33" t="s">
        <v>8</v>
      </c>
      <c r="D226" s="33" t="s">
        <v>16</v>
      </c>
      <c r="E226" s="34">
        <v>227.54</v>
      </c>
      <c r="F226" s="33">
        <v>4</v>
      </c>
      <c r="G226" s="34">
        <v>910.16</v>
      </c>
      <c r="H226" s="33" t="s">
        <v>187</v>
      </c>
      <c r="I226" s="33" t="str">
        <f t="shared" si="6"/>
        <v>Medium sales</v>
      </c>
      <c r="J226" s="33" t="str">
        <f t="shared" si="7"/>
        <v>not eligible</v>
      </c>
    </row>
    <row r="227" spans="1:10" x14ac:dyDescent="0.35">
      <c r="A227" s="31">
        <v>45437.931944444441</v>
      </c>
      <c r="B227" s="32">
        <v>0.42598379629629629</v>
      </c>
      <c r="C227" s="33" t="s">
        <v>8</v>
      </c>
      <c r="D227" s="33" t="s">
        <v>27</v>
      </c>
      <c r="E227" s="34">
        <v>192.22</v>
      </c>
      <c r="F227" s="33">
        <v>3</v>
      </c>
      <c r="G227" s="34">
        <v>576.66</v>
      </c>
      <c r="H227" s="33" t="s">
        <v>188</v>
      </c>
      <c r="I227" s="33" t="str">
        <f t="shared" si="6"/>
        <v>Medium sales</v>
      </c>
      <c r="J227" s="33" t="str">
        <f t="shared" si="7"/>
        <v>not eligible</v>
      </c>
    </row>
    <row r="228" spans="1:10" x14ac:dyDescent="0.35">
      <c r="A228" s="31">
        <v>45654.459722222222</v>
      </c>
      <c r="B228" s="32">
        <v>0.61593750000000003</v>
      </c>
      <c r="C228" s="33" t="s">
        <v>11</v>
      </c>
      <c r="D228" s="33" t="s">
        <v>20</v>
      </c>
      <c r="E228" s="34">
        <v>348.01</v>
      </c>
      <c r="F228" s="33">
        <v>4</v>
      </c>
      <c r="G228" s="34">
        <v>1392.04</v>
      </c>
      <c r="H228" s="33" t="s">
        <v>189</v>
      </c>
      <c r="I228" s="33" t="str">
        <f t="shared" si="6"/>
        <v>Medium sales</v>
      </c>
      <c r="J228" s="33" t="str">
        <f t="shared" si="7"/>
        <v>eligible</v>
      </c>
    </row>
    <row r="229" spans="1:10" x14ac:dyDescent="0.35">
      <c r="A229" s="31">
        <v>45487.890972222223</v>
      </c>
      <c r="B229" s="32">
        <v>0.50152777777777779</v>
      </c>
      <c r="C229" s="33" t="s">
        <v>11</v>
      </c>
      <c r="D229" s="33" t="s">
        <v>9</v>
      </c>
      <c r="E229" s="34">
        <v>332.38</v>
      </c>
      <c r="F229" s="33">
        <v>1</v>
      </c>
      <c r="G229" s="34">
        <v>332.38</v>
      </c>
      <c r="H229" s="33" t="s">
        <v>166</v>
      </c>
      <c r="I229" s="33" t="str">
        <f t="shared" si="6"/>
        <v>Low sales</v>
      </c>
      <c r="J229" s="33" t="str">
        <f t="shared" si="7"/>
        <v>not eligible</v>
      </c>
    </row>
    <row r="230" spans="1:10" x14ac:dyDescent="0.35">
      <c r="A230" s="31">
        <v>45357.763888888891</v>
      </c>
      <c r="B230" s="32">
        <v>0.54988425925925932</v>
      </c>
      <c r="C230" s="33" t="s">
        <v>14</v>
      </c>
      <c r="D230" s="33" t="s">
        <v>27</v>
      </c>
      <c r="E230" s="34">
        <v>412.87</v>
      </c>
      <c r="F230" s="33">
        <v>1</v>
      </c>
      <c r="G230" s="34">
        <v>412.87</v>
      </c>
      <c r="H230" s="33" t="s">
        <v>190</v>
      </c>
      <c r="I230" s="33" t="str">
        <f t="shared" si="6"/>
        <v>Low sales</v>
      </c>
      <c r="J230" s="33" t="str">
        <f t="shared" si="7"/>
        <v>not eligible</v>
      </c>
    </row>
    <row r="231" spans="1:10" x14ac:dyDescent="0.35">
      <c r="A231" s="31">
        <v>45242.915972222225</v>
      </c>
      <c r="B231" s="32">
        <v>0.27653935185185186</v>
      </c>
      <c r="C231" s="33" t="s">
        <v>11</v>
      </c>
      <c r="D231" s="33" t="s">
        <v>16</v>
      </c>
      <c r="E231" s="34">
        <v>80.83</v>
      </c>
      <c r="F231" s="33">
        <v>1</v>
      </c>
      <c r="G231" s="34">
        <v>80.83</v>
      </c>
      <c r="H231" s="33" t="s">
        <v>61</v>
      </c>
      <c r="I231" s="33" t="str">
        <f t="shared" si="6"/>
        <v>Low sales</v>
      </c>
      <c r="J231" s="33" t="str">
        <f t="shared" si="7"/>
        <v>not eligible</v>
      </c>
    </row>
    <row r="232" spans="1:10" x14ac:dyDescent="0.35">
      <c r="A232" s="31">
        <v>45582.986111111109</v>
      </c>
      <c r="B232" s="32">
        <v>0.23643518518518516</v>
      </c>
      <c r="C232" s="33" t="s">
        <v>11</v>
      </c>
      <c r="D232" s="33" t="s">
        <v>27</v>
      </c>
      <c r="E232" s="34">
        <v>44.71</v>
      </c>
      <c r="F232" s="33">
        <v>4</v>
      </c>
      <c r="G232" s="34">
        <v>178.84</v>
      </c>
      <c r="H232" s="33" t="s">
        <v>191</v>
      </c>
      <c r="I232" s="33" t="str">
        <f t="shared" si="6"/>
        <v>Low sales</v>
      </c>
      <c r="J232" s="33" t="str">
        <f t="shared" si="7"/>
        <v>not eligible</v>
      </c>
    </row>
    <row r="233" spans="1:10" x14ac:dyDescent="0.35">
      <c r="A233" s="31">
        <v>45647.440972222219</v>
      </c>
      <c r="B233" s="32">
        <v>0.32760416666666664</v>
      </c>
      <c r="C233" s="33" t="s">
        <v>14</v>
      </c>
      <c r="D233" s="33" t="s">
        <v>20</v>
      </c>
      <c r="E233" s="34">
        <v>380.02</v>
      </c>
      <c r="F233" s="33">
        <v>2</v>
      </c>
      <c r="G233" s="34">
        <v>760.04</v>
      </c>
      <c r="H233" s="33" t="s">
        <v>192</v>
      </c>
      <c r="I233" s="33" t="str">
        <f t="shared" si="6"/>
        <v>Medium sales</v>
      </c>
      <c r="J233" s="33" t="str">
        <f t="shared" si="7"/>
        <v>not eligible</v>
      </c>
    </row>
    <row r="234" spans="1:10" x14ac:dyDescent="0.35">
      <c r="A234" s="31">
        <v>44994.017361111109</v>
      </c>
      <c r="B234" s="32">
        <v>0.74937500000000001</v>
      </c>
      <c r="C234" s="33" t="s">
        <v>8</v>
      </c>
      <c r="D234" s="33" t="s">
        <v>12</v>
      </c>
      <c r="E234" s="34">
        <v>265.42</v>
      </c>
      <c r="F234" s="33">
        <v>4</v>
      </c>
      <c r="G234" s="34">
        <v>1061.68</v>
      </c>
      <c r="H234" s="33" t="s">
        <v>141</v>
      </c>
      <c r="I234" s="33" t="str">
        <f t="shared" si="6"/>
        <v>Medium sales</v>
      </c>
      <c r="J234" s="33" t="str">
        <f t="shared" si="7"/>
        <v>not eligible</v>
      </c>
    </row>
    <row r="235" spans="1:10" x14ac:dyDescent="0.35">
      <c r="A235" s="31">
        <v>45375.209722222222</v>
      </c>
      <c r="B235" s="32">
        <v>0.70925925925925926</v>
      </c>
      <c r="C235" s="33" t="s">
        <v>14</v>
      </c>
      <c r="D235" s="33" t="s">
        <v>16</v>
      </c>
      <c r="E235" s="34">
        <v>296.07</v>
      </c>
      <c r="F235" s="33">
        <v>5</v>
      </c>
      <c r="G235" s="34">
        <v>1480.35</v>
      </c>
      <c r="H235" s="33" t="s">
        <v>193</v>
      </c>
      <c r="I235" s="33" t="str">
        <f t="shared" si="6"/>
        <v>Medium sales</v>
      </c>
      <c r="J235" s="33" t="str">
        <f t="shared" si="7"/>
        <v>not eligible</v>
      </c>
    </row>
    <row r="236" spans="1:10" x14ac:dyDescent="0.35">
      <c r="A236" s="31">
        <v>45395.75277777778</v>
      </c>
      <c r="B236" s="32">
        <v>0.59634259259259259</v>
      </c>
      <c r="C236" s="33" t="s">
        <v>8</v>
      </c>
      <c r="D236" s="33" t="s">
        <v>16</v>
      </c>
      <c r="E236" s="34">
        <v>189.25</v>
      </c>
      <c r="F236" s="33">
        <v>1</v>
      </c>
      <c r="G236" s="34">
        <v>189.25</v>
      </c>
      <c r="H236" s="33" t="s">
        <v>33</v>
      </c>
      <c r="I236" s="33" t="str">
        <f t="shared" si="6"/>
        <v>Low sales</v>
      </c>
      <c r="J236" s="33" t="str">
        <f t="shared" si="7"/>
        <v>not eligible</v>
      </c>
    </row>
    <row r="237" spans="1:10" x14ac:dyDescent="0.35">
      <c r="A237" s="31">
        <v>45119.788888888892</v>
      </c>
      <c r="B237" s="32">
        <v>0.82142361111111117</v>
      </c>
      <c r="C237" s="33" t="s">
        <v>11</v>
      </c>
      <c r="D237" s="33" t="s">
        <v>27</v>
      </c>
      <c r="E237" s="34">
        <v>19.11</v>
      </c>
      <c r="F237" s="33">
        <v>4</v>
      </c>
      <c r="G237" s="34">
        <v>76.44</v>
      </c>
      <c r="H237" s="33" t="s">
        <v>194</v>
      </c>
      <c r="I237" s="33" t="str">
        <f t="shared" si="6"/>
        <v>Low sales</v>
      </c>
      <c r="J237" s="33" t="str">
        <f t="shared" si="7"/>
        <v>not eligible</v>
      </c>
    </row>
    <row r="238" spans="1:10" x14ac:dyDescent="0.35">
      <c r="A238" s="31">
        <v>45136.595138888886</v>
      </c>
      <c r="B238" s="32">
        <v>0.42413194444444446</v>
      </c>
      <c r="C238" s="33" t="s">
        <v>11</v>
      </c>
      <c r="D238" s="33" t="s">
        <v>9</v>
      </c>
      <c r="E238" s="34">
        <v>69.38</v>
      </c>
      <c r="F238" s="33">
        <v>5</v>
      </c>
      <c r="G238" s="34">
        <v>346.9</v>
      </c>
      <c r="H238" s="33" t="s">
        <v>195</v>
      </c>
      <c r="I238" s="33" t="str">
        <f t="shared" si="6"/>
        <v>Low sales</v>
      </c>
      <c r="J238" s="33" t="str">
        <f t="shared" si="7"/>
        <v>not eligible</v>
      </c>
    </row>
    <row r="239" spans="1:10" x14ac:dyDescent="0.35">
      <c r="A239" s="31">
        <v>45564.325694444444</v>
      </c>
      <c r="B239" s="32">
        <v>0.39932870370370371</v>
      </c>
      <c r="C239" s="33" t="s">
        <v>14</v>
      </c>
      <c r="D239" s="33" t="s">
        <v>12</v>
      </c>
      <c r="E239" s="34">
        <v>306.17</v>
      </c>
      <c r="F239" s="33">
        <v>1</v>
      </c>
      <c r="G239" s="34">
        <v>306.17</v>
      </c>
      <c r="H239" s="33" t="s">
        <v>196</v>
      </c>
      <c r="I239" s="33" t="str">
        <f t="shared" si="6"/>
        <v>Low sales</v>
      </c>
      <c r="J239" s="33" t="str">
        <f t="shared" si="7"/>
        <v>not eligible</v>
      </c>
    </row>
    <row r="240" spans="1:10" x14ac:dyDescent="0.35">
      <c r="A240" s="31">
        <v>44976.893750000003</v>
      </c>
      <c r="B240" s="32">
        <v>0.6778587962962962</v>
      </c>
      <c r="C240" s="33" t="s">
        <v>14</v>
      </c>
      <c r="D240" s="33" t="s">
        <v>27</v>
      </c>
      <c r="E240" s="34">
        <v>409.91</v>
      </c>
      <c r="F240" s="33">
        <v>3</v>
      </c>
      <c r="G240" s="34">
        <v>1229.73</v>
      </c>
      <c r="H240" s="33" t="s">
        <v>182</v>
      </c>
      <c r="I240" s="33" t="str">
        <f t="shared" si="6"/>
        <v>Medium sales</v>
      </c>
      <c r="J240" s="33" t="str">
        <f t="shared" si="7"/>
        <v>not eligible</v>
      </c>
    </row>
    <row r="241" spans="1:10" x14ac:dyDescent="0.35">
      <c r="A241" s="31">
        <v>45565.743055555555</v>
      </c>
      <c r="B241" s="32">
        <v>0.27178240740740739</v>
      </c>
      <c r="C241" s="33" t="s">
        <v>8</v>
      </c>
      <c r="D241" s="33" t="s">
        <v>27</v>
      </c>
      <c r="E241" s="34">
        <v>287.08999999999997</v>
      </c>
      <c r="F241" s="33">
        <v>5</v>
      </c>
      <c r="G241" s="34">
        <v>1435.45</v>
      </c>
      <c r="H241" s="33" t="s">
        <v>197</v>
      </c>
      <c r="I241" s="33" t="str">
        <f t="shared" si="6"/>
        <v>Medium sales</v>
      </c>
      <c r="J241" s="33" t="str">
        <f t="shared" si="7"/>
        <v>not eligible</v>
      </c>
    </row>
    <row r="242" spans="1:10" x14ac:dyDescent="0.35">
      <c r="A242" s="31">
        <v>45547.237500000003</v>
      </c>
      <c r="B242" s="32">
        <v>0.27056712962962964</v>
      </c>
      <c r="C242" s="33" t="s">
        <v>11</v>
      </c>
      <c r="D242" s="33" t="s">
        <v>9</v>
      </c>
      <c r="E242" s="34">
        <v>21.58</v>
      </c>
      <c r="F242" s="33">
        <v>1</v>
      </c>
      <c r="G242" s="34">
        <v>21.58</v>
      </c>
      <c r="H242" s="33" t="s">
        <v>198</v>
      </c>
      <c r="I242" s="33" t="str">
        <f t="shared" si="6"/>
        <v>Low sales</v>
      </c>
      <c r="J242" s="33" t="str">
        <f t="shared" si="7"/>
        <v>not eligible</v>
      </c>
    </row>
    <row r="243" spans="1:10" x14ac:dyDescent="0.35">
      <c r="A243" s="31">
        <v>45513.727777777778</v>
      </c>
      <c r="B243" s="32">
        <v>0.57634259259259257</v>
      </c>
      <c r="C243" s="33" t="s">
        <v>11</v>
      </c>
      <c r="D243" s="33" t="s">
        <v>12</v>
      </c>
      <c r="E243" s="34">
        <v>159.12</v>
      </c>
      <c r="F243" s="33">
        <v>4</v>
      </c>
      <c r="G243" s="34">
        <v>636.48</v>
      </c>
      <c r="H243" s="33" t="s">
        <v>199</v>
      </c>
      <c r="I243" s="33" t="str">
        <f t="shared" si="6"/>
        <v>Medium sales</v>
      </c>
      <c r="J243" s="33" t="str">
        <f t="shared" si="7"/>
        <v>not eligible</v>
      </c>
    </row>
    <row r="244" spans="1:10" x14ac:dyDescent="0.35">
      <c r="A244" s="31">
        <v>45378.615972222222</v>
      </c>
      <c r="B244" s="32">
        <v>0.19750000000000001</v>
      </c>
      <c r="C244" s="33" t="s">
        <v>11</v>
      </c>
      <c r="D244" s="33" t="s">
        <v>20</v>
      </c>
      <c r="E244" s="34">
        <v>370.16</v>
      </c>
      <c r="F244" s="33">
        <v>2</v>
      </c>
      <c r="G244" s="34">
        <v>740.32</v>
      </c>
      <c r="H244" s="33" t="s">
        <v>200</v>
      </c>
      <c r="I244" s="33" t="str">
        <f t="shared" si="6"/>
        <v>Medium sales</v>
      </c>
      <c r="J244" s="33" t="str">
        <f t="shared" si="7"/>
        <v>not eligible</v>
      </c>
    </row>
    <row r="245" spans="1:10" x14ac:dyDescent="0.35">
      <c r="A245" s="31">
        <v>45289.981249999997</v>
      </c>
      <c r="B245" s="32">
        <v>0.38457175925925924</v>
      </c>
      <c r="C245" s="33" t="s">
        <v>14</v>
      </c>
      <c r="D245" s="33" t="s">
        <v>27</v>
      </c>
      <c r="E245" s="34">
        <v>204.08</v>
      </c>
      <c r="F245" s="33">
        <v>1</v>
      </c>
      <c r="G245" s="34">
        <v>204.08</v>
      </c>
      <c r="H245" s="33" t="s">
        <v>122</v>
      </c>
      <c r="I245" s="33" t="str">
        <f t="shared" si="6"/>
        <v>Low sales</v>
      </c>
      <c r="J245" s="33" t="str">
        <f t="shared" si="7"/>
        <v>not eligible</v>
      </c>
    </row>
    <row r="246" spans="1:10" x14ac:dyDescent="0.35">
      <c r="A246" s="31">
        <v>45632.29791666667</v>
      </c>
      <c r="B246" s="32">
        <v>0.75531250000000005</v>
      </c>
      <c r="C246" s="33" t="s">
        <v>14</v>
      </c>
      <c r="D246" s="33" t="s">
        <v>12</v>
      </c>
      <c r="E246" s="34">
        <v>475.17</v>
      </c>
      <c r="F246" s="33">
        <v>5</v>
      </c>
      <c r="G246" s="34">
        <v>2375.85</v>
      </c>
      <c r="H246" s="33" t="s">
        <v>191</v>
      </c>
      <c r="I246" s="33" t="str">
        <f t="shared" si="6"/>
        <v>High sales</v>
      </c>
      <c r="J246" s="33" t="str">
        <f t="shared" si="7"/>
        <v>not eligible</v>
      </c>
    </row>
    <row r="247" spans="1:10" x14ac:dyDescent="0.35">
      <c r="A247" s="31">
        <v>45556.081250000003</v>
      </c>
      <c r="B247" s="32">
        <v>0.43208333333333332</v>
      </c>
      <c r="C247" s="33" t="s">
        <v>14</v>
      </c>
      <c r="D247" s="33" t="s">
        <v>12</v>
      </c>
      <c r="E247" s="34">
        <v>151.72999999999999</v>
      </c>
      <c r="F247" s="33">
        <v>3</v>
      </c>
      <c r="G247" s="34">
        <v>455.19</v>
      </c>
      <c r="H247" s="33" t="s">
        <v>166</v>
      </c>
      <c r="I247" s="33" t="str">
        <f t="shared" si="6"/>
        <v>Low sales</v>
      </c>
      <c r="J247" s="33" t="str">
        <f t="shared" si="7"/>
        <v>not eligible</v>
      </c>
    </row>
    <row r="248" spans="1:10" x14ac:dyDescent="0.35">
      <c r="A248" s="31">
        <v>45253.296527777777</v>
      </c>
      <c r="B248" s="32">
        <v>0.20443287037037039</v>
      </c>
      <c r="C248" s="33" t="s">
        <v>14</v>
      </c>
      <c r="D248" s="33" t="s">
        <v>16</v>
      </c>
      <c r="E248" s="34">
        <v>334.92</v>
      </c>
      <c r="F248" s="33">
        <v>2</v>
      </c>
      <c r="G248" s="34">
        <v>669.84</v>
      </c>
      <c r="H248" s="33" t="s">
        <v>172</v>
      </c>
      <c r="I248" s="33" t="str">
        <f t="shared" si="6"/>
        <v>Medium sales</v>
      </c>
      <c r="J248" s="33" t="str">
        <f t="shared" si="7"/>
        <v>not eligible</v>
      </c>
    </row>
    <row r="249" spans="1:10" x14ac:dyDescent="0.35">
      <c r="A249" s="31">
        <v>45551.708333333336</v>
      </c>
      <c r="B249" s="32">
        <v>0.18875</v>
      </c>
      <c r="C249" s="33" t="s">
        <v>8</v>
      </c>
      <c r="D249" s="33" t="s">
        <v>20</v>
      </c>
      <c r="E249" s="34">
        <v>483.16</v>
      </c>
      <c r="F249" s="33">
        <v>4</v>
      </c>
      <c r="G249" s="34">
        <v>1932.64</v>
      </c>
      <c r="H249" s="33" t="s">
        <v>201</v>
      </c>
      <c r="I249" s="33" t="str">
        <f t="shared" si="6"/>
        <v>High sales</v>
      </c>
      <c r="J249" s="33" t="str">
        <f t="shared" si="7"/>
        <v>not eligible</v>
      </c>
    </row>
    <row r="250" spans="1:10" x14ac:dyDescent="0.35">
      <c r="A250" s="31">
        <v>45513.372916666667</v>
      </c>
      <c r="B250" s="32">
        <v>0.9865046296296297</v>
      </c>
      <c r="C250" s="33" t="s">
        <v>14</v>
      </c>
      <c r="D250" s="33" t="s">
        <v>12</v>
      </c>
      <c r="E250" s="34">
        <v>200.77</v>
      </c>
      <c r="F250" s="33">
        <v>5</v>
      </c>
      <c r="G250" s="34">
        <v>1003.85</v>
      </c>
      <c r="H250" s="33" t="s">
        <v>202</v>
      </c>
      <c r="I250" s="33" t="str">
        <f t="shared" si="6"/>
        <v>Medium sales</v>
      </c>
      <c r="J250" s="33" t="str">
        <f t="shared" si="7"/>
        <v>not eligible</v>
      </c>
    </row>
    <row r="251" spans="1:10" x14ac:dyDescent="0.35">
      <c r="A251" s="31">
        <v>45416.38958333333</v>
      </c>
      <c r="B251" s="32">
        <v>0.89574074074074073</v>
      </c>
      <c r="C251" s="33" t="s">
        <v>8</v>
      </c>
      <c r="D251" s="33" t="s">
        <v>12</v>
      </c>
      <c r="E251" s="34">
        <v>31.09</v>
      </c>
      <c r="F251" s="33">
        <v>5</v>
      </c>
      <c r="G251" s="34">
        <v>155.44999999999999</v>
      </c>
      <c r="H251" s="33" t="s">
        <v>203</v>
      </c>
      <c r="I251" s="33" t="str">
        <f t="shared" si="6"/>
        <v>Low sales</v>
      </c>
      <c r="J251" s="33" t="str">
        <f t="shared" si="7"/>
        <v>not eligible</v>
      </c>
    </row>
    <row r="252" spans="1:10" x14ac:dyDescent="0.35">
      <c r="A252" s="31">
        <v>45126.717361111114</v>
      </c>
      <c r="B252" s="32">
        <v>0.55158564814814814</v>
      </c>
      <c r="C252" s="33" t="s">
        <v>8</v>
      </c>
      <c r="D252" s="33" t="s">
        <v>12</v>
      </c>
      <c r="E252" s="34">
        <v>362.26</v>
      </c>
      <c r="F252" s="33">
        <v>3</v>
      </c>
      <c r="G252" s="34">
        <v>1086.78</v>
      </c>
      <c r="H252" s="33" t="s">
        <v>19</v>
      </c>
      <c r="I252" s="33" t="str">
        <f t="shared" si="6"/>
        <v>Medium sales</v>
      </c>
      <c r="J252" s="33" t="str">
        <f t="shared" si="7"/>
        <v>not eligible</v>
      </c>
    </row>
    <row r="253" spans="1:10" x14ac:dyDescent="0.35">
      <c r="A253" s="31">
        <v>45128.888194444444</v>
      </c>
      <c r="B253" s="32">
        <v>0.61020833333333335</v>
      </c>
      <c r="C253" s="33" t="s">
        <v>14</v>
      </c>
      <c r="D253" s="33" t="s">
        <v>16</v>
      </c>
      <c r="E253" s="34">
        <v>458.75</v>
      </c>
      <c r="F253" s="33">
        <v>1</v>
      </c>
      <c r="G253" s="34">
        <v>458.75</v>
      </c>
      <c r="H253" s="33" t="s">
        <v>97</v>
      </c>
      <c r="I253" s="33" t="str">
        <f t="shared" si="6"/>
        <v>Low sales</v>
      </c>
      <c r="J253" s="33" t="str">
        <f t="shared" si="7"/>
        <v>not eligible</v>
      </c>
    </row>
    <row r="254" spans="1:10" x14ac:dyDescent="0.35">
      <c r="A254" s="31">
        <v>45592.526388888888</v>
      </c>
      <c r="B254" s="32">
        <v>0.3319212962962963</v>
      </c>
      <c r="C254" s="33" t="s">
        <v>14</v>
      </c>
      <c r="D254" s="33" t="s">
        <v>9</v>
      </c>
      <c r="E254" s="34">
        <v>458.24</v>
      </c>
      <c r="F254" s="33">
        <v>1</v>
      </c>
      <c r="G254" s="34">
        <v>458.24</v>
      </c>
      <c r="H254" s="33" t="s">
        <v>168</v>
      </c>
      <c r="I254" s="33" t="str">
        <f t="shared" si="6"/>
        <v>Low sales</v>
      </c>
      <c r="J254" s="33" t="str">
        <f t="shared" si="7"/>
        <v>not eligible</v>
      </c>
    </row>
    <row r="255" spans="1:10" x14ac:dyDescent="0.35">
      <c r="A255" s="31">
        <v>45534.038194444445</v>
      </c>
      <c r="B255" s="32">
        <v>0.11113425925925925</v>
      </c>
      <c r="C255" s="33" t="s">
        <v>8</v>
      </c>
      <c r="D255" s="33" t="s">
        <v>20</v>
      </c>
      <c r="E255" s="34">
        <v>71.540000000000006</v>
      </c>
      <c r="F255" s="33">
        <v>2</v>
      </c>
      <c r="G255" s="34">
        <v>143.08000000000001</v>
      </c>
      <c r="H255" s="33" t="s">
        <v>190</v>
      </c>
      <c r="I255" s="33" t="str">
        <f t="shared" si="6"/>
        <v>Low sales</v>
      </c>
      <c r="J255" s="33" t="str">
        <f t="shared" si="7"/>
        <v>not eligible</v>
      </c>
    </row>
    <row r="256" spans="1:10" x14ac:dyDescent="0.35">
      <c r="A256" s="31">
        <v>45457.681250000001</v>
      </c>
      <c r="B256" s="32">
        <v>0.81785879629629632</v>
      </c>
      <c r="C256" s="33" t="s">
        <v>11</v>
      </c>
      <c r="D256" s="33" t="s">
        <v>27</v>
      </c>
      <c r="E256" s="34">
        <v>362.62</v>
      </c>
      <c r="F256" s="33">
        <v>5</v>
      </c>
      <c r="G256" s="34">
        <v>1813.1</v>
      </c>
      <c r="H256" s="33" t="s">
        <v>100</v>
      </c>
      <c r="I256" s="33" t="str">
        <f t="shared" si="6"/>
        <v>High sales</v>
      </c>
      <c r="J256" s="33" t="str">
        <f t="shared" si="7"/>
        <v>eligible</v>
      </c>
    </row>
    <row r="257" spans="1:10" x14ac:dyDescent="0.35">
      <c r="A257" s="31">
        <v>45591.684027777781</v>
      </c>
      <c r="B257" s="32">
        <v>6.1435185185185183E-2</v>
      </c>
      <c r="C257" s="33" t="s">
        <v>8</v>
      </c>
      <c r="D257" s="33" t="s">
        <v>27</v>
      </c>
      <c r="E257" s="34">
        <v>112.21</v>
      </c>
      <c r="F257" s="33">
        <v>1</v>
      </c>
      <c r="G257" s="34">
        <v>112.21</v>
      </c>
      <c r="H257" s="33" t="s">
        <v>51</v>
      </c>
      <c r="I257" s="33" t="str">
        <f t="shared" si="6"/>
        <v>Low sales</v>
      </c>
      <c r="J257" s="33" t="str">
        <f t="shared" si="7"/>
        <v>not eligible</v>
      </c>
    </row>
    <row r="258" spans="1:10" x14ac:dyDescent="0.35">
      <c r="A258" s="31">
        <v>45027.496527777781</v>
      </c>
      <c r="B258" s="32">
        <v>4.0543981481481479E-2</v>
      </c>
      <c r="C258" s="33" t="s">
        <v>11</v>
      </c>
      <c r="D258" s="33" t="s">
        <v>27</v>
      </c>
      <c r="E258" s="34">
        <v>173.85</v>
      </c>
      <c r="F258" s="33">
        <v>4</v>
      </c>
      <c r="G258" s="34">
        <v>695.4</v>
      </c>
      <c r="H258" s="33" t="s">
        <v>204</v>
      </c>
      <c r="I258" s="33" t="str">
        <f t="shared" si="6"/>
        <v>Medium sales</v>
      </c>
      <c r="J258" s="33" t="str">
        <f t="shared" si="7"/>
        <v>not eligible</v>
      </c>
    </row>
    <row r="259" spans="1:10" x14ac:dyDescent="0.35">
      <c r="A259" s="31">
        <v>45483.694444444445</v>
      </c>
      <c r="B259" s="32">
        <v>0.27405092592592589</v>
      </c>
      <c r="C259" s="33" t="s">
        <v>11</v>
      </c>
      <c r="D259" s="33" t="s">
        <v>9</v>
      </c>
      <c r="E259" s="34">
        <v>283.07</v>
      </c>
      <c r="F259" s="33">
        <v>5</v>
      </c>
      <c r="G259" s="34">
        <v>1415.35</v>
      </c>
      <c r="H259" s="33" t="s">
        <v>112</v>
      </c>
      <c r="I259" s="33" t="str">
        <f t="shared" ref="I259:I322" si="8">IF(G259&gt;1500,"High sales", IF(G259&gt;500,"Medium sales", "Low sales"))</f>
        <v>Medium sales</v>
      </c>
      <c r="J259" s="33" t="str">
        <f t="shared" ref="J259:J322" si="9">IF(AND(G259&gt;1000,C259="Premium"), "eligible", "not eligible")</f>
        <v>eligible</v>
      </c>
    </row>
    <row r="260" spans="1:10" x14ac:dyDescent="0.35">
      <c r="A260" s="31">
        <v>45194.104861111111</v>
      </c>
      <c r="B260" s="32">
        <v>0.67159722222222218</v>
      </c>
      <c r="C260" s="33" t="s">
        <v>14</v>
      </c>
      <c r="D260" s="33" t="s">
        <v>27</v>
      </c>
      <c r="E260" s="34">
        <v>186.01</v>
      </c>
      <c r="F260" s="33">
        <v>4</v>
      </c>
      <c r="G260" s="34">
        <v>744.04</v>
      </c>
      <c r="H260" s="33" t="s">
        <v>108</v>
      </c>
      <c r="I260" s="33" t="str">
        <f t="shared" si="8"/>
        <v>Medium sales</v>
      </c>
      <c r="J260" s="33" t="str">
        <f t="shared" si="9"/>
        <v>not eligible</v>
      </c>
    </row>
    <row r="261" spans="1:10" x14ac:dyDescent="0.35">
      <c r="A261" s="31">
        <v>45493.536805555559</v>
      </c>
      <c r="B261" s="32">
        <v>0.86057870370370371</v>
      </c>
      <c r="C261" s="33" t="s">
        <v>8</v>
      </c>
      <c r="D261" s="33" t="s">
        <v>16</v>
      </c>
      <c r="E261" s="34">
        <v>393.65</v>
      </c>
      <c r="F261" s="33">
        <v>1</v>
      </c>
      <c r="G261" s="34">
        <v>393.65</v>
      </c>
      <c r="H261" s="33" t="s">
        <v>205</v>
      </c>
      <c r="I261" s="33" t="str">
        <f t="shared" si="8"/>
        <v>Low sales</v>
      </c>
      <c r="J261" s="33" t="str">
        <f t="shared" si="9"/>
        <v>not eligible</v>
      </c>
    </row>
    <row r="262" spans="1:10" x14ac:dyDescent="0.35">
      <c r="A262" s="31">
        <v>45584.354166666664</v>
      </c>
      <c r="B262" s="32">
        <v>0.78306712962962965</v>
      </c>
      <c r="C262" s="33" t="s">
        <v>14</v>
      </c>
      <c r="D262" s="33" t="s">
        <v>9</v>
      </c>
      <c r="E262" s="34">
        <v>438.39</v>
      </c>
      <c r="F262" s="33">
        <v>4</v>
      </c>
      <c r="G262" s="34">
        <v>1753.56</v>
      </c>
      <c r="H262" s="33" t="s">
        <v>206</v>
      </c>
      <c r="I262" s="33" t="str">
        <f t="shared" si="8"/>
        <v>High sales</v>
      </c>
      <c r="J262" s="33" t="str">
        <f t="shared" si="9"/>
        <v>not eligible</v>
      </c>
    </row>
    <row r="263" spans="1:10" x14ac:dyDescent="0.35">
      <c r="A263" s="31">
        <v>45372.587500000001</v>
      </c>
      <c r="B263" s="32">
        <v>0.55780092592592589</v>
      </c>
      <c r="C263" s="33" t="s">
        <v>14</v>
      </c>
      <c r="D263" s="33" t="s">
        <v>12</v>
      </c>
      <c r="E263" s="34">
        <v>173.29</v>
      </c>
      <c r="F263" s="33">
        <v>2</v>
      </c>
      <c r="G263" s="34">
        <v>346.58</v>
      </c>
      <c r="H263" s="33" t="s">
        <v>176</v>
      </c>
      <c r="I263" s="33" t="str">
        <f t="shared" si="8"/>
        <v>Low sales</v>
      </c>
      <c r="J263" s="33" t="str">
        <f t="shared" si="9"/>
        <v>not eligible</v>
      </c>
    </row>
    <row r="264" spans="1:10" x14ac:dyDescent="0.35">
      <c r="A264" s="31">
        <v>45332.695138888892</v>
      </c>
      <c r="B264" s="32">
        <v>0.10549768518518519</v>
      </c>
      <c r="C264" s="33" t="s">
        <v>8</v>
      </c>
      <c r="D264" s="33" t="s">
        <v>20</v>
      </c>
      <c r="E264" s="34">
        <v>186.5</v>
      </c>
      <c r="F264" s="33">
        <v>2</v>
      </c>
      <c r="G264" s="34">
        <v>373</v>
      </c>
      <c r="H264" s="33" t="s">
        <v>111</v>
      </c>
      <c r="I264" s="33" t="str">
        <f t="shared" si="8"/>
        <v>Low sales</v>
      </c>
      <c r="J264" s="33" t="str">
        <f t="shared" si="9"/>
        <v>not eligible</v>
      </c>
    </row>
    <row r="265" spans="1:10" x14ac:dyDescent="0.35">
      <c r="A265" s="31">
        <v>45052.961805555555</v>
      </c>
      <c r="B265" s="32">
        <v>0.40517361111111111</v>
      </c>
      <c r="C265" s="33" t="s">
        <v>8</v>
      </c>
      <c r="D265" s="33" t="s">
        <v>16</v>
      </c>
      <c r="E265" s="34">
        <v>197.3</v>
      </c>
      <c r="F265" s="33">
        <v>4</v>
      </c>
      <c r="G265" s="34">
        <v>789.2</v>
      </c>
      <c r="H265" s="33" t="s">
        <v>207</v>
      </c>
      <c r="I265" s="33" t="str">
        <f t="shared" si="8"/>
        <v>Medium sales</v>
      </c>
      <c r="J265" s="33" t="str">
        <f t="shared" si="9"/>
        <v>not eligible</v>
      </c>
    </row>
    <row r="266" spans="1:10" x14ac:dyDescent="0.35">
      <c r="A266" s="31">
        <v>45651.402083333334</v>
      </c>
      <c r="B266" s="32">
        <v>0.25969907407407405</v>
      </c>
      <c r="C266" s="33" t="s">
        <v>11</v>
      </c>
      <c r="D266" s="33" t="s">
        <v>27</v>
      </c>
      <c r="E266" s="34">
        <v>176.83</v>
      </c>
      <c r="F266" s="33">
        <v>1</v>
      </c>
      <c r="G266" s="34">
        <v>176.83</v>
      </c>
      <c r="H266" s="33" t="s">
        <v>17</v>
      </c>
      <c r="I266" s="33" t="str">
        <f t="shared" si="8"/>
        <v>Low sales</v>
      </c>
      <c r="J266" s="33" t="str">
        <f t="shared" si="9"/>
        <v>not eligible</v>
      </c>
    </row>
    <row r="267" spans="1:10" x14ac:dyDescent="0.35">
      <c r="A267" s="31">
        <v>45284.234027777777</v>
      </c>
      <c r="B267" s="32">
        <v>0.44777777777777777</v>
      </c>
      <c r="C267" s="33" t="s">
        <v>14</v>
      </c>
      <c r="D267" s="33" t="s">
        <v>12</v>
      </c>
      <c r="E267" s="34">
        <v>150.66</v>
      </c>
      <c r="F267" s="33">
        <v>1</v>
      </c>
      <c r="G267" s="34">
        <v>150.66</v>
      </c>
      <c r="H267" s="33" t="s">
        <v>17</v>
      </c>
      <c r="I267" s="33" t="str">
        <f t="shared" si="8"/>
        <v>Low sales</v>
      </c>
      <c r="J267" s="33" t="str">
        <f t="shared" si="9"/>
        <v>not eligible</v>
      </c>
    </row>
    <row r="268" spans="1:10" x14ac:dyDescent="0.35">
      <c r="A268" s="31">
        <v>45650.947916666664</v>
      </c>
      <c r="B268" s="32">
        <v>0.93759259259259264</v>
      </c>
      <c r="C268" s="33" t="s">
        <v>14</v>
      </c>
      <c r="D268" s="33" t="s">
        <v>9</v>
      </c>
      <c r="E268" s="34">
        <v>219.68</v>
      </c>
      <c r="F268" s="33">
        <v>4</v>
      </c>
      <c r="G268" s="34">
        <v>878.72</v>
      </c>
      <c r="H268" s="33" t="s">
        <v>208</v>
      </c>
      <c r="I268" s="33" t="str">
        <f t="shared" si="8"/>
        <v>Medium sales</v>
      </c>
      <c r="J268" s="33" t="str">
        <f t="shared" si="9"/>
        <v>not eligible</v>
      </c>
    </row>
    <row r="269" spans="1:10" x14ac:dyDescent="0.35">
      <c r="A269" s="31">
        <v>45435.246527777781</v>
      </c>
      <c r="B269" s="32">
        <v>0.64369212962962963</v>
      </c>
      <c r="C269" s="33" t="s">
        <v>14</v>
      </c>
      <c r="D269" s="33" t="s">
        <v>12</v>
      </c>
      <c r="E269" s="34">
        <v>245.53</v>
      </c>
      <c r="F269" s="33">
        <v>5</v>
      </c>
      <c r="G269" s="34">
        <v>1227.6500000000001</v>
      </c>
      <c r="H269" s="33" t="s">
        <v>209</v>
      </c>
      <c r="I269" s="33" t="str">
        <f t="shared" si="8"/>
        <v>Medium sales</v>
      </c>
      <c r="J269" s="33" t="str">
        <f t="shared" si="9"/>
        <v>not eligible</v>
      </c>
    </row>
    <row r="270" spans="1:10" x14ac:dyDescent="0.35">
      <c r="A270" s="31">
        <v>45340.729861111111</v>
      </c>
      <c r="B270" s="32">
        <v>0.56806712962962969</v>
      </c>
      <c r="C270" s="33" t="s">
        <v>14</v>
      </c>
      <c r="D270" s="33" t="s">
        <v>9</v>
      </c>
      <c r="E270" s="34">
        <v>257.42</v>
      </c>
      <c r="F270" s="33">
        <v>1</v>
      </c>
      <c r="G270" s="34">
        <v>257.42</v>
      </c>
      <c r="H270" s="33" t="s">
        <v>210</v>
      </c>
      <c r="I270" s="33" t="str">
        <f t="shared" si="8"/>
        <v>Low sales</v>
      </c>
      <c r="J270" s="33" t="str">
        <f t="shared" si="9"/>
        <v>not eligible</v>
      </c>
    </row>
    <row r="271" spans="1:10" x14ac:dyDescent="0.35">
      <c r="A271" s="31">
        <v>45594.084722222222</v>
      </c>
      <c r="B271" s="32">
        <v>0.68593749999999998</v>
      </c>
      <c r="C271" s="33" t="s">
        <v>11</v>
      </c>
      <c r="D271" s="33" t="s">
        <v>16</v>
      </c>
      <c r="E271" s="34">
        <v>393.22</v>
      </c>
      <c r="F271" s="33">
        <v>2</v>
      </c>
      <c r="G271" s="34">
        <v>786.44</v>
      </c>
      <c r="H271" s="33" t="s">
        <v>211</v>
      </c>
      <c r="I271" s="33" t="str">
        <f t="shared" si="8"/>
        <v>Medium sales</v>
      </c>
      <c r="J271" s="33" t="str">
        <f t="shared" si="9"/>
        <v>not eligible</v>
      </c>
    </row>
    <row r="272" spans="1:10" x14ac:dyDescent="0.35">
      <c r="A272" s="31">
        <v>45040.816666666666</v>
      </c>
      <c r="B272" s="32">
        <v>0.78616898148148151</v>
      </c>
      <c r="C272" s="33" t="s">
        <v>11</v>
      </c>
      <c r="D272" s="33" t="s">
        <v>20</v>
      </c>
      <c r="E272" s="34">
        <v>453.56</v>
      </c>
      <c r="F272" s="33">
        <v>5</v>
      </c>
      <c r="G272" s="34">
        <v>2267.8000000000002</v>
      </c>
      <c r="H272" s="33" t="s">
        <v>212</v>
      </c>
      <c r="I272" s="33" t="str">
        <f t="shared" si="8"/>
        <v>High sales</v>
      </c>
      <c r="J272" s="33" t="str">
        <f t="shared" si="9"/>
        <v>eligible</v>
      </c>
    </row>
    <row r="273" spans="1:10" x14ac:dyDescent="0.35">
      <c r="A273" s="31">
        <v>45349.548611111109</v>
      </c>
      <c r="B273" s="32">
        <v>0.59835648148148146</v>
      </c>
      <c r="C273" s="33" t="s">
        <v>8</v>
      </c>
      <c r="D273" s="33" t="s">
        <v>20</v>
      </c>
      <c r="E273" s="34">
        <v>50.83</v>
      </c>
      <c r="F273" s="33">
        <v>1</v>
      </c>
      <c r="G273" s="34">
        <v>50.83</v>
      </c>
      <c r="H273" s="33" t="s">
        <v>147</v>
      </c>
      <c r="I273" s="33" t="str">
        <f t="shared" si="8"/>
        <v>Low sales</v>
      </c>
      <c r="J273" s="33" t="str">
        <f t="shared" si="9"/>
        <v>not eligible</v>
      </c>
    </row>
    <row r="274" spans="1:10" x14ac:dyDescent="0.35">
      <c r="A274" s="31">
        <v>44978.97152777778</v>
      </c>
      <c r="B274" s="32">
        <v>0.98875000000000002</v>
      </c>
      <c r="C274" s="33" t="s">
        <v>8</v>
      </c>
      <c r="D274" s="33" t="s">
        <v>9</v>
      </c>
      <c r="E274" s="34">
        <v>223.53</v>
      </c>
      <c r="F274" s="33">
        <v>3</v>
      </c>
      <c r="G274" s="34">
        <v>670.59</v>
      </c>
      <c r="H274" s="33" t="s">
        <v>202</v>
      </c>
      <c r="I274" s="33" t="str">
        <f t="shared" si="8"/>
        <v>Medium sales</v>
      </c>
      <c r="J274" s="33" t="str">
        <f t="shared" si="9"/>
        <v>not eligible</v>
      </c>
    </row>
    <row r="275" spans="1:10" x14ac:dyDescent="0.35">
      <c r="A275" s="31">
        <v>45646.770833333336</v>
      </c>
      <c r="B275" s="32">
        <v>0.38559027777777777</v>
      </c>
      <c r="C275" s="33" t="s">
        <v>11</v>
      </c>
      <c r="D275" s="33" t="s">
        <v>9</v>
      </c>
      <c r="E275" s="34">
        <v>486.58</v>
      </c>
      <c r="F275" s="33">
        <v>5</v>
      </c>
      <c r="G275" s="34">
        <v>2432.9</v>
      </c>
      <c r="H275" s="33" t="s">
        <v>41</v>
      </c>
      <c r="I275" s="33" t="str">
        <f t="shared" si="8"/>
        <v>High sales</v>
      </c>
      <c r="J275" s="33" t="str">
        <f t="shared" si="9"/>
        <v>eligible</v>
      </c>
    </row>
    <row r="276" spans="1:10" x14ac:dyDescent="0.35">
      <c r="A276" s="31">
        <v>45481.840277777781</v>
      </c>
      <c r="B276" s="32">
        <v>0.25862268518518522</v>
      </c>
      <c r="C276" s="33" t="s">
        <v>11</v>
      </c>
      <c r="D276" s="33" t="s">
        <v>20</v>
      </c>
      <c r="E276" s="34">
        <v>115.43</v>
      </c>
      <c r="F276" s="33">
        <v>2</v>
      </c>
      <c r="G276" s="34">
        <v>230.86</v>
      </c>
      <c r="H276" s="33" t="s">
        <v>213</v>
      </c>
      <c r="I276" s="33" t="str">
        <f t="shared" si="8"/>
        <v>Low sales</v>
      </c>
      <c r="J276" s="33" t="str">
        <f t="shared" si="9"/>
        <v>not eligible</v>
      </c>
    </row>
    <row r="277" spans="1:10" x14ac:dyDescent="0.35">
      <c r="A277" s="31">
        <v>45590.024305555555</v>
      </c>
      <c r="B277" s="32">
        <v>0.66100694444444441</v>
      </c>
      <c r="C277" s="33" t="s">
        <v>11</v>
      </c>
      <c r="D277" s="33" t="s">
        <v>12</v>
      </c>
      <c r="E277" s="34">
        <v>375.79</v>
      </c>
      <c r="F277" s="33">
        <v>2</v>
      </c>
      <c r="G277" s="34">
        <v>751.58</v>
      </c>
      <c r="H277" s="33" t="s">
        <v>214</v>
      </c>
      <c r="I277" s="33" t="str">
        <f t="shared" si="8"/>
        <v>Medium sales</v>
      </c>
      <c r="J277" s="33" t="str">
        <f t="shared" si="9"/>
        <v>not eligible</v>
      </c>
    </row>
    <row r="278" spans="1:10" x14ac:dyDescent="0.35">
      <c r="A278" s="31">
        <v>45370.25</v>
      </c>
      <c r="B278" s="32">
        <v>0.93916666666666659</v>
      </c>
      <c r="C278" s="33" t="s">
        <v>8</v>
      </c>
      <c r="D278" s="33" t="s">
        <v>12</v>
      </c>
      <c r="E278" s="34">
        <v>275.87</v>
      </c>
      <c r="F278" s="33">
        <v>2</v>
      </c>
      <c r="G278" s="34">
        <v>551.74</v>
      </c>
      <c r="H278" s="33" t="s">
        <v>215</v>
      </c>
      <c r="I278" s="33" t="str">
        <f t="shared" si="8"/>
        <v>Medium sales</v>
      </c>
      <c r="J278" s="33" t="str">
        <f t="shared" si="9"/>
        <v>not eligible</v>
      </c>
    </row>
    <row r="279" spans="1:10" x14ac:dyDescent="0.35">
      <c r="A279" s="31">
        <v>45260.029861111114</v>
      </c>
      <c r="B279" s="32">
        <v>0.19766203703703702</v>
      </c>
      <c r="C279" s="33" t="s">
        <v>14</v>
      </c>
      <c r="D279" s="33" t="s">
        <v>27</v>
      </c>
      <c r="E279" s="34">
        <v>320.45</v>
      </c>
      <c r="F279" s="33">
        <v>1</v>
      </c>
      <c r="G279" s="34">
        <v>320.45</v>
      </c>
      <c r="H279" s="33" t="s">
        <v>199</v>
      </c>
      <c r="I279" s="33" t="str">
        <f t="shared" si="8"/>
        <v>Low sales</v>
      </c>
      <c r="J279" s="33" t="str">
        <f t="shared" si="9"/>
        <v>not eligible</v>
      </c>
    </row>
    <row r="280" spans="1:10" x14ac:dyDescent="0.35">
      <c r="A280" s="31">
        <v>45425.821527777778</v>
      </c>
      <c r="B280" s="32">
        <v>0.2638773148148148</v>
      </c>
      <c r="C280" s="33" t="s">
        <v>8</v>
      </c>
      <c r="D280" s="33" t="s">
        <v>20</v>
      </c>
      <c r="E280" s="34">
        <v>462.94</v>
      </c>
      <c r="F280" s="33">
        <v>2</v>
      </c>
      <c r="G280" s="34">
        <v>925.88</v>
      </c>
      <c r="H280" s="33" t="s">
        <v>92</v>
      </c>
      <c r="I280" s="33" t="str">
        <f t="shared" si="8"/>
        <v>Medium sales</v>
      </c>
      <c r="J280" s="33" t="str">
        <f t="shared" si="9"/>
        <v>not eligible</v>
      </c>
    </row>
    <row r="281" spans="1:10" x14ac:dyDescent="0.35">
      <c r="A281" s="31">
        <v>45661.507638888892</v>
      </c>
      <c r="B281" s="32">
        <v>0.18011574074074074</v>
      </c>
      <c r="C281" s="33" t="s">
        <v>11</v>
      </c>
      <c r="D281" s="33" t="s">
        <v>12</v>
      </c>
      <c r="E281" s="34">
        <v>41</v>
      </c>
      <c r="F281" s="33">
        <v>2</v>
      </c>
      <c r="G281" s="34">
        <v>82</v>
      </c>
      <c r="H281" s="33" t="s">
        <v>216</v>
      </c>
      <c r="I281" s="33" t="str">
        <f t="shared" si="8"/>
        <v>Low sales</v>
      </c>
      <c r="J281" s="33" t="str">
        <f t="shared" si="9"/>
        <v>not eligible</v>
      </c>
    </row>
    <row r="282" spans="1:10" x14ac:dyDescent="0.35">
      <c r="A282" s="31">
        <v>45530.938888888886</v>
      </c>
      <c r="B282" s="32">
        <v>0.92530092592592583</v>
      </c>
      <c r="C282" s="33" t="s">
        <v>8</v>
      </c>
      <c r="D282" s="33" t="s">
        <v>16</v>
      </c>
      <c r="E282" s="34">
        <v>402.27</v>
      </c>
      <c r="F282" s="33">
        <v>2</v>
      </c>
      <c r="G282" s="34">
        <v>804.54</v>
      </c>
      <c r="H282" s="33" t="s">
        <v>124</v>
      </c>
      <c r="I282" s="33" t="str">
        <f t="shared" si="8"/>
        <v>Medium sales</v>
      </c>
      <c r="J282" s="33" t="str">
        <f t="shared" si="9"/>
        <v>not eligible</v>
      </c>
    </row>
    <row r="283" spans="1:10" x14ac:dyDescent="0.35">
      <c r="A283" s="31">
        <v>45589.095833333333</v>
      </c>
      <c r="B283" s="32">
        <v>0.23106481481481481</v>
      </c>
      <c r="C283" s="33" t="s">
        <v>14</v>
      </c>
      <c r="D283" s="33" t="s">
        <v>27</v>
      </c>
      <c r="E283" s="34">
        <v>34.950000000000003</v>
      </c>
      <c r="F283" s="33">
        <v>4</v>
      </c>
      <c r="G283" s="34">
        <v>139.80000000000001</v>
      </c>
      <c r="H283" s="33" t="s">
        <v>217</v>
      </c>
      <c r="I283" s="33" t="str">
        <f t="shared" si="8"/>
        <v>Low sales</v>
      </c>
      <c r="J283" s="33" t="str">
        <f t="shared" si="9"/>
        <v>not eligible</v>
      </c>
    </row>
    <row r="284" spans="1:10" x14ac:dyDescent="0.35">
      <c r="A284" s="31">
        <v>45276.055555555555</v>
      </c>
      <c r="B284" s="32">
        <v>0.54078703703703701</v>
      </c>
      <c r="C284" s="33" t="s">
        <v>14</v>
      </c>
      <c r="D284" s="33" t="s">
        <v>12</v>
      </c>
      <c r="E284" s="34">
        <v>373.1</v>
      </c>
      <c r="F284" s="33">
        <v>2</v>
      </c>
      <c r="G284" s="34">
        <v>746.2</v>
      </c>
      <c r="H284" s="33" t="s">
        <v>218</v>
      </c>
      <c r="I284" s="33" t="str">
        <f t="shared" si="8"/>
        <v>Medium sales</v>
      </c>
      <c r="J284" s="33" t="str">
        <f t="shared" si="9"/>
        <v>not eligible</v>
      </c>
    </row>
    <row r="285" spans="1:10" x14ac:dyDescent="0.35">
      <c r="A285" s="31">
        <v>45018.859722222223</v>
      </c>
      <c r="B285" s="32">
        <v>0.1638425925925926</v>
      </c>
      <c r="C285" s="33" t="s">
        <v>8</v>
      </c>
      <c r="D285" s="33" t="s">
        <v>9</v>
      </c>
      <c r="E285" s="34">
        <v>389.52</v>
      </c>
      <c r="F285" s="33">
        <v>3</v>
      </c>
      <c r="G285" s="34">
        <v>1168.56</v>
      </c>
      <c r="H285" s="33" t="s">
        <v>144</v>
      </c>
      <c r="I285" s="33" t="str">
        <f t="shared" si="8"/>
        <v>Medium sales</v>
      </c>
      <c r="J285" s="33" t="str">
        <f t="shared" si="9"/>
        <v>not eligible</v>
      </c>
    </row>
    <row r="286" spans="1:10" x14ac:dyDescent="0.35">
      <c r="A286" s="31">
        <v>45150.62222222222</v>
      </c>
      <c r="B286" s="32">
        <v>0.85306712962962961</v>
      </c>
      <c r="C286" s="33" t="s">
        <v>11</v>
      </c>
      <c r="D286" s="33" t="s">
        <v>9</v>
      </c>
      <c r="E286" s="34">
        <v>467.71</v>
      </c>
      <c r="F286" s="33">
        <v>5</v>
      </c>
      <c r="G286" s="34">
        <v>2338.5500000000002</v>
      </c>
      <c r="H286" s="33" t="s">
        <v>164</v>
      </c>
      <c r="I286" s="33" t="str">
        <f t="shared" si="8"/>
        <v>High sales</v>
      </c>
      <c r="J286" s="33" t="str">
        <f t="shared" si="9"/>
        <v>eligible</v>
      </c>
    </row>
    <row r="287" spans="1:10" x14ac:dyDescent="0.35">
      <c r="A287" s="31">
        <v>45345.186805555553</v>
      </c>
      <c r="B287" s="32">
        <v>0.38354166666666667</v>
      </c>
      <c r="C287" s="33" t="s">
        <v>14</v>
      </c>
      <c r="D287" s="33" t="s">
        <v>12</v>
      </c>
      <c r="E287" s="34">
        <v>310.57</v>
      </c>
      <c r="F287" s="33">
        <v>2</v>
      </c>
      <c r="G287" s="34">
        <v>621.14</v>
      </c>
      <c r="H287" s="33" t="s">
        <v>219</v>
      </c>
      <c r="I287" s="33" t="str">
        <f t="shared" si="8"/>
        <v>Medium sales</v>
      </c>
      <c r="J287" s="33" t="str">
        <f t="shared" si="9"/>
        <v>not eligible</v>
      </c>
    </row>
    <row r="288" spans="1:10" x14ac:dyDescent="0.35">
      <c r="A288" s="31">
        <v>45296.025694444441</v>
      </c>
      <c r="B288" s="32">
        <v>0.99171296296296296</v>
      </c>
      <c r="C288" s="33" t="s">
        <v>11</v>
      </c>
      <c r="D288" s="33" t="s">
        <v>27</v>
      </c>
      <c r="E288" s="34">
        <v>213.58</v>
      </c>
      <c r="F288" s="33">
        <v>3</v>
      </c>
      <c r="G288" s="34">
        <v>640.74</v>
      </c>
      <c r="H288" s="33" t="s">
        <v>220</v>
      </c>
      <c r="I288" s="33" t="str">
        <f t="shared" si="8"/>
        <v>Medium sales</v>
      </c>
      <c r="J288" s="33" t="str">
        <f t="shared" si="9"/>
        <v>not eligible</v>
      </c>
    </row>
    <row r="289" spans="1:10" x14ac:dyDescent="0.35">
      <c r="A289" s="31">
        <v>45530.520138888889</v>
      </c>
      <c r="B289" s="32">
        <v>0.5357291666666667</v>
      </c>
      <c r="C289" s="33" t="s">
        <v>8</v>
      </c>
      <c r="D289" s="33" t="s">
        <v>9</v>
      </c>
      <c r="E289" s="34">
        <v>207.74</v>
      </c>
      <c r="F289" s="33">
        <v>3</v>
      </c>
      <c r="G289" s="34">
        <v>623.22</v>
      </c>
      <c r="H289" s="33" t="s">
        <v>221</v>
      </c>
      <c r="I289" s="33" t="str">
        <f t="shared" si="8"/>
        <v>Medium sales</v>
      </c>
      <c r="J289" s="33" t="str">
        <f t="shared" si="9"/>
        <v>not eligible</v>
      </c>
    </row>
    <row r="290" spans="1:10" x14ac:dyDescent="0.35">
      <c r="A290" s="31">
        <v>45040.140972222223</v>
      </c>
      <c r="B290" s="32">
        <v>0.83230324074074069</v>
      </c>
      <c r="C290" s="33" t="s">
        <v>11</v>
      </c>
      <c r="D290" s="33" t="s">
        <v>27</v>
      </c>
      <c r="E290" s="34">
        <v>412.27</v>
      </c>
      <c r="F290" s="33">
        <v>1</v>
      </c>
      <c r="G290" s="34">
        <v>412.27</v>
      </c>
      <c r="H290" s="33" t="s">
        <v>147</v>
      </c>
      <c r="I290" s="33" t="str">
        <f t="shared" si="8"/>
        <v>Low sales</v>
      </c>
      <c r="J290" s="33" t="str">
        <f t="shared" si="9"/>
        <v>not eligible</v>
      </c>
    </row>
    <row r="291" spans="1:10" x14ac:dyDescent="0.35">
      <c r="A291" s="31">
        <v>45343.243750000001</v>
      </c>
      <c r="B291" s="32">
        <v>2.0266203703703703E-2</v>
      </c>
      <c r="C291" s="33" t="s">
        <v>14</v>
      </c>
      <c r="D291" s="33" t="s">
        <v>16</v>
      </c>
      <c r="E291" s="34">
        <v>29.22</v>
      </c>
      <c r="F291" s="33">
        <v>2</v>
      </c>
      <c r="G291" s="34">
        <v>58.44</v>
      </c>
      <c r="H291" s="33" t="s">
        <v>222</v>
      </c>
      <c r="I291" s="33" t="str">
        <f t="shared" si="8"/>
        <v>Low sales</v>
      </c>
      <c r="J291" s="33" t="str">
        <f t="shared" si="9"/>
        <v>not eligible</v>
      </c>
    </row>
    <row r="292" spans="1:10" x14ac:dyDescent="0.35">
      <c r="A292" s="31">
        <v>45070.957638888889</v>
      </c>
      <c r="B292" s="32">
        <v>0.7193518518518518</v>
      </c>
      <c r="C292" s="33" t="s">
        <v>14</v>
      </c>
      <c r="D292" s="33" t="s">
        <v>16</v>
      </c>
      <c r="E292" s="34">
        <v>394.46</v>
      </c>
      <c r="F292" s="33">
        <v>4</v>
      </c>
      <c r="G292" s="34">
        <v>1577.84</v>
      </c>
      <c r="H292" s="33" t="s">
        <v>223</v>
      </c>
      <c r="I292" s="33" t="str">
        <f t="shared" si="8"/>
        <v>High sales</v>
      </c>
      <c r="J292" s="33" t="str">
        <f t="shared" si="9"/>
        <v>not eligible</v>
      </c>
    </row>
    <row r="293" spans="1:10" x14ac:dyDescent="0.35">
      <c r="A293" s="31">
        <v>44961.089583333334</v>
      </c>
      <c r="B293" s="32">
        <v>0.58269675925925923</v>
      </c>
      <c r="C293" s="33" t="s">
        <v>8</v>
      </c>
      <c r="D293" s="33" t="s">
        <v>16</v>
      </c>
      <c r="E293" s="34">
        <v>275.99</v>
      </c>
      <c r="F293" s="33">
        <v>1</v>
      </c>
      <c r="G293" s="34">
        <v>275.99</v>
      </c>
      <c r="H293" s="33" t="s">
        <v>201</v>
      </c>
      <c r="I293" s="33" t="str">
        <f t="shared" si="8"/>
        <v>Low sales</v>
      </c>
      <c r="J293" s="33" t="str">
        <f t="shared" si="9"/>
        <v>not eligible</v>
      </c>
    </row>
    <row r="294" spans="1:10" x14ac:dyDescent="0.35">
      <c r="A294" s="31">
        <v>45617.561111111114</v>
      </c>
      <c r="B294" s="32">
        <v>0.27818287037037037</v>
      </c>
      <c r="C294" s="33" t="s">
        <v>14</v>
      </c>
      <c r="D294" s="33" t="s">
        <v>12</v>
      </c>
      <c r="E294" s="34">
        <v>321.81</v>
      </c>
      <c r="F294" s="33">
        <v>4</v>
      </c>
      <c r="G294" s="34">
        <v>1287.24</v>
      </c>
      <c r="H294" s="33" t="s">
        <v>67</v>
      </c>
      <c r="I294" s="33" t="str">
        <f t="shared" si="8"/>
        <v>Medium sales</v>
      </c>
      <c r="J294" s="33" t="str">
        <f t="shared" si="9"/>
        <v>not eligible</v>
      </c>
    </row>
    <row r="295" spans="1:10" x14ac:dyDescent="0.35">
      <c r="A295" s="31">
        <v>45018.563888888886</v>
      </c>
      <c r="B295" s="32">
        <v>0.76178240740740744</v>
      </c>
      <c r="C295" s="33" t="s">
        <v>14</v>
      </c>
      <c r="D295" s="33" t="s">
        <v>20</v>
      </c>
      <c r="E295" s="34">
        <v>429.51</v>
      </c>
      <c r="F295" s="33">
        <v>1</v>
      </c>
      <c r="G295" s="34">
        <v>429.51</v>
      </c>
      <c r="H295" s="33" t="s">
        <v>25</v>
      </c>
      <c r="I295" s="33" t="str">
        <f t="shared" si="8"/>
        <v>Low sales</v>
      </c>
      <c r="J295" s="33" t="str">
        <f t="shared" si="9"/>
        <v>not eligible</v>
      </c>
    </row>
    <row r="296" spans="1:10" x14ac:dyDescent="0.35">
      <c r="A296" s="31">
        <v>45183.6875</v>
      </c>
      <c r="B296" s="32">
        <v>0</v>
      </c>
      <c r="C296" s="33" t="s">
        <v>11</v>
      </c>
      <c r="D296" s="33" t="s">
        <v>9</v>
      </c>
      <c r="E296" s="34">
        <v>191.48</v>
      </c>
      <c r="F296" s="33">
        <v>3</v>
      </c>
      <c r="G296" s="34">
        <v>574.44000000000005</v>
      </c>
      <c r="H296" s="33" t="s">
        <v>120</v>
      </c>
      <c r="I296" s="33" t="str">
        <f t="shared" si="8"/>
        <v>Medium sales</v>
      </c>
      <c r="J296" s="33" t="str">
        <f t="shared" si="9"/>
        <v>not eligible</v>
      </c>
    </row>
    <row r="297" spans="1:10" x14ac:dyDescent="0.35">
      <c r="A297" s="31">
        <v>45484.402083333334</v>
      </c>
      <c r="B297" s="32">
        <v>0.71910879629629632</v>
      </c>
      <c r="C297" s="33" t="s">
        <v>11</v>
      </c>
      <c r="D297" s="33" t="s">
        <v>27</v>
      </c>
      <c r="E297" s="34">
        <v>134.37</v>
      </c>
      <c r="F297" s="33">
        <v>5</v>
      </c>
      <c r="G297" s="34">
        <v>671.85</v>
      </c>
      <c r="H297" s="33" t="s">
        <v>224</v>
      </c>
      <c r="I297" s="33" t="str">
        <f t="shared" si="8"/>
        <v>Medium sales</v>
      </c>
      <c r="J297" s="33" t="str">
        <f t="shared" si="9"/>
        <v>not eligible</v>
      </c>
    </row>
    <row r="298" spans="1:10" x14ac:dyDescent="0.35">
      <c r="A298" s="31">
        <v>45174.152083333334</v>
      </c>
      <c r="B298" s="32">
        <v>3.5451388888888886E-2</v>
      </c>
      <c r="C298" s="33" t="s">
        <v>14</v>
      </c>
      <c r="D298" s="33" t="s">
        <v>12</v>
      </c>
      <c r="E298" s="34">
        <v>12.38</v>
      </c>
      <c r="F298" s="33">
        <v>2</v>
      </c>
      <c r="G298" s="34">
        <v>24.76</v>
      </c>
      <c r="H298" s="33" t="s">
        <v>164</v>
      </c>
      <c r="I298" s="33" t="str">
        <f t="shared" si="8"/>
        <v>Low sales</v>
      </c>
      <c r="J298" s="33" t="str">
        <f t="shared" si="9"/>
        <v>not eligible</v>
      </c>
    </row>
    <row r="299" spans="1:10" x14ac:dyDescent="0.35">
      <c r="A299" s="31">
        <v>45593.836805555555</v>
      </c>
      <c r="B299" s="32">
        <v>0.46172453703703703</v>
      </c>
      <c r="C299" s="33" t="s">
        <v>11</v>
      </c>
      <c r="D299" s="33" t="s">
        <v>16</v>
      </c>
      <c r="E299" s="34">
        <v>83.43</v>
      </c>
      <c r="F299" s="33">
        <v>5</v>
      </c>
      <c r="G299" s="34">
        <v>417.15</v>
      </c>
      <c r="H299" s="33" t="s">
        <v>54</v>
      </c>
      <c r="I299" s="33" t="str">
        <f t="shared" si="8"/>
        <v>Low sales</v>
      </c>
      <c r="J299" s="33" t="str">
        <f t="shared" si="9"/>
        <v>not eligible</v>
      </c>
    </row>
    <row r="300" spans="1:10" x14ac:dyDescent="0.35">
      <c r="A300" s="31">
        <v>44944.260416666664</v>
      </c>
      <c r="B300" s="32">
        <v>4.4074074074074071E-2</v>
      </c>
      <c r="C300" s="33" t="s">
        <v>11</v>
      </c>
      <c r="D300" s="33" t="s">
        <v>27</v>
      </c>
      <c r="E300" s="34">
        <v>368.4</v>
      </c>
      <c r="F300" s="33">
        <v>4</v>
      </c>
      <c r="G300" s="34">
        <v>1473.6</v>
      </c>
      <c r="H300" s="33" t="s">
        <v>88</v>
      </c>
      <c r="I300" s="33" t="str">
        <f t="shared" si="8"/>
        <v>Medium sales</v>
      </c>
      <c r="J300" s="33" t="str">
        <f t="shared" si="9"/>
        <v>eligible</v>
      </c>
    </row>
    <row r="301" spans="1:10" x14ac:dyDescent="0.35">
      <c r="A301" s="31">
        <v>45607.867361111108</v>
      </c>
      <c r="B301" s="32">
        <v>0.12878472222222223</v>
      </c>
      <c r="C301" s="33" t="s">
        <v>11</v>
      </c>
      <c r="D301" s="33" t="s">
        <v>27</v>
      </c>
      <c r="E301" s="34">
        <v>313.29000000000002</v>
      </c>
      <c r="F301" s="33">
        <v>1</v>
      </c>
      <c r="G301" s="34">
        <v>313.29000000000002</v>
      </c>
      <c r="H301" s="33" t="s">
        <v>225</v>
      </c>
      <c r="I301" s="33" t="str">
        <f t="shared" si="8"/>
        <v>Low sales</v>
      </c>
      <c r="J301" s="33" t="str">
        <f t="shared" si="9"/>
        <v>not eligible</v>
      </c>
    </row>
    <row r="302" spans="1:10" x14ac:dyDescent="0.35">
      <c r="A302" s="31">
        <v>44950.070833333331</v>
      </c>
      <c r="B302" s="32">
        <v>0.33001157407407405</v>
      </c>
      <c r="C302" s="33" t="s">
        <v>14</v>
      </c>
      <c r="D302" s="33" t="s">
        <v>20</v>
      </c>
      <c r="E302" s="34">
        <v>358.23</v>
      </c>
      <c r="F302" s="33">
        <v>3</v>
      </c>
      <c r="G302" s="34">
        <v>1074.69</v>
      </c>
      <c r="H302" s="33" t="s">
        <v>170</v>
      </c>
      <c r="I302" s="33" t="str">
        <f t="shared" si="8"/>
        <v>Medium sales</v>
      </c>
      <c r="J302" s="33" t="str">
        <f t="shared" si="9"/>
        <v>not eligible</v>
      </c>
    </row>
    <row r="303" spans="1:10" x14ac:dyDescent="0.35">
      <c r="A303" s="31">
        <v>45004.375</v>
      </c>
      <c r="B303" s="32">
        <v>0.24497685185185183</v>
      </c>
      <c r="C303" s="33" t="s">
        <v>8</v>
      </c>
      <c r="D303" s="33" t="s">
        <v>20</v>
      </c>
      <c r="E303" s="34">
        <v>195.25</v>
      </c>
      <c r="F303" s="33">
        <v>3</v>
      </c>
      <c r="G303" s="34">
        <v>585.75</v>
      </c>
      <c r="H303" s="33" t="s">
        <v>116</v>
      </c>
      <c r="I303" s="33" t="str">
        <f t="shared" si="8"/>
        <v>Medium sales</v>
      </c>
      <c r="J303" s="33" t="str">
        <f t="shared" si="9"/>
        <v>not eligible</v>
      </c>
    </row>
    <row r="304" spans="1:10" x14ac:dyDescent="0.35">
      <c r="A304" s="31">
        <v>45018.861805555556</v>
      </c>
      <c r="B304" s="32">
        <v>0.81907407407407407</v>
      </c>
      <c r="C304" s="33" t="s">
        <v>8</v>
      </c>
      <c r="D304" s="33" t="s">
        <v>27</v>
      </c>
      <c r="E304" s="34">
        <v>397.48</v>
      </c>
      <c r="F304" s="33">
        <v>3</v>
      </c>
      <c r="G304" s="34">
        <v>1192.44</v>
      </c>
      <c r="H304" s="33" t="s">
        <v>226</v>
      </c>
      <c r="I304" s="33" t="str">
        <f t="shared" si="8"/>
        <v>Medium sales</v>
      </c>
      <c r="J304" s="33" t="str">
        <f t="shared" si="9"/>
        <v>not eligible</v>
      </c>
    </row>
    <row r="305" spans="1:10" x14ac:dyDescent="0.35">
      <c r="A305" s="31">
        <v>44989.407638888886</v>
      </c>
      <c r="B305" s="32">
        <v>0.46357638888888886</v>
      </c>
      <c r="C305" s="33" t="s">
        <v>14</v>
      </c>
      <c r="D305" s="33" t="s">
        <v>12</v>
      </c>
      <c r="E305" s="34">
        <v>434.14</v>
      </c>
      <c r="F305" s="33">
        <v>2</v>
      </c>
      <c r="G305" s="34">
        <v>868.28</v>
      </c>
      <c r="H305" s="33" t="s">
        <v>227</v>
      </c>
      <c r="I305" s="33" t="str">
        <f t="shared" si="8"/>
        <v>Medium sales</v>
      </c>
      <c r="J305" s="33" t="str">
        <f t="shared" si="9"/>
        <v>not eligible</v>
      </c>
    </row>
    <row r="306" spans="1:10" x14ac:dyDescent="0.35">
      <c r="A306" s="31">
        <v>45238.568055555559</v>
      </c>
      <c r="B306" s="32">
        <v>0.19630787037037037</v>
      </c>
      <c r="C306" s="33" t="s">
        <v>11</v>
      </c>
      <c r="D306" s="33" t="s">
        <v>9</v>
      </c>
      <c r="E306" s="34">
        <v>141.11000000000001</v>
      </c>
      <c r="F306" s="33">
        <v>5</v>
      </c>
      <c r="G306" s="34">
        <v>705.55</v>
      </c>
      <c r="H306" s="33" t="s">
        <v>228</v>
      </c>
      <c r="I306" s="33" t="str">
        <f t="shared" si="8"/>
        <v>Medium sales</v>
      </c>
      <c r="J306" s="33" t="str">
        <f t="shared" si="9"/>
        <v>not eligible</v>
      </c>
    </row>
    <row r="307" spans="1:10" x14ac:dyDescent="0.35">
      <c r="A307" s="31">
        <v>45352.376388888886</v>
      </c>
      <c r="B307" s="32">
        <v>0.97108796296296296</v>
      </c>
      <c r="C307" s="33" t="s">
        <v>14</v>
      </c>
      <c r="D307" s="33" t="s">
        <v>12</v>
      </c>
      <c r="E307" s="34">
        <v>178.28</v>
      </c>
      <c r="F307" s="33">
        <v>4</v>
      </c>
      <c r="G307" s="34">
        <v>713.12</v>
      </c>
      <c r="H307" s="33" t="s">
        <v>32</v>
      </c>
      <c r="I307" s="33" t="str">
        <f t="shared" si="8"/>
        <v>Medium sales</v>
      </c>
      <c r="J307" s="33" t="str">
        <f t="shared" si="9"/>
        <v>not eligible</v>
      </c>
    </row>
    <row r="308" spans="1:10" x14ac:dyDescent="0.35">
      <c r="A308" s="31">
        <v>45040.114583333336</v>
      </c>
      <c r="B308" s="32">
        <v>0.84805555555555545</v>
      </c>
      <c r="C308" s="33" t="s">
        <v>11</v>
      </c>
      <c r="D308" s="33" t="s">
        <v>16</v>
      </c>
      <c r="E308" s="34">
        <v>425.42</v>
      </c>
      <c r="F308" s="33">
        <v>2</v>
      </c>
      <c r="G308" s="34">
        <v>850.84</v>
      </c>
      <c r="H308" s="33" t="s">
        <v>35</v>
      </c>
      <c r="I308" s="33" t="str">
        <f t="shared" si="8"/>
        <v>Medium sales</v>
      </c>
      <c r="J308" s="33" t="str">
        <f t="shared" si="9"/>
        <v>not eligible</v>
      </c>
    </row>
    <row r="309" spans="1:10" x14ac:dyDescent="0.35">
      <c r="A309" s="31">
        <v>45415.067361111112</v>
      </c>
      <c r="B309" s="32">
        <v>0.67896990740740737</v>
      </c>
      <c r="C309" s="33" t="s">
        <v>14</v>
      </c>
      <c r="D309" s="33" t="s">
        <v>9</v>
      </c>
      <c r="E309" s="34">
        <v>190.58</v>
      </c>
      <c r="F309" s="33">
        <v>3</v>
      </c>
      <c r="G309" s="34">
        <v>571.74</v>
      </c>
      <c r="H309" s="33" t="s">
        <v>138</v>
      </c>
      <c r="I309" s="33" t="str">
        <f t="shared" si="8"/>
        <v>Medium sales</v>
      </c>
      <c r="J309" s="33" t="str">
        <f t="shared" si="9"/>
        <v>not eligible</v>
      </c>
    </row>
    <row r="310" spans="1:10" x14ac:dyDescent="0.35">
      <c r="A310" s="31">
        <v>45462.832638888889</v>
      </c>
      <c r="B310" s="32">
        <v>0.24260416666666665</v>
      </c>
      <c r="C310" s="33" t="s">
        <v>11</v>
      </c>
      <c r="D310" s="33" t="s">
        <v>12</v>
      </c>
      <c r="E310" s="34">
        <v>85.72</v>
      </c>
      <c r="F310" s="33">
        <v>3</v>
      </c>
      <c r="G310" s="34">
        <v>257.16000000000003</v>
      </c>
      <c r="H310" s="33" t="s">
        <v>229</v>
      </c>
      <c r="I310" s="33" t="str">
        <f t="shared" si="8"/>
        <v>Low sales</v>
      </c>
      <c r="J310" s="33" t="str">
        <f t="shared" si="9"/>
        <v>not eligible</v>
      </c>
    </row>
    <row r="311" spans="1:10" x14ac:dyDescent="0.35">
      <c r="A311" s="31">
        <v>45323.618750000001</v>
      </c>
      <c r="B311" s="32">
        <v>2.5416666666666667E-2</v>
      </c>
      <c r="C311" s="33" t="s">
        <v>14</v>
      </c>
      <c r="D311" s="33" t="s">
        <v>20</v>
      </c>
      <c r="E311" s="34">
        <v>228.45</v>
      </c>
      <c r="F311" s="33">
        <v>1</v>
      </c>
      <c r="G311" s="34">
        <v>228.45</v>
      </c>
      <c r="H311" s="33" t="s">
        <v>39</v>
      </c>
      <c r="I311" s="33" t="str">
        <f t="shared" si="8"/>
        <v>Low sales</v>
      </c>
      <c r="J311" s="33" t="str">
        <f t="shared" si="9"/>
        <v>not eligible</v>
      </c>
    </row>
    <row r="312" spans="1:10" x14ac:dyDescent="0.35">
      <c r="A312" s="31">
        <v>45377.342361111114</v>
      </c>
      <c r="B312" s="32">
        <v>0.73069444444444442</v>
      </c>
      <c r="C312" s="33" t="s">
        <v>14</v>
      </c>
      <c r="D312" s="33" t="s">
        <v>27</v>
      </c>
      <c r="E312" s="34">
        <v>164.56</v>
      </c>
      <c r="F312" s="33">
        <v>3</v>
      </c>
      <c r="G312" s="34">
        <v>493.68</v>
      </c>
      <c r="H312" s="33" t="s">
        <v>132</v>
      </c>
      <c r="I312" s="33" t="str">
        <f t="shared" si="8"/>
        <v>Low sales</v>
      </c>
      <c r="J312" s="33" t="str">
        <f t="shared" si="9"/>
        <v>not eligible</v>
      </c>
    </row>
    <row r="313" spans="1:10" x14ac:dyDescent="0.35">
      <c r="A313" s="31">
        <v>45052.593055555553</v>
      </c>
      <c r="B313" s="32">
        <v>0.61295138888888889</v>
      </c>
      <c r="C313" s="33" t="s">
        <v>14</v>
      </c>
      <c r="D313" s="33" t="s">
        <v>9</v>
      </c>
      <c r="E313" s="34">
        <v>16.23</v>
      </c>
      <c r="F313" s="33">
        <v>3</v>
      </c>
      <c r="G313" s="34">
        <v>48.69</v>
      </c>
      <c r="H313" s="33" t="s">
        <v>25</v>
      </c>
      <c r="I313" s="33" t="str">
        <f t="shared" si="8"/>
        <v>Low sales</v>
      </c>
      <c r="J313" s="33" t="str">
        <f t="shared" si="9"/>
        <v>not eligible</v>
      </c>
    </row>
    <row r="314" spans="1:10" x14ac:dyDescent="0.35">
      <c r="A314" s="31">
        <v>45033.481944444444</v>
      </c>
      <c r="B314" s="32">
        <v>0.92447916666666663</v>
      </c>
      <c r="C314" s="33" t="s">
        <v>8</v>
      </c>
      <c r="D314" s="33" t="s">
        <v>9</v>
      </c>
      <c r="E314" s="34">
        <v>270.75</v>
      </c>
      <c r="F314" s="33">
        <v>1</v>
      </c>
      <c r="G314" s="34">
        <v>270.75</v>
      </c>
      <c r="H314" s="33" t="s">
        <v>216</v>
      </c>
      <c r="I314" s="33" t="str">
        <f t="shared" si="8"/>
        <v>Low sales</v>
      </c>
      <c r="J314" s="33" t="str">
        <f t="shared" si="9"/>
        <v>not eligible</v>
      </c>
    </row>
    <row r="315" spans="1:10" x14ac:dyDescent="0.35">
      <c r="A315" s="31">
        <v>44953.215277777781</v>
      </c>
      <c r="B315" s="32">
        <v>0.93423611111111116</v>
      </c>
      <c r="C315" s="33" t="s">
        <v>14</v>
      </c>
      <c r="D315" s="33" t="s">
        <v>12</v>
      </c>
      <c r="E315" s="34">
        <v>64.69</v>
      </c>
      <c r="F315" s="33">
        <v>5</v>
      </c>
      <c r="G315" s="34">
        <v>323.45</v>
      </c>
      <c r="H315" s="33" t="s">
        <v>230</v>
      </c>
      <c r="I315" s="33" t="str">
        <f t="shared" si="8"/>
        <v>Low sales</v>
      </c>
      <c r="J315" s="33" t="str">
        <f t="shared" si="9"/>
        <v>not eligible</v>
      </c>
    </row>
    <row r="316" spans="1:10" x14ac:dyDescent="0.35">
      <c r="A316" s="31">
        <v>45133.706944444442</v>
      </c>
      <c r="B316" s="32">
        <v>0.75491898148148151</v>
      </c>
      <c r="C316" s="33" t="s">
        <v>8</v>
      </c>
      <c r="D316" s="33" t="s">
        <v>27</v>
      </c>
      <c r="E316" s="34">
        <v>275.52</v>
      </c>
      <c r="F316" s="33">
        <v>1</v>
      </c>
      <c r="G316" s="34">
        <v>275.52</v>
      </c>
      <c r="H316" s="33" t="s">
        <v>56</v>
      </c>
      <c r="I316" s="33" t="str">
        <f t="shared" si="8"/>
        <v>Low sales</v>
      </c>
      <c r="J316" s="33" t="str">
        <f t="shared" si="9"/>
        <v>not eligible</v>
      </c>
    </row>
    <row r="317" spans="1:10" x14ac:dyDescent="0.35">
      <c r="A317" s="31">
        <v>45183.690972222219</v>
      </c>
      <c r="B317" s="32">
        <v>5.1770833333333328E-2</v>
      </c>
      <c r="C317" s="33" t="s">
        <v>11</v>
      </c>
      <c r="D317" s="33" t="s">
        <v>12</v>
      </c>
      <c r="E317" s="34">
        <v>455.97</v>
      </c>
      <c r="F317" s="33">
        <v>4</v>
      </c>
      <c r="G317" s="34">
        <v>1823.88</v>
      </c>
      <c r="H317" s="33" t="s">
        <v>231</v>
      </c>
      <c r="I317" s="33" t="str">
        <f t="shared" si="8"/>
        <v>High sales</v>
      </c>
      <c r="J317" s="33" t="str">
        <f t="shared" si="9"/>
        <v>eligible</v>
      </c>
    </row>
    <row r="318" spans="1:10" x14ac:dyDescent="0.35">
      <c r="A318" s="31">
        <v>45597.370138888888</v>
      </c>
      <c r="B318" s="32">
        <v>2.2592592592592591E-2</v>
      </c>
      <c r="C318" s="33" t="s">
        <v>11</v>
      </c>
      <c r="D318" s="33" t="s">
        <v>12</v>
      </c>
      <c r="E318" s="34">
        <v>242.83</v>
      </c>
      <c r="F318" s="33">
        <v>1</v>
      </c>
      <c r="G318" s="34">
        <v>242.83</v>
      </c>
      <c r="H318" s="33" t="s">
        <v>161</v>
      </c>
      <c r="I318" s="33" t="str">
        <f t="shared" si="8"/>
        <v>Low sales</v>
      </c>
      <c r="J318" s="33" t="str">
        <f t="shared" si="9"/>
        <v>not eligible</v>
      </c>
    </row>
    <row r="319" spans="1:10" x14ac:dyDescent="0.35">
      <c r="A319" s="31">
        <v>45478.867361111108</v>
      </c>
      <c r="B319" s="32">
        <v>0.72244212962962961</v>
      </c>
      <c r="C319" s="33" t="s">
        <v>8</v>
      </c>
      <c r="D319" s="33" t="s">
        <v>9</v>
      </c>
      <c r="E319" s="34">
        <v>232.95</v>
      </c>
      <c r="F319" s="33">
        <v>5</v>
      </c>
      <c r="G319" s="34">
        <v>1164.75</v>
      </c>
      <c r="H319" s="33" t="s">
        <v>232</v>
      </c>
      <c r="I319" s="33" t="str">
        <f t="shared" si="8"/>
        <v>Medium sales</v>
      </c>
      <c r="J319" s="33" t="str">
        <f t="shared" si="9"/>
        <v>not eligible</v>
      </c>
    </row>
    <row r="320" spans="1:10" x14ac:dyDescent="0.35">
      <c r="A320" s="31">
        <v>45231.629166666666</v>
      </c>
      <c r="B320" s="32">
        <v>0.14041666666666666</v>
      </c>
      <c r="C320" s="33" t="s">
        <v>8</v>
      </c>
      <c r="D320" s="33" t="s">
        <v>20</v>
      </c>
      <c r="E320" s="34">
        <v>233.51</v>
      </c>
      <c r="F320" s="33">
        <v>4</v>
      </c>
      <c r="G320" s="34">
        <v>934.04</v>
      </c>
      <c r="H320" s="33" t="s">
        <v>38</v>
      </c>
      <c r="I320" s="33" t="str">
        <f t="shared" si="8"/>
        <v>Medium sales</v>
      </c>
      <c r="J320" s="33" t="str">
        <f t="shared" si="9"/>
        <v>not eligible</v>
      </c>
    </row>
    <row r="321" spans="1:10" x14ac:dyDescent="0.35">
      <c r="A321" s="31">
        <v>45356.395833333336</v>
      </c>
      <c r="B321" s="32">
        <v>0.14597222222222223</v>
      </c>
      <c r="C321" s="33" t="s">
        <v>14</v>
      </c>
      <c r="D321" s="33" t="s">
        <v>16</v>
      </c>
      <c r="E321" s="34">
        <v>282.7</v>
      </c>
      <c r="F321" s="33">
        <v>1</v>
      </c>
      <c r="G321" s="34">
        <v>282.7</v>
      </c>
      <c r="H321" s="33" t="s">
        <v>191</v>
      </c>
      <c r="I321" s="33" t="str">
        <f t="shared" si="8"/>
        <v>Low sales</v>
      </c>
      <c r="J321" s="33" t="str">
        <f t="shared" si="9"/>
        <v>not eligible</v>
      </c>
    </row>
    <row r="322" spans="1:10" x14ac:dyDescent="0.35">
      <c r="A322" s="31">
        <v>45408.447222222225</v>
      </c>
      <c r="B322" s="32">
        <v>0.82565972222222228</v>
      </c>
      <c r="C322" s="33" t="s">
        <v>8</v>
      </c>
      <c r="D322" s="33" t="s">
        <v>20</v>
      </c>
      <c r="E322" s="34">
        <v>482.34</v>
      </c>
      <c r="F322" s="33">
        <v>4</v>
      </c>
      <c r="G322" s="34">
        <v>1929.36</v>
      </c>
      <c r="H322" s="33" t="s">
        <v>87</v>
      </c>
      <c r="I322" s="33" t="str">
        <f t="shared" si="8"/>
        <v>High sales</v>
      </c>
      <c r="J322" s="33" t="str">
        <f t="shared" si="9"/>
        <v>not eligible</v>
      </c>
    </row>
    <row r="323" spans="1:10" x14ac:dyDescent="0.35">
      <c r="A323" s="31">
        <v>44989.35</v>
      </c>
      <c r="B323" s="32">
        <v>0.19591435185185188</v>
      </c>
      <c r="C323" s="33" t="s">
        <v>14</v>
      </c>
      <c r="D323" s="33" t="s">
        <v>20</v>
      </c>
      <c r="E323" s="34">
        <v>108.05</v>
      </c>
      <c r="F323" s="33">
        <v>5</v>
      </c>
      <c r="G323" s="34">
        <v>540.25</v>
      </c>
      <c r="H323" s="33" t="s">
        <v>233</v>
      </c>
      <c r="I323" s="33" t="str">
        <f t="shared" ref="I323:I386" si="10">IF(G323&gt;1500,"High sales", IF(G323&gt;500,"Medium sales", "Low sales"))</f>
        <v>Medium sales</v>
      </c>
      <c r="J323" s="33" t="str">
        <f t="shared" ref="J323:J386" si="11">IF(AND(G323&gt;1000,C323="Premium"), "eligible", "not eligible")</f>
        <v>not eligible</v>
      </c>
    </row>
    <row r="324" spans="1:10" x14ac:dyDescent="0.35">
      <c r="A324" s="31">
        <v>44934.013888888891</v>
      </c>
      <c r="B324" s="32">
        <v>0.62780092592592596</v>
      </c>
      <c r="C324" s="33" t="s">
        <v>8</v>
      </c>
      <c r="D324" s="33" t="s">
        <v>16</v>
      </c>
      <c r="E324" s="34">
        <v>86.7</v>
      </c>
      <c r="F324" s="33">
        <v>1</v>
      </c>
      <c r="G324" s="34">
        <v>86.7</v>
      </c>
      <c r="H324" s="33" t="s">
        <v>234</v>
      </c>
      <c r="I324" s="33" t="str">
        <f t="shared" si="10"/>
        <v>Low sales</v>
      </c>
      <c r="J324" s="33" t="str">
        <f t="shared" si="11"/>
        <v>not eligible</v>
      </c>
    </row>
    <row r="325" spans="1:10" x14ac:dyDescent="0.35">
      <c r="A325" s="31">
        <v>45658.914583333331</v>
      </c>
      <c r="B325" s="32">
        <v>0.63802083333333337</v>
      </c>
      <c r="C325" s="33" t="s">
        <v>14</v>
      </c>
      <c r="D325" s="33" t="s">
        <v>12</v>
      </c>
      <c r="E325" s="34">
        <v>171.23</v>
      </c>
      <c r="F325" s="33">
        <v>4</v>
      </c>
      <c r="G325" s="34">
        <v>684.92</v>
      </c>
      <c r="H325" s="33" t="s">
        <v>10</v>
      </c>
      <c r="I325" s="33" t="str">
        <f t="shared" si="10"/>
        <v>Medium sales</v>
      </c>
      <c r="J325" s="33" t="str">
        <f t="shared" si="11"/>
        <v>not eligible</v>
      </c>
    </row>
    <row r="326" spans="1:10" x14ac:dyDescent="0.35">
      <c r="A326" s="31">
        <v>45004.682638888888</v>
      </c>
      <c r="B326" s="32">
        <v>0.8467824074074074</v>
      </c>
      <c r="C326" s="33" t="s">
        <v>11</v>
      </c>
      <c r="D326" s="33" t="s">
        <v>27</v>
      </c>
      <c r="E326" s="34">
        <v>80.459999999999994</v>
      </c>
      <c r="F326" s="33">
        <v>3</v>
      </c>
      <c r="G326" s="34">
        <v>241.38</v>
      </c>
      <c r="H326" s="33" t="s">
        <v>235</v>
      </c>
      <c r="I326" s="33" t="str">
        <f t="shared" si="10"/>
        <v>Low sales</v>
      </c>
      <c r="J326" s="33" t="str">
        <f t="shared" si="11"/>
        <v>not eligible</v>
      </c>
    </row>
    <row r="327" spans="1:10" x14ac:dyDescent="0.35">
      <c r="A327" s="31">
        <v>45012.1875</v>
      </c>
      <c r="B327" s="32">
        <v>0.4893865740740741</v>
      </c>
      <c r="C327" s="33" t="s">
        <v>8</v>
      </c>
      <c r="D327" s="33" t="s">
        <v>12</v>
      </c>
      <c r="E327" s="34">
        <v>442.94</v>
      </c>
      <c r="F327" s="33">
        <v>2</v>
      </c>
      <c r="G327" s="34">
        <v>885.88</v>
      </c>
      <c r="H327" s="33" t="s">
        <v>86</v>
      </c>
      <c r="I327" s="33" t="str">
        <f t="shared" si="10"/>
        <v>Medium sales</v>
      </c>
      <c r="J327" s="33" t="str">
        <f t="shared" si="11"/>
        <v>not eligible</v>
      </c>
    </row>
    <row r="328" spans="1:10" x14ac:dyDescent="0.35">
      <c r="A328" s="31">
        <v>45121.053472222222</v>
      </c>
      <c r="B328" s="32">
        <v>0.27119212962962963</v>
      </c>
      <c r="C328" s="33" t="s">
        <v>8</v>
      </c>
      <c r="D328" s="33" t="s">
        <v>16</v>
      </c>
      <c r="E328" s="34">
        <v>360.32</v>
      </c>
      <c r="F328" s="33">
        <v>3</v>
      </c>
      <c r="G328" s="34">
        <v>1080.96</v>
      </c>
      <c r="H328" s="33" t="s">
        <v>78</v>
      </c>
      <c r="I328" s="33" t="str">
        <f t="shared" si="10"/>
        <v>Medium sales</v>
      </c>
      <c r="J328" s="33" t="str">
        <f t="shared" si="11"/>
        <v>not eligible</v>
      </c>
    </row>
    <row r="329" spans="1:10" x14ac:dyDescent="0.35">
      <c r="A329" s="31">
        <v>45071.334722222222</v>
      </c>
      <c r="B329" s="32">
        <v>0.13572916666666665</v>
      </c>
      <c r="C329" s="33" t="s">
        <v>14</v>
      </c>
      <c r="D329" s="33" t="s">
        <v>16</v>
      </c>
      <c r="E329" s="34">
        <v>345.6</v>
      </c>
      <c r="F329" s="33">
        <v>3</v>
      </c>
      <c r="G329" s="34">
        <v>1036.8</v>
      </c>
      <c r="H329" s="33" t="s">
        <v>236</v>
      </c>
      <c r="I329" s="33" t="str">
        <f t="shared" si="10"/>
        <v>Medium sales</v>
      </c>
      <c r="J329" s="33" t="str">
        <f t="shared" si="11"/>
        <v>not eligible</v>
      </c>
    </row>
    <row r="330" spans="1:10" x14ac:dyDescent="0.35">
      <c r="A330" s="31">
        <v>45323.085416666669</v>
      </c>
      <c r="B330" s="32">
        <v>0.58106481481481487</v>
      </c>
      <c r="C330" s="33" t="s">
        <v>8</v>
      </c>
      <c r="D330" s="33" t="s">
        <v>20</v>
      </c>
      <c r="E330" s="34">
        <v>311.56</v>
      </c>
      <c r="F330" s="33">
        <v>3</v>
      </c>
      <c r="G330" s="34">
        <v>934.68</v>
      </c>
      <c r="H330" s="33" t="s">
        <v>237</v>
      </c>
      <c r="I330" s="33" t="str">
        <f t="shared" si="10"/>
        <v>Medium sales</v>
      </c>
      <c r="J330" s="33" t="str">
        <f t="shared" si="11"/>
        <v>not eligible</v>
      </c>
    </row>
    <row r="331" spans="1:10" x14ac:dyDescent="0.35">
      <c r="A331" s="31">
        <v>45543.408333333333</v>
      </c>
      <c r="B331" s="32">
        <v>0.98570601851851858</v>
      </c>
      <c r="C331" s="33" t="s">
        <v>11</v>
      </c>
      <c r="D331" s="33" t="s">
        <v>27</v>
      </c>
      <c r="E331" s="34">
        <v>75.680000000000007</v>
      </c>
      <c r="F331" s="33">
        <v>3</v>
      </c>
      <c r="G331" s="34">
        <v>227.04</v>
      </c>
      <c r="H331" s="33" t="s">
        <v>163</v>
      </c>
      <c r="I331" s="33" t="str">
        <f t="shared" si="10"/>
        <v>Low sales</v>
      </c>
      <c r="J331" s="33" t="str">
        <f t="shared" si="11"/>
        <v>not eligible</v>
      </c>
    </row>
    <row r="332" spans="1:10" x14ac:dyDescent="0.35">
      <c r="A332" s="31">
        <v>45421.771527777775</v>
      </c>
      <c r="B332" s="32">
        <v>0.83351851851851855</v>
      </c>
      <c r="C332" s="33" t="s">
        <v>14</v>
      </c>
      <c r="D332" s="33" t="s">
        <v>9</v>
      </c>
      <c r="E332" s="34">
        <v>224.6</v>
      </c>
      <c r="F332" s="33">
        <v>2</v>
      </c>
      <c r="G332" s="34">
        <v>449.2</v>
      </c>
      <c r="H332" s="33" t="s">
        <v>238</v>
      </c>
      <c r="I332" s="33" t="str">
        <f t="shared" si="10"/>
        <v>Low sales</v>
      </c>
      <c r="J332" s="33" t="str">
        <f t="shared" si="11"/>
        <v>not eligible</v>
      </c>
    </row>
    <row r="333" spans="1:10" x14ac:dyDescent="0.35">
      <c r="A333" s="31">
        <v>45661.050694444442</v>
      </c>
      <c r="B333" s="32">
        <v>0.75858796296296294</v>
      </c>
      <c r="C333" s="33" t="s">
        <v>11</v>
      </c>
      <c r="D333" s="33" t="s">
        <v>9</v>
      </c>
      <c r="E333" s="34">
        <v>145.11000000000001</v>
      </c>
      <c r="F333" s="33">
        <v>4</v>
      </c>
      <c r="G333" s="34">
        <v>580.44000000000005</v>
      </c>
      <c r="H333" s="33" t="s">
        <v>239</v>
      </c>
      <c r="I333" s="33" t="str">
        <f t="shared" si="10"/>
        <v>Medium sales</v>
      </c>
      <c r="J333" s="33" t="str">
        <f t="shared" si="11"/>
        <v>not eligible</v>
      </c>
    </row>
    <row r="334" spans="1:10" x14ac:dyDescent="0.35">
      <c r="A334" s="31">
        <v>45147.75</v>
      </c>
      <c r="B334" s="32">
        <v>0.23505787037037038</v>
      </c>
      <c r="C334" s="33" t="s">
        <v>14</v>
      </c>
      <c r="D334" s="33" t="s">
        <v>16</v>
      </c>
      <c r="E334" s="34">
        <v>24.87</v>
      </c>
      <c r="F334" s="33">
        <v>3</v>
      </c>
      <c r="G334" s="34">
        <v>74.61</v>
      </c>
      <c r="H334" s="33" t="s">
        <v>240</v>
      </c>
      <c r="I334" s="33" t="str">
        <f t="shared" si="10"/>
        <v>Low sales</v>
      </c>
      <c r="J334" s="33" t="str">
        <f t="shared" si="11"/>
        <v>not eligible</v>
      </c>
    </row>
    <row r="335" spans="1:10" x14ac:dyDescent="0.35">
      <c r="A335" s="31">
        <v>45194.287499999999</v>
      </c>
      <c r="B335" s="32">
        <v>8.9178240740740752E-2</v>
      </c>
      <c r="C335" s="33" t="s">
        <v>8</v>
      </c>
      <c r="D335" s="33" t="s">
        <v>20</v>
      </c>
      <c r="E335" s="34">
        <v>462.77</v>
      </c>
      <c r="F335" s="33">
        <v>5</v>
      </c>
      <c r="G335" s="34">
        <v>2313.85</v>
      </c>
      <c r="H335" s="33" t="s">
        <v>224</v>
      </c>
      <c r="I335" s="33" t="str">
        <f t="shared" si="10"/>
        <v>High sales</v>
      </c>
      <c r="J335" s="33" t="str">
        <f t="shared" si="11"/>
        <v>not eligible</v>
      </c>
    </row>
    <row r="336" spans="1:10" x14ac:dyDescent="0.35">
      <c r="A336" s="31">
        <v>44928.974999999999</v>
      </c>
      <c r="B336" s="32">
        <v>0.11486111111111112</v>
      </c>
      <c r="C336" s="33" t="s">
        <v>11</v>
      </c>
      <c r="D336" s="33" t="s">
        <v>16</v>
      </c>
      <c r="E336" s="34">
        <v>131.69999999999999</v>
      </c>
      <c r="F336" s="33">
        <v>4</v>
      </c>
      <c r="G336" s="34">
        <v>526.79999999999995</v>
      </c>
      <c r="H336" s="33" t="s">
        <v>241</v>
      </c>
      <c r="I336" s="33" t="str">
        <f t="shared" si="10"/>
        <v>Medium sales</v>
      </c>
      <c r="J336" s="33" t="str">
        <f t="shared" si="11"/>
        <v>not eligible</v>
      </c>
    </row>
    <row r="337" spans="1:10" x14ac:dyDescent="0.35">
      <c r="A337" s="31">
        <v>45103.174305555556</v>
      </c>
      <c r="B337" s="32">
        <v>0.2522685185185185</v>
      </c>
      <c r="C337" s="33" t="s">
        <v>14</v>
      </c>
      <c r="D337" s="33" t="s">
        <v>16</v>
      </c>
      <c r="E337" s="34">
        <v>79.239999999999995</v>
      </c>
      <c r="F337" s="33">
        <v>3</v>
      </c>
      <c r="G337" s="34">
        <v>237.72</v>
      </c>
      <c r="H337" s="33" t="s">
        <v>91</v>
      </c>
      <c r="I337" s="33" t="str">
        <f t="shared" si="10"/>
        <v>Low sales</v>
      </c>
      <c r="J337" s="33" t="str">
        <f t="shared" si="11"/>
        <v>not eligible</v>
      </c>
    </row>
    <row r="338" spans="1:10" x14ac:dyDescent="0.35">
      <c r="A338" s="31">
        <v>44960.261111111111</v>
      </c>
      <c r="B338" s="32">
        <v>0.88153935185185184</v>
      </c>
      <c r="C338" s="33" t="s">
        <v>8</v>
      </c>
      <c r="D338" s="33" t="s">
        <v>12</v>
      </c>
      <c r="E338" s="34">
        <v>446.29</v>
      </c>
      <c r="F338" s="33">
        <v>5</v>
      </c>
      <c r="G338" s="34">
        <v>2231.4499999999998</v>
      </c>
      <c r="H338" s="33" t="s">
        <v>242</v>
      </c>
      <c r="I338" s="33" t="str">
        <f t="shared" si="10"/>
        <v>High sales</v>
      </c>
      <c r="J338" s="33" t="str">
        <f t="shared" si="11"/>
        <v>not eligible</v>
      </c>
    </row>
    <row r="339" spans="1:10" x14ac:dyDescent="0.35">
      <c r="A339" s="31">
        <v>45067.395833333336</v>
      </c>
      <c r="B339" s="32">
        <v>0.32497685185185182</v>
      </c>
      <c r="C339" s="33" t="s">
        <v>11</v>
      </c>
      <c r="D339" s="33" t="s">
        <v>9</v>
      </c>
      <c r="E339" s="34">
        <v>228.74</v>
      </c>
      <c r="F339" s="33">
        <v>1</v>
      </c>
      <c r="G339" s="34">
        <v>228.74</v>
      </c>
      <c r="H339" s="33" t="s">
        <v>243</v>
      </c>
      <c r="I339" s="33" t="str">
        <f t="shared" si="10"/>
        <v>Low sales</v>
      </c>
      <c r="J339" s="33" t="str">
        <f t="shared" si="11"/>
        <v>not eligible</v>
      </c>
    </row>
    <row r="340" spans="1:10" x14ac:dyDescent="0.35">
      <c r="A340" s="31">
        <v>45563.025000000001</v>
      </c>
      <c r="B340" s="32">
        <v>0.35692129629629626</v>
      </c>
      <c r="C340" s="33" t="s">
        <v>8</v>
      </c>
      <c r="D340" s="33" t="s">
        <v>20</v>
      </c>
      <c r="E340" s="34">
        <v>226.51</v>
      </c>
      <c r="F340" s="33">
        <v>4</v>
      </c>
      <c r="G340" s="34">
        <v>906.04</v>
      </c>
      <c r="H340" s="33" t="s">
        <v>141</v>
      </c>
      <c r="I340" s="33" t="str">
        <f t="shared" si="10"/>
        <v>Medium sales</v>
      </c>
      <c r="J340" s="33" t="str">
        <f t="shared" si="11"/>
        <v>not eligible</v>
      </c>
    </row>
    <row r="341" spans="1:10" x14ac:dyDescent="0.35">
      <c r="A341" s="31">
        <v>45134.925000000003</v>
      </c>
      <c r="B341" s="32">
        <v>0.13045138888888888</v>
      </c>
      <c r="C341" s="33" t="s">
        <v>14</v>
      </c>
      <c r="D341" s="33" t="s">
        <v>20</v>
      </c>
      <c r="E341" s="34">
        <v>142.31</v>
      </c>
      <c r="F341" s="33">
        <v>2</v>
      </c>
      <c r="G341" s="34">
        <v>284.62</v>
      </c>
      <c r="H341" s="33" t="s">
        <v>40</v>
      </c>
      <c r="I341" s="33" t="str">
        <f t="shared" si="10"/>
        <v>Low sales</v>
      </c>
      <c r="J341" s="33" t="str">
        <f t="shared" si="11"/>
        <v>not eligible</v>
      </c>
    </row>
    <row r="342" spans="1:10" x14ac:dyDescent="0.35">
      <c r="A342" s="31">
        <v>44970.06527777778</v>
      </c>
      <c r="B342" s="32">
        <v>0.45277777777777778</v>
      </c>
      <c r="C342" s="33" t="s">
        <v>8</v>
      </c>
      <c r="D342" s="33" t="s">
        <v>20</v>
      </c>
      <c r="E342" s="34">
        <v>92.47</v>
      </c>
      <c r="F342" s="33">
        <v>1</v>
      </c>
      <c r="G342" s="34">
        <v>92.47</v>
      </c>
      <c r="H342" s="33" t="s">
        <v>26</v>
      </c>
      <c r="I342" s="33" t="str">
        <f t="shared" si="10"/>
        <v>Low sales</v>
      </c>
      <c r="J342" s="33" t="str">
        <f t="shared" si="11"/>
        <v>not eligible</v>
      </c>
    </row>
    <row r="343" spans="1:10" x14ac:dyDescent="0.35">
      <c r="A343" s="31">
        <v>45176.940972222219</v>
      </c>
      <c r="B343" s="32">
        <v>0.16266203703703705</v>
      </c>
      <c r="C343" s="33" t="s">
        <v>8</v>
      </c>
      <c r="D343" s="33" t="s">
        <v>9</v>
      </c>
      <c r="E343" s="34">
        <v>201.13</v>
      </c>
      <c r="F343" s="33">
        <v>5</v>
      </c>
      <c r="G343" s="34">
        <v>1005.65</v>
      </c>
      <c r="H343" s="33" t="s">
        <v>130</v>
      </c>
      <c r="I343" s="33" t="str">
        <f t="shared" si="10"/>
        <v>Medium sales</v>
      </c>
      <c r="J343" s="33" t="str">
        <f t="shared" si="11"/>
        <v>not eligible</v>
      </c>
    </row>
    <row r="344" spans="1:10" x14ac:dyDescent="0.35">
      <c r="A344" s="31">
        <v>44980.366666666669</v>
      </c>
      <c r="B344" s="32">
        <v>0.20603009259259261</v>
      </c>
      <c r="C344" s="33" t="s">
        <v>11</v>
      </c>
      <c r="D344" s="33" t="s">
        <v>27</v>
      </c>
      <c r="E344" s="34">
        <v>376.47</v>
      </c>
      <c r="F344" s="33">
        <v>4</v>
      </c>
      <c r="G344" s="34">
        <v>1505.88</v>
      </c>
      <c r="H344" s="33" t="s">
        <v>185</v>
      </c>
      <c r="I344" s="33" t="str">
        <f t="shared" si="10"/>
        <v>High sales</v>
      </c>
      <c r="J344" s="33" t="str">
        <f t="shared" si="11"/>
        <v>eligible</v>
      </c>
    </row>
    <row r="345" spans="1:10" x14ac:dyDescent="0.35">
      <c r="A345" s="31">
        <v>45026.529166666667</v>
      </c>
      <c r="B345" s="32">
        <v>0.91366898148148146</v>
      </c>
      <c r="C345" s="33" t="s">
        <v>8</v>
      </c>
      <c r="D345" s="33" t="s">
        <v>9</v>
      </c>
      <c r="E345" s="34">
        <v>429.71</v>
      </c>
      <c r="F345" s="33">
        <v>4</v>
      </c>
      <c r="G345" s="34">
        <v>1718.84</v>
      </c>
      <c r="H345" s="33" t="s">
        <v>136</v>
      </c>
      <c r="I345" s="33" t="str">
        <f t="shared" si="10"/>
        <v>High sales</v>
      </c>
      <c r="J345" s="33" t="str">
        <f t="shared" si="11"/>
        <v>not eligible</v>
      </c>
    </row>
    <row r="346" spans="1:10" x14ac:dyDescent="0.35">
      <c r="A346" s="31">
        <v>45470.951388888891</v>
      </c>
      <c r="B346" s="32">
        <v>0.48789351851851853</v>
      </c>
      <c r="C346" s="33" t="s">
        <v>11</v>
      </c>
      <c r="D346" s="33" t="s">
        <v>12</v>
      </c>
      <c r="E346" s="34">
        <v>78.540000000000006</v>
      </c>
      <c r="F346" s="33">
        <v>5</v>
      </c>
      <c r="G346" s="34">
        <v>392.7</v>
      </c>
      <c r="H346" s="33" t="s">
        <v>112</v>
      </c>
      <c r="I346" s="33" t="str">
        <f t="shared" si="10"/>
        <v>Low sales</v>
      </c>
      <c r="J346" s="33" t="str">
        <f t="shared" si="11"/>
        <v>not eligible</v>
      </c>
    </row>
    <row r="347" spans="1:10" x14ac:dyDescent="0.35">
      <c r="A347" s="31">
        <v>44987.732638888891</v>
      </c>
      <c r="B347" s="32">
        <v>0.36129629629629628</v>
      </c>
      <c r="C347" s="33" t="s">
        <v>11</v>
      </c>
      <c r="D347" s="33" t="s">
        <v>12</v>
      </c>
      <c r="E347" s="34">
        <v>105.13</v>
      </c>
      <c r="F347" s="33">
        <v>5</v>
      </c>
      <c r="G347" s="34">
        <v>525.65</v>
      </c>
      <c r="H347" s="33" t="s">
        <v>42</v>
      </c>
      <c r="I347" s="33" t="str">
        <f t="shared" si="10"/>
        <v>Medium sales</v>
      </c>
      <c r="J347" s="33" t="str">
        <f t="shared" si="11"/>
        <v>not eligible</v>
      </c>
    </row>
    <row r="348" spans="1:10" x14ac:dyDescent="0.35">
      <c r="A348" s="31">
        <v>45456.815972222219</v>
      </c>
      <c r="B348" s="32">
        <v>0.25168981481481484</v>
      </c>
      <c r="C348" s="33" t="s">
        <v>8</v>
      </c>
      <c r="D348" s="33" t="s">
        <v>27</v>
      </c>
      <c r="E348" s="34">
        <v>469.11</v>
      </c>
      <c r="F348" s="33">
        <v>3</v>
      </c>
      <c r="G348" s="34">
        <v>1407.33</v>
      </c>
      <c r="H348" s="33" t="s">
        <v>131</v>
      </c>
      <c r="I348" s="33" t="str">
        <f t="shared" si="10"/>
        <v>Medium sales</v>
      </c>
      <c r="J348" s="33" t="str">
        <f t="shared" si="11"/>
        <v>not eligible</v>
      </c>
    </row>
    <row r="349" spans="1:10" x14ac:dyDescent="0.35">
      <c r="A349" s="31">
        <v>45413.218055555553</v>
      </c>
      <c r="B349" s="32">
        <v>0.62774305555555554</v>
      </c>
      <c r="C349" s="33" t="s">
        <v>14</v>
      </c>
      <c r="D349" s="33" t="s">
        <v>12</v>
      </c>
      <c r="E349" s="34">
        <v>85.31</v>
      </c>
      <c r="F349" s="33">
        <v>4</v>
      </c>
      <c r="G349" s="34">
        <v>341.24</v>
      </c>
      <c r="H349" s="33" t="s">
        <v>187</v>
      </c>
      <c r="I349" s="33" t="str">
        <f t="shared" si="10"/>
        <v>Low sales</v>
      </c>
      <c r="J349" s="33" t="str">
        <f t="shared" si="11"/>
        <v>not eligible</v>
      </c>
    </row>
    <row r="350" spans="1:10" x14ac:dyDescent="0.35">
      <c r="A350" s="31">
        <v>45465.305555555555</v>
      </c>
      <c r="B350" s="32">
        <v>0.74071759259259251</v>
      </c>
      <c r="C350" s="33" t="s">
        <v>11</v>
      </c>
      <c r="D350" s="33" t="s">
        <v>16</v>
      </c>
      <c r="E350" s="34">
        <v>316.22000000000003</v>
      </c>
      <c r="F350" s="33">
        <v>5</v>
      </c>
      <c r="G350" s="34">
        <v>1581.1</v>
      </c>
      <c r="H350" s="33" t="s">
        <v>244</v>
      </c>
      <c r="I350" s="33" t="str">
        <f t="shared" si="10"/>
        <v>High sales</v>
      </c>
      <c r="J350" s="33" t="str">
        <f t="shared" si="11"/>
        <v>eligible</v>
      </c>
    </row>
    <row r="351" spans="1:10" x14ac:dyDescent="0.35">
      <c r="A351" s="31">
        <v>44987.977777777778</v>
      </c>
      <c r="B351" s="32">
        <v>0.2127199074074074</v>
      </c>
      <c r="C351" s="33" t="s">
        <v>14</v>
      </c>
      <c r="D351" s="33" t="s">
        <v>9</v>
      </c>
      <c r="E351" s="34">
        <v>83.15</v>
      </c>
      <c r="F351" s="33">
        <v>1</v>
      </c>
      <c r="G351" s="34">
        <v>83.15</v>
      </c>
      <c r="H351" s="33" t="s">
        <v>245</v>
      </c>
      <c r="I351" s="33" t="str">
        <f t="shared" si="10"/>
        <v>Low sales</v>
      </c>
      <c r="J351" s="33" t="str">
        <f t="shared" si="11"/>
        <v>not eligible</v>
      </c>
    </row>
    <row r="352" spans="1:10" x14ac:dyDescent="0.35">
      <c r="A352" s="31">
        <v>44944.746527777781</v>
      </c>
      <c r="B352" s="32">
        <v>0.41002314814814816</v>
      </c>
      <c r="C352" s="33" t="s">
        <v>11</v>
      </c>
      <c r="D352" s="33" t="s">
        <v>9</v>
      </c>
      <c r="E352" s="34">
        <v>355.02</v>
      </c>
      <c r="F352" s="33">
        <v>3</v>
      </c>
      <c r="G352" s="34">
        <v>1065.06</v>
      </c>
      <c r="H352" s="33" t="s">
        <v>120</v>
      </c>
      <c r="I352" s="33" t="str">
        <f t="shared" si="10"/>
        <v>Medium sales</v>
      </c>
      <c r="J352" s="33" t="str">
        <f t="shared" si="11"/>
        <v>eligible</v>
      </c>
    </row>
    <row r="353" spans="1:10" x14ac:dyDescent="0.35">
      <c r="A353" s="31">
        <v>45637.952777777777</v>
      </c>
      <c r="B353" s="32">
        <v>0.19085648148148149</v>
      </c>
      <c r="C353" s="33" t="s">
        <v>14</v>
      </c>
      <c r="D353" s="33" t="s">
        <v>12</v>
      </c>
      <c r="E353" s="34">
        <v>73.84</v>
      </c>
      <c r="F353" s="33">
        <v>1</v>
      </c>
      <c r="G353" s="34">
        <v>73.84</v>
      </c>
      <c r="H353" s="33" t="s">
        <v>85</v>
      </c>
      <c r="I353" s="33" t="str">
        <f t="shared" si="10"/>
        <v>Low sales</v>
      </c>
      <c r="J353" s="33" t="str">
        <f t="shared" si="11"/>
        <v>not eligible</v>
      </c>
    </row>
    <row r="354" spans="1:10" x14ac:dyDescent="0.35">
      <c r="A354" s="31">
        <v>45129.328472222223</v>
      </c>
      <c r="B354" s="32">
        <v>0.8736342592592593</v>
      </c>
      <c r="C354" s="33" t="s">
        <v>14</v>
      </c>
      <c r="D354" s="33" t="s">
        <v>16</v>
      </c>
      <c r="E354" s="34">
        <v>155.85</v>
      </c>
      <c r="F354" s="33">
        <v>3</v>
      </c>
      <c r="G354" s="34">
        <v>467.55</v>
      </c>
      <c r="H354" s="33" t="s">
        <v>44</v>
      </c>
      <c r="I354" s="33" t="str">
        <f t="shared" si="10"/>
        <v>Low sales</v>
      </c>
      <c r="J354" s="33" t="str">
        <f t="shared" si="11"/>
        <v>not eligible</v>
      </c>
    </row>
    <row r="355" spans="1:10" x14ac:dyDescent="0.35">
      <c r="A355" s="31">
        <v>45483.378472222219</v>
      </c>
      <c r="B355" s="32">
        <v>0.57406250000000003</v>
      </c>
      <c r="C355" s="33" t="s">
        <v>8</v>
      </c>
      <c r="D355" s="33" t="s">
        <v>16</v>
      </c>
      <c r="E355" s="34">
        <v>222.49</v>
      </c>
      <c r="F355" s="33">
        <v>5</v>
      </c>
      <c r="G355" s="34">
        <v>1112.45</v>
      </c>
      <c r="H355" s="33" t="s">
        <v>246</v>
      </c>
      <c r="I355" s="33" t="str">
        <f t="shared" si="10"/>
        <v>Medium sales</v>
      </c>
      <c r="J355" s="33" t="str">
        <f t="shared" si="11"/>
        <v>not eligible</v>
      </c>
    </row>
    <row r="356" spans="1:10" x14ac:dyDescent="0.35">
      <c r="A356" s="31">
        <v>45173.686111111114</v>
      </c>
      <c r="B356" s="32">
        <v>0.29872685185185183</v>
      </c>
      <c r="C356" s="33" t="s">
        <v>8</v>
      </c>
      <c r="D356" s="33" t="s">
        <v>12</v>
      </c>
      <c r="E356" s="34">
        <v>114.53</v>
      </c>
      <c r="F356" s="33">
        <v>2</v>
      </c>
      <c r="G356" s="34">
        <v>229.06</v>
      </c>
      <c r="H356" s="33" t="s">
        <v>247</v>
      </c>
      <c r="I356" s="33" t="str">
        <f t="shared" si="10"/>
        <v>Low sales</v>
      </c>
      <c r="J356" s="33" t="str">
        <f t="shared" si="11"/>
        <v>not eligible</v>
      </c>
    </row>
    <row r="357" spans="1:10" x14ac:dyDescent="0.35">
      <c r="A357" s="31">
        <v>45284.457638888889</v>
      </c>
      <c r="B357" s="32">
        <v>1.068287037037037E-2</v>
      </c>
      <c r="C357" s="33" t="s">
        <v>14</v>
      </c>
      <c r="D357" s="33" t="s">
        <v>16</v>
      </c>
      <c r="E357" s="34">
        <v>391.98</v>
      </c>
      <c r="F357" s="33">
        <v>4</v>
      </c>
      <c r="G357" s="34">
        <v>1567.92</v>
      </c>
      <c r="H357" s="33" t="s">
        <v>248</v>
      </c>
      <c r="I357" s="33" t="str">
        <f t="shared" si="10"/>
        <v>High sales</v>
      </c>
      <c r="J357" s="33" t="str">
        <f t="shared" si="11"/>
        <v>not eligible</v>
      </c>
    </row>
    <row r="358" spans="1:10" x14ac:dyDescent="0.35">
      <c r="A358" s="31">
        <v>45343.602083333331</v>
      </c>
      <c r="B358" s="32">
        <v>0.44907407407407413</v>
      </c>
      <c r="C358" s="33" t="s">
        <v>14</v>
      </c>
      <c r="D358" s="33" t="s">
        <v>20</v>
      </c>
      <c r="E358" s="34">
        <v>12.76</v>
      </c>
      <c r="F358" s="33">
        <v>4</v>
      </c>
      <c r="G358" s="34">
        <v>51.04</v>
      </c>
      <c r="H358" s="33" t="s">
        <v>249</v>
      </c>
      <c r="I358" s="33" t="str">
        <f t="shared" si="10"/>
        <v>Low sales</v>
      </c>
      <c r="J358" s="33" t="str">
        <f t="shared" si="11"/>
        <v>not eligible</v>
      </c>
    </row>
    <row r="359" spans="1:10" x14ac:dyDescent="0.35">
      <c r="A359" s="31">
        <v>45169.219444444447</v>
      </c>
      <c r="B359" s="32">
        <v>0.51187499999999997</v>
      </c>
      <c r="C359" s="33" t="s">
        <v>8</v>
      </c>
      <c r="D359" s="33" t="s">
        <v>9</v>
      </c>
      <c r="E359" s="34">
        <v>465.06</v>
      </c>
      <c r="F359" s="33">
        <v>3</v>
      </c>
      <c r="G359" s="34">
        <v>1395.18</v>
      </c>
      <c r="H359" s="33" t="s">
        <v>237</v>
      </c>
      <c r="I359" s="33" t="str">
        <f t="shared" si="10"/>
        <v>Medium sales</v>
      </c>
      <c r="J359" s="33" t="str">
        <f t="shared" si="11"/>
        <v>not eligible</v>
      </c>
    </row>
    <row r="360" spans="1:10" x14ac:dyDescent="0.35">
      <c r="A360" s="31">
        <v>45467.470833333333</v>
      </c>
      <c r="B360" s="32">
        <v>0.98434027777777777</v>
      </c>
      <c r="C360" s="33" t="s">
        <v>14</v>
      </c>
      <c r="D360" s="33" t="s">
        <v>16</v>
      </c>
      <c r="E360" s="34">
        <v>98.65</v>
      </c>
      <c r="F360" s="33">
        <v>4</v>
      </c>
      <c r="G360" s="34">
        <v>394.6</v>
      </c>
      <c r="H360" s="33" t="s">
        <v>250</v>
      </c>
      <c r="I360" s="33" t="str">
        <f t="shared" si="10"/>
        <v>Low sales</v>
      </c>
      <c r="J360" s="33" t="str">
        <f t="shared" si="11"/>
        <v>not eligible</v>
      </c>
    </row>
    <row r="361" spans="1:10" x14ac:dyDescent="0.35">
      <c r="A361" s="31">
        <v>45640.453472222223</v>
      </c>
      <c r="B361" s="32">
        <v>1.1331018518518518E-2</v>
      </c>
      <c r="C361" s="33" t="s">
        <v>14</v>
      </c>
      <c r="D361" s="33" t="s">
        <v>27</v>
      </c>
      <c r="E361" s="34">
        <v>247.13</v>
      </c>
      <c r="F361" s="33">
        <v>2</v>
      </c>
      <c r="G361" s="34">
        <v>494.26</v>
      </c>
      <c r="H361" s="33" t="s">
        <v>29</v>
      </c>
      <c r="I361" s="33" t="str">
        <f t="shared" si="10"/>
        <v>Low sales</v>
      </c>
      <c r="J361" s="33" t="str">
        <f t="shared" si="11"/>
        <v>not eligible</v>
      </c>
    </row>
    <row r="362" spans="1:10" x14ac:dyDescent="0.35">
      <c r="A362" s="31">
        <v>45509.957638888889</v>
      </c>
      <c r="B362" s="32">
        <v>0.88392361111111117</v>
      </c>
      <c r="C362" s="33" t="s">
        <v>8</v>
      </c>
      <c r="D362" s="33" t="s">
        <v>27</v>
      </c>
      <c r="E362" s="34">
        <v>247.27</v>
      </c>
      <c r="F362" s="33">
        <v>2</v>
      </c>
      <c r="G362" s="34">
        <v>494.54</v>
      </c>
      <c r="H362" s="33" t="s">
        <v>251</v>
      </c>
      <c r="I362" s="33" t="str">
        <f t="shared" si="10"/>
        <v>Low sales</v>
      </c>
      <c r="J362" s="33" t="str">
        <f t="shared" si="11"/>
        <v>not eligible</v>
      </c>
    </row>
    <row r="363" spans="1:10" x14ac:dyDescent="0.35">
      <c r="A363" s="31">
        <v>45619.428472222222</v>
      </c>
      <c r="B363" s="32">
        <v>0.4011805555555556</v>
      </c>
      <c r="C363" s="33" t="s">
        <v>14</v>
      </c>
      <c r="D363" s="33" t="s">
        <v>16</v>
      </c>
      <c r="E363" s="34">
        <v>115.31</v>
      </c>
      <c r="F363" s="33">
        <v>4</v>
      </c>
      <c r="G363" s="34">
        <v>461.24</v>
      </c>
      <c r="H363" s="33" t="s">
        <v>116</v>
      </c>
      <c r="I363" s="33" t="str">
        <f t="shared" si="10"/>
        <v>Low sales</v>
      </c>
      <c r="J363" s="33" t="str">
        <f t="shared" si="11"/>
        <v>not eligible</v>
      </c>
    </row>
    <row r="364" spans="1:10" x14ac:dyDescent="0.35">
      <c r="A364" s="31">
        <v>45493.540972222225</v>
      </c>
      <c r="B364" s="32">
        <v>0.44469907407407411</v>
      </c>
      <c r="C364" s="33" t="s">
        <v>8</v>
      </c>
      <c r="D364" s="33" t="s">
        <v>27</v>
      </c>
      <c r="E364" s="34">
        <v>89.43</v>
      </c>
      <c r="F364" s="33">
        <v>2</v>
      </c>
      <c r="G364" s="34">
        <v>178.86</v>
      </c>
      <c r="H364" s="33" t="s">
        <v>252</v>
      </c>
      <c r="I364" s="33" t="str">
        <f t="shared" si="10"/>
        <v>Low sales</v>
      </c>
      <c r="J364" s="33" t="str">
        <f t="shared" si="11"/>
        <v>not eligible</v>
      </c>
    </row>
    <row r="365" spans="1:10" x14ac:dyDescent="0.35">
      <c r="A365" s="31">
        <v>45562.55972222222</v>
      </c>
      <c r="B365" s="32">
        <v>0.27959490740740739</v>
      </c>
      <c r="C365" s="33" t="s">
        <v>14</v>
      </c>
      <c r="D365" s="33" t="s">
        <v>12</v>
      </c>
      <c r="E365" s="34">
        <v>434.85</v>
      </c>
      <c r="F365" s="33">
        <v>1</v>
      </c>
      <c r="G365" s="34">
        <v>434.85</v>
      </c>
      <c r="H365" s="33" t="s">
        <v>253</v>
      </c>
      <c r="I365" s="33" t="str">
        <f t="shared" si="10"/>
        <v>Low sales</v>
      </c>
      <c r="J365" s="33" t="str">
        <f t="shared" si="11"/>
        <v>not eligible</v>
      </c>
    </row>
    <row r="366" spans="1:10" x14ac:dyDescent="0.35">
      <c r="A366" s="31">
        <v>45302.145833333336</v>
      </c>
      <c r="B366" s="32">
        <v>0.36815972222222221</v>
      </c>
      <c r="C366" s="33" t="s">
        <v>14</v>
      </c>
      <c r="D366" s="33" t="s">
        <v>20</v>
      </c>
      <c r="E366" s="34">
        <v>364.58</v>
      </c>
      <c r="F366" s="33">
        <v>5</v>
      </c>
      <c r="G366" s="34">
        <v>1822.9</v>
      </c>
      <c r="H366" s="33" t="s">
        <v>222</v>
      </c>
      <c r="I366" s="33" t="str">
        <f t="shared" si="10"/>
        <v>High sales</v>
      </c>
      <c r="J366" s="33" t="str">
        <f t="shared" si="11"/>
        <v>not eligible</v>
      </c>
    </row>
    <row r="367" spans="1:10" x14ac:dyDescent="0.35">
      <c r="A367" s="31">
        <v>45071.548611111109</v>
      </c>
      <c r="B367" s="32">
        <v>0.59062500000000007</v>
      </c>
      <c r="C367" s="33" t="s">
        <v>14</v>
      </c>
      <c r="D367" s="33" t="s">
        <v>20</v>
      </c>
      <c r="E367" s="34">
        <v>462.09</v>
      </c>
      <c r="F367" s="33">
        <v>4</v>
      </c>
      <c r="G367" s="34">
        <v>1848.36</v>
      </c>
      <c r="H367" s="33" t="s">
        <v>254</v>
      </c>
      <c r="I367" s="33" t="str">
        <f t="shared" si="10"/>
        <v>High sales</v>
      </c>
      <c r="J367" s="33" t="str">
        <f t="shared" si="11"/>
        <v>not eligible</v>
      </c>
    </row>
    <row r="368" spans="1:10" x14ac:dyDescent="0.35">
      <c r="A368" s="31">
        <v>45633.888194444444</v>
      </c>
      <c r="B368" s="32">
        <v>0.78657407407407398</v>
      </c>
      <c r="C368" s="33" t="s">
        <v>14</v>
      </c>
      <c r="D368" s="33" t="s">
        <v>9</v>
      </c>
      <c r="E368" s="34">
        <v>396.52</v>
      </c>
      <c r="F368" s="33">
        <v>5</v>
      </c>
      <c r="G368" s="34">
        <v>1982.6</v>
      </c>
      <c r="H368" s="33" t="s">
        <v>255</v>
      </c>
      <c r="I368" s="33" t="str">
        <f t="shared" si="10"/>
        <v>High sales</v>
      </c>
      <c r="J368" s="33" t="str">
        <f t="shared" si="11"/>
        <v>not eligible</v>
      </c>
    </row>
    <row r="369" spans="1:10" x14ac:dyDescent="0.35">
      <c r="A369" s="31">
        <v>45196.5625</v>
      </c>
      <c r="B369" s="32">
        <v>0.18831018518518519</v>
      </c>
      <c r="C369" s="33" t="s">
        <v>11</v>
      </c>
      <c r="D369" s="33" t="s">
        <v>12</v>
      </c>
      <c r="E369" s="34">
        <v>169.57</v>
      </c>
      <c r="F369" s="33">
        <v>5</v>
      </c>
      <c r="G369" s="34">
        <v>847.85</v>
      </c>
      <c r="H369" s="33" t="s">
        <v>137</v>
      </c>
      <c r="I369" s="33" t="str">
        <f t="shared" si="10"/>
        <v>Medium sales</v>
      </c>
      <c r="J369" s="33" t="str">
        <f t="shared" si="11"/>
        <v>not eligible</v>
      </c>
    </row>
    <row r="370" spans="1:10" x14ac:dyDescent="0.35">
      <c r="A370" s="31">
        <v>45523.004166666666</v>
      </c>
      <c r="B370" s="32">
        <v>0.74603009259259256</v>
      </c>
      <c r="C370" s="33" t="s">
        <v>14</v>
      </c>
      <c r="D370" s="33" t="s">
        <v>27</v>
      </c>
      <c r="E370" s="34">
        <v>451.64</v>
      </c>
      <c r="F370" s="33">
        <v>1</v>
      </c>
      <c r="G370" s="34">
        <v>451.64</v>
      </c>
      <c r="H370" s="33" t="s">
        <v>256</v>
      </c>
      <c r="I370" s="33" t="str">
        <f t="shared" si="10"/>
        <v>Low sales</v>
      </c>
      <c r="J370" s="33" t="str">
        <f t="shared" si="11"/>
        <v>not eligible</v>
      </c>
    </row>
    <row r="371" spans="1:10" x14ac:dyDescent="0.35">
      <c r="A371" s="31">
        <v>45647.862500000003</v>
      </c>
      <c r="B371" s="32">
        <v>0.51873842592592589</v>
      </c>
      <c r="C371" s="33" t="s">
        <v>8</v>
      </c>
      <c r="D371" s="33" t="s">
        <v>27</v>
      </c>
      <c r="E371" s="34">
        <v>133.53</v>
      </c>
      <c r="F371" s="33">
        <v>4</v>
      </c>
      <c r="G371" s="34">
        <v>534.12</v>
      </c>
      <c r="H371" s="33" t="s">
        <v>257</v>
      </c>
      <c r="I371" s="33" t="str">
        <f t="shared" si="10"/>
        <v>Medium sales</v>
      </c>
      <c r="J371" s="33" t="str">
        <f t="shared" si="11"/>
        <v>not eligible</v>
      </c>
    </row>
    <row r="372" spans="1:10" x14ac:dyDescent="0.35">
      <c r="A372" s="31">
        <v>45465.643055555556</v>
      </c>
      <c r="B372" s="32">
        <v>0.67130787037037043</v>
      </c>
      <c r="C372" s="33" t="s">
        <v>8</v>
      </c>
      <c r="D372" s="33" t="s">
        <v>9</v>
      </c>
      <c r="E372" s="34">
        <v>401.6</v>
      </c>
      <c r="F372" s="33">
        <v>3</v>
      </c>
      <c r="G372" s="34">
        <v>1204.8</v>
      </c>
      <c r="H372" s="33" t="s">
        <v>85</v>
      </c>
      <c r="I372" s="33" t="str">
        <f t="shared" si="10"/>
        <v>Medium sales</v>
      </c>
      <c r="J372" s="33" t="str">
        <f t="shared" si="11"/>
        <v>not eligible</v>
      </c>
    </row>
    <row r="373" spans="1:10" x14ac:dyDescent="0.35">
      <c r="A373" s="31">
        <v>45135.258333333331</v>
      </c>
      <c r="B373" s="32">
        <v>0.75665509259259256</v>
      </c>
      <c r="C373" s="33" t="s">
        <v>8</v>
      </c>
      <c r="D373" s="33" t="s">
        <v>12</v>
      </c>
      <c r="E373" s="34">
        <v>391.17</v>
      </c>
      <c r="F373" s="33">
        <v>1</v>
      </c>
      <c r="G373" s="34">
        <v>391.17</v>
      </c>
      <c r="H373" s="33" t="s">
        <v>258</v>
      </c>
      <c r="I373" s="33" t="str">
        <f t="shared" si="10"/>
        <v>Low sales</v>
      </c>
      <c r="J373" s="33" t="str">
        <f t="shared" si="11"/>
        <v>not eligible</v>
      </c>
    </row>
    <row r="374" spans="1:10" x14ac:dyDescent="0.35">
      <c r="A374" s="31">
        <v>45578.088194444441</v>
      </c>
      <c r="B374" s="32">
        <v>0.2945949074074074</v>
      </c>
      <c r="C374" s="33" t="s">
        <v>8</v>
      </c>
      <c r="D374" s="33" t="s">
        <v>12</v>
      </c>
      <c r="E374" s="34">
        <v>270.23</v>
      </c>
      <c r="F374" s="33">
        <v>3</v>
      </c>
      <c r="G374" s="34">
        <v>810.69</v>
      </c>
      <c r="H374" s="33" t="s">
        <v>259</v>
      </c>
      <c r="I374" s="33" t="str">
        <f t="shared" si="10"/>
        <v>Medium sales</v>
      </c>
      <c r="J374" s="33" t="str">
        <f t="shared" si="11"/>
        <v>not eligible</v>
      </c>
    </row>
    <row r="375" spans="1:10" x14ac:dyDescent="0.35">
      <c r="A375" s="31">
        <v>45257.352777777778</v>
      </c>
      <c r="B375" s="32">
        <v>0.39230324074074074</v>
      </c>
      <c r="C375" s="33" t="s">
        <v>11</v>
      </c>
      <c r="D375" s="33" t="s">
        <v>20</v>
      </c>
      <c r="E375" s="34">
        <v>490.76</v>
      </c>
      <c r="F375" s="33">
        <v>4</v>
      </c>
      <c r="G375" s="34">
        <v>1963.04</v>
      </c>
      <c r="H375" s="33" t="s">
        <v>108</v>
      </c>
      <c r="I375" s="33" t="str">
        <f t="shared" si="10"/>
        <v>High sales</v>
      </c>
      <c r="J375" s="33" t="str">
        <f t="shared" si="11"/>
        <v>eligible</v>
      </c>
    </row>
    <row r="376" spans="1:10" x14ac:dyDescent="0.35">
      <c r="A376" s="31">
        <v>45194.956250000003</v>
      </c>
      <c r="B376" s="32">
        <v>0.62267361111111108</v>
      </c>
      <c r="C376" s="33" t="s">
        <v>11</v>
      </c>
      <c r="D376" s="33" t="s">
        <v>27</v>
      </c>
      <c r="E376" s="34">
        <v>401.48</v>
      </c>
      <c r="F376" s="33">
        <v>3</v>
      </c>
      <c r="G376" s="34">
        <v>1204.44</v>
      </c>
      <c r="H376" s="33" t="s">
        <v>260</v>
      </c>
      <c r="I376" s="33" t="str">
        <f t="shared" si="10"/>
        <v>Medium sales</v>
      </c>
      <c r="J376" s="33" t="str">
        <f t="shared" si="11"/>
        <v>eligible</v>
      </c>
    </row>
    <row r="377" spans="1:10" x14ac:dyDescent="0.35">
      <c r="A377" s="31">
        <v>45062.025000000001</v>
      </c>
      <c r="B377" s="32">
        <v>0.37248842592592596</v>
      </c>
      <c r="C377" s="33" t="s">
        <v>14</v>
      </c>
      <c r="D377" s="33" t="s">
        <v>12</v>
      </c>
      <c r="E377" s="34">
        <v>269.22000000000003</v>
      </c>
      <c r="F377" s="33">
        <v>4</v>
      </c>
      <c r="G377" s="34">
        <v>1076.8800000000001</v>
      </c>
      <c r="H377" s="33" t="s">
        <v>261</v>
      </c>
      <c r="I377" s="33" t="str">
        <f t="shared" si="10"/>
        <v>Medium sales</v>
      </c>
      <c r="J377" s="33" t="str">
        <f t="shared" si="11"/>
        <v>not eligible</v>
      </c>
    </row>
    <row r="378" spans="1:10" x14ac:dyDescent="0.35">
      <c r="A378" s="31">
        <v>45419.912499999999</v>
      </c>
      <c r="B378" s="32">
        <v>0.85064814814814815</v>
      </c>
      <c r="C378" s="33" t="s">
        <v>14</v>
      </c>
      <c r="D378" s="33" t="s">
        <v>16</v>
      </c>
      <c r="E378" s="34">
        <v>239.96</v>
      </c>
      <c r="F378" s="33">
        <v>3</v>
      </c>
      <c r="G378" s="34">
        <v>719.88</v>
      </c>
      <c r="H378" s="33" t="s">
        <v>71</v>
      </c>
      <c r="I378" s="33" t="str">
        <f t="shared" si="10"/>
        <v>Medium sales</v>
      </c>
      <c r="J378" s="33" t="str">
        <f t="shared" si="11"/>
        <v>not eligible</v>
      </c>
    </row>
    <row r="379" spans="1:10" x14ac:dyDescent="0.35">
      <c r="A379" s="31">
        <v>45596.38958333333</v>
      </c>
      <c r="B379" s="32">
        <v>0.85819444444444448</v>
      </c>
      <c r="C379" s="33" t="s">
        <v>8</v>
      </c>
      <c r="D379" s="33" t="s">
        <v>20</v>
      </c>
      <c r="E379" s="34">
        <v>52.93</v>
      </c>
      <c r="F379" s="33">
        <v>4</v>
      </c>
      <c r="G379" s="34">
        <v>211.72</v>
      </c>
      <c r="H379" s="33" t="s">
        <v>100</v>
      </c>
      <c r="I379" s="33" t="str">
        <f t="shared" si="10"/>
        <v>Low sales</v>
      </c>
      <c r="J379" s="33" t="str">
        <f t="shared" si="11"/>
        <v>not eligible</v>
      </c>
    </row>
    <row r="380" spans="1:10" x14ac:dyDescent="0.35">
      <c r="A380" s="31">
        <v>44971.897916666669</v>
      </c>
      <c r="B380" s="32">
        <v>3.4479166666666665E-2</v>
      </c>
      <c r="C380" s="33" t="s">
        <v>11</v>
      </c>
      <c r="D380" s="33" t="s">
        <v>16</v>
      </c>
      <c r="E380" s="34">
        <v>360.87</v>
      </c>
      <c r="F380" s="33">
        <v>1</v>
      </c>
      <c r="G380" s="34">
        <v>360.87</v>
      </c>
      <c r="H380" s="33" t="s">
        <v>262</v>
      </c>
      <c r="I380" s="33" t="str">
        <f t="shared" si="10"/>
        <v>Low sales</v>
      </c>
      <c r="J380" s="33" t="str">
        <f t="shared" si="11"/>
        <v>not eligible</v>
      </c>
    </row>
    <row r="381" spans="1:10" x14ac:dyDescent="0.35">
      <c r="A381" s="31">
        <v>45359.966666666667</v>
      </c>
      <c r="B381" s="32">
        <v>0.6179513888888889</v>
      </c>
      <c r="C381" s="33" t="s">
        <v>11</v>
      </c>
      <c r="D381" s="33" t="s">
        <v>20</v>
      </c>
      <c r="E381" s="34">
        <v>444.35</v>
      </c>
      <c r="F381" s="33">
        <v>5</v>
      </c>
      <c r="G381" s="34">
        <v>2221.75</v>
      </c>
      <c r="H381" s="33" t="s">
        <v>263</v>
      </c>
      <c r="I381" s="33" t="str">
        <f t="shared" si="10"/>
        <v>High sales</v>
      </c>
      <c r="J381" s="33" t="str">
        <f t="shared" si="11"/>
        <v>eligible</v>
      </c>
    </row>
    <row r="382" spans="1:10" x14ac:dyDescent="0.35">
      <c r="A382" s="31">
        <v>45574.833333333336</v>
      </c>
      <c r="B382" s="32">
        <v>0.18386574074074072</v>
      </c>
      <c r="C382" s="33" t="s">
        <v>14</v>
      </c>
      <c r="D382" s="33" t="s">
        <v>16</v>
      </c>
      <c r="E382" s="34">
        <v>371.27</v>
      </c>
      <c r="F382" s="33">
        <v>5</v>
      </c>
      <c r="G382" s="34">
        <v>1856.35</v>
      </c>
      <c r="H382" s="33" t="s">
        <v>148</v>
      </c>
      <c r="I382" s="33" t="str">
        <f t="shared" si="10"/>
        <v>High sales</v>
      </c>
      <c r="J382" s="33" t="str">
        <f t="shared" si="11"/>
        <v>not eligible</v>
      </c>
    </row>
    <row r="383" spans="1:10" x14ac:dyDescent="0.35">
      <c r="A383" s="31">
        <v>45660.404166666667</v>
      </c>
      <c r="B383" s="32">
        <v>0.20598379629629629</v>
      </c>
      <c r="C383" s="33" t="s">
        <v>8</v>
      </c>
      <c r="D383" s="33" t="s">
        <v>12</v>
      </c>
      <c r="E383" s="34">
        <v>264.85000000000002</v>
      </c>
      <c r="F383" s="33">
        <v>3</v>
      </c>
      <c r="G383" s="34">
        <v>794.55</v>
      </c>
      <c r="H383" s="33" t="s">
        <v>76</v>
      </c>
      <c r="I383" s="33" t="str">
        <f t="shared" si="10"/>
        <v>Medium sales</v>
      </c>
      <c r="J383" s="33" t="str">
        <f t="shared" si="11"/>
        <v>not eligible</v>
      </c>
    </row>
    <row r="384" spans="1:10" x14ac:dyDescent="0.35">
      <c r="A384" s="31">
        <v>45162.925694444442</v>
      </c>
      <c r="B384" s="32">
        <v>0.76064814814814818</v>
      </c>
      <c r="C384" s="33" t="s">
        <v>11</v>
      </c>
      <c r="D384" s="33" t="s">
        <v>16</v>
      </c>
      <c r="E384" s="34">
        <v>170.15</v>
      </c>
      <c r="F384" s="33">
        <v>5</v>
      </c>
      <c r="G384" s="34">
        <v>850.75</v>
      </c>
      <c r="H384" s="33" t="s">
        <v>199</v>
      </c>
      <c r="I384" s="33" t="str">
        <f t="shared" si="10"/>
        <v>Medium sales</v>
      </c>
      <c r="J384" s="33" t="str">
        <f t="shared" si="11"/>
        <v>not eligible</v>
      </c>
    </row>
    <row r="385" spans="1:10" x14ac:dyDescent="0.35">
      <c r="A385" s="31">
        <v>45300.879861111112</v>
      </c>
      <c r="B385" s="32">
        <v>0.18474537037037039</v>
      </c>
      <c r="C385" s="33" t="s">
        <v>11</v>
      </c>
      <c r="D385" s="33" t="s">
        <v>20</v>
      </c>
      <c r="E385" s="34">
        <v>328.67</v>
      </c>
      <c r="F385" s="33">
        <v>4</v>
      </c>
      <c r="G385" s="34">
        <v>1314.68</v>
      </c>
      <c r="H385" s="33" t="s">
        <v>264</v>
      </c>
      <c r="I385" s="33" t="str">
        <f t="shared" si="10"/>
        <v>Medium sales</v>
      </c>
      <c r="J385" s="33" t="str">
        <f t="shared" si="11"/>
        <v>eligible</v>
      </c>
    </row>
    <row r="386" spans="1:10" x14ac:dyDescent="0.35">
      <c r="A386" s="31">
        <v>45623.533333333333</v>
      </c>
      <c r="B386" s="32">
        <v>0.55700231481481477</v>
      </c>
      <c r="C386" s="33" t="s">
        <v>14</v>
      </c>
      <c r="D386" s="33" t="s">
        <v>12</v>
      </c>
      <c r="E386" s="34">
        <v>232.41</v>
      </c>
      <c r="F386" s="33">
        <v>1</v>
      </c>
      <c r="G386" s="34">
        <v>232.41</v>
      </c>
      <c r="H386" s="33" t="s">
        <v>58</v>
      </c>
      <c r="I386" s="33" t="str">
        <f t="shared" si="10"/>
        <v>Low sales</v>
      </c>
      <c r="J386" s="33" t="str">
        <f t="shared" si="11"/>
        <v>not eligible</v>
      </c>
    </row>
    <row r="387" spans="1:10" x14ac:dyDescent="0.35">
      <c r="A387" s="31">
        <v>45352.249305555553</v>
      </c>
      <c r="B387" s="32">
        <v>0.83748842592592598</v>
      </c>
      <c r="C387" s="33" t="s">
        <v>8</v>
      </c>
      <c r="D387" s="33" t="s">
        <v>16</v>
      </c>
      <c r="E387" s="34">
        <v>335.94</v>
      </c>
      <c r="F387" s="33">
        <v>2</v>
      </c>
      <c r="G387" s="34">
        <v>671.88</v>
      </c>
      <c r="H387" s="33" t="s">
        <v>147</v>
      </c>
      <c r="I387" s="33" t="str">
        <f t="shared" ref="I387:I450" si="12">IF(G387&gt;1500,"High sales", IF(G387&gt;500,"Medium sales", "Low sales"))</f>
        <v>Medium sales</v>
      </c>
      <c r="J387" s="33" t="str">
        <f t="shared" ref="J387:J450" si="13">IF(AND(G387&gt;1000,C387="Premium"), "eligible", "not eligible")</f>
        <v>not eligible</v>
      </c>
    </row>
    <row r="388" spans="1:10" x14ac:dyDescent="0.35">
      <c r="A388" s="31">
        <v>44967.504166666666</v>
      </c>
      <c r="B388" s="32">
        <v>0.38965277777777779</v>
      </c>
      <c r="C388" s="33" t="s">
        <v>8</v>
      </c>
      <c r="D388" s="33" t="s">
        <v>20</v>
      </c>
      <c r="E388" s="34">
        <v>110.6</v>
      </c>
      <c r="F388" s="33">
        <v>3</v>
      </c>
      <c r="G388" s="34">
        <v>331.8</v>
      </c>
      <c r="H388" s="33" t="s">
        <v>265</v>
      </c>
      <c r="I388" s="33" t="str">
        <f t="shared" si="12"/>
        <v>Low sales</v>
      </c>
      <c r="J388" s="33" t="str">
        <f t="shared" si="13"/>
        <v>not eligible</v>
      </c>
    </row>
    <row r="389" spans="1:10" x14ac:dyDescent="0.35">
      <c r="A389" s="31">
        <v>45199.885416666664</v>
      </c>
      <c r="B389" s="32">
        <v>0.21943287037037038</v>
      </c>
      <c r="C389" s="33" t="s">
        <v>14</v>
      </c>
      <c r="D389" s="33" t="s">
        <v>16</v>
      </c>
      <c r="E389" s="34">
        <v>91</v>
      </c>
      <c r="F389" s="33">
        <v>2</v>
      </c>
      <c r="G389" s="34">
        <v>182</v>
      </c>
      <c r="H389" s="33" t="s">
        <v>250</v>
      </c>
      <c r="I389" s="33" t="str">
        <f t="shared" si="12"/>
        <v>Low sales</v>
      </c>
      <c r="J389" s="33" t="str">
        <f t="shared" si="13"/>
        <v>not eligible</v>
      </c>
    </row>
    <row r="390" spans="1:10" x14ac:dyDescent="0.35">
      <c r="A390" s="31">
        <v>45219.426388888889</v>
      </c>
      <c r="B390" s="32">
        <v>0.24253472222222219</v>
      </c>
      <c r="C390" s="33" t="s">
        <v>14</v>
      </c>
      <c r="D390" s="33" t="s">
        <v>12</v>
      </c>
      <c r="E390" s="34">
        <v>361.95</v>
      </c>
      <c r="F390" s="33">
        <v>3</v>
      </c>
      <c r="G390" s="34">
        <v>1085.8499999999999</v>
      </c>
      <c r="H390" s="33" t="s">
        <v>266</v>
      </c>
      <c r="I390" s="33" t="str">
        <f t="shared" si="12"/>
        <v>Medium sales</v>
      </c>
      <c r="J390" s="33" t="str">
        <f t="shared" si="13"/>
        <v>not eligible</v>
      </c>
    </row>
    <row r="391" spans="1:10" x14ac:dyDescent="0.35">
      <c r="A391" s="31">
        <v>45082.170138888891</v>
      </c>
      <c r="B391" s="32">
        <v>0.16050925925925927</v>
      </c>
      <c r="C391" s="33" t="s">
        <v>11</v>
      </c>
      <c r="D391" s="33" t="s">
        <v>20</v>
      </c>
      <c r="E391" s="34">
        <v>278.51</v>
      </c>
      <c r="F391" s="33">
        <v>4</v>
      </c>
      <c r="G391" s="34">
        <v>1114.04</v>
      </c>
      <c r="H391" s="33" t="s">
        <v>98</v>
      </c>
      <c r="I391" s="33" t="str">
        <f t="shared" si="12"/>
        <v>Medium sales</v>
      </c>
      <c r="J391" s="33" t="str">
        <f t="shared" si="13"/>
        <v>eligible</v>
      </c>
    </row>
    <row r="392" spans="1:10" x14ac:dyDescent="0.35">
      <c r="A392" s="31">
        <v>45071.90625</v>
      </c>
      <c r="B392" s="32">
        <v>0.52123842592592595</v>
      </c>
      <c r="C392" s="33" t="s">
        <v>14</v>
      </c>
      <c r="D392" s="33" t="s">
        <v>20</v>
      </c>
      <c r="E392" s="34">
        <v>448.81</v>
      </c>
      <c r="F392" s="33">
        <v>1</v>
      </c>
      <c r="G392" s="34">
        <v>448.81</v>
      </c>
      <c r="H392" s="33" t="s">
        <v>218</v>
      </c>
      <c r="I392" s="33" t="str">
        <f t="shared" si="12"/>
        <v>Low sales</v>
      </c>
      <c r="J392" s="33" t="str">
        <f t="shared" si="13"/>
        <v>not eligible</v>
      </c>
    </row>
    <row r="393" spans="1:10" x14ac:dyDescent="0.35">
      <c r="A393" s="31">
        <v>45043.448611111111</v>
      </c>
      <c r="B393" s="32">
        <v>0.14177083333333332</v>
      </c>
      <c r="C393" s="33" t="s">
        <v>8</v>
      </c>
      <c r="D393" s="33" t="s">
        <v>9</v>
      </c>
      <c r="E393" s="34">
        <v>212.52</v>
      </c>
      <c r="F393" s="33">
        <v>1</v>
      </c>
      <c r="G393" s="34">
        <v>212.52</v>
      </c>
      <c r="H393" s="33" t="s">
        <v>29</v>
      </c>
      <c r="I393" s="33" t="str">
        <f t="shared" si="12"/>
        <v>Low sales</v>
      </c>
      <c r="J393" s="33" t="str">
        <f t="shared" si="13"/>
        <v>not eligible</v>
      </c>
    </row>
    <row r="394" spans="1:10" x14ac:dyDescent="0.35">
      <c r="A394" s="31">
        <v>45574.447222222225</v>
      </c>
      <c r="B394" s="32">
        <v>0.78282407407407406</v>
      </c>
      <c r="C394" s="33" t="s">
        <v>14</v>
      </c>
      <c r="D394" s="33" t="s">
        <v>16</v>
      </c>
      <c r="E394" s="34">
        <v>317.08</v>
      </c>
      <c r="F394" s="33">
        <v>4</v>
      </c>
      <c r="G394" s="34">
        <v>1268.32</v>
      </c>
      <c r="H394" s="33" t="s">
        <v>253</v>
      </c>
      <c r="I394" s="33" t="str">
        <f t="shared" si="12"/>
        <v>Medium sales</v>
      </c>
      <c r="J394" s="33" t="str">
        <f t="shared" si="13"/>
        <v>not eligible</v>
      </c>
    </row>
    <row r="395" spans="1:10" x14ac:dyDescent="0.35">
      <c r="A395" s="31">
        <v>45065.988194444442</v>
      </c>
      <c r="B395" s="32">
        <v>0.22731481481481483</v>
      </c>
      <c r="C395" s="33" t="s">
        <v>8</v>
      </c>
      <c r="D395" s="33" t="s">
        <v>12</v>
      </c>
      <c r="E395" s="34">
        <v>365.42</v>
      </c>
      <c r="F395" s="33">
        <v>2</v>
      </c>
      <c r="G395" s="34">
        <v>730.84</v>
      </c>
      <c r="H395" s="33" t="s">
        <v>267</v>
      </c>
      <c r="I395" s="33" t="str">
        <f t="shared" si="12"/>
        <v>Medium sales</v>
      </c>
      <c r="J395" s="33" t="str">
        <f t="shared" si="13"/>
        <v>not eligible</v>
      </c>
    </row>
    <row r="396" spans="1:10" x14ac:dyDescent="0.35">
      <c r="A396" s="31">
        <v>45499.75</v>
      </c>
      <c r="B396" s="32">
        <v>0.50331018518518522</v>
      </c>
      <c r="C396" s="33" t="s">
        <v>14</v>
      </c>
      <c r="D396" s="33" t="s">
        <v>9</v>
      </c>
      <c r="E396" s="34">
        <v>95.85</v>
      </c>
      <c r="F396" s="33">
        <v>2</v>
      </c>
      <c r="G396" s="34">
        <v>191.7</v>
      </c>
      <c r="H396" s="33" t="s">
        <v>111</v>
      </c>
      <c r="I396" s="33" t="str">
        <f t="shared" si="12"/>
        <v>Low sales</v>
      </c>
      <c r="J396" s="33" t="str">
        <f t="shared" si="13"/>
        <v>not eligible</v>
      </c>
    </row>
    <row r="397" spans="1:10" x14ac:dyDescent="0.35">
      <c r="A397" s="31">
        <v>45128.120833333334</v>
      </c>
      <c r="B397" s="32">
        <v>0.25807870370370373</v>
      </c>
      <c r="C397" s="33" t="s">
        <v>11</v>
      </c>
      <c r="D397" s="33" t="s">
        <v>20</v>
      </c>
      <c r="E397" s="34">
        <v>398.23</v>
      </c>
      <c r="F397" s="33">
        <v>1</v>
      </c>
      <c r="G397" s="34">
        <v>398.23</v>
      </c>
      <c r="H397" s="33" t="s">
        <v>268</v>
      </c>
      <c r="I397" s="33" t="str">
        <f t="shared" si="12"/>
        <v>Low sales</v>
      </c>
      <c r="J397" s="33" t="str">
        <f t="shared" si="13"/>
        <v>not eligible</v>
      </c>
    </row>
    <row r="398" spans="1:10" x14ac:dyDescent="0.35">
      <c r="A398" s="31">
        <v>45032.857638888891</v>
      </c>
      <c r="B398" s="32">
        <v>0.81092592592592594</v>
      </c>
      <c r="C398" s="33" t="s">
        <v>8</v>
      </c>
      <c r="D398" s="33" t="s">
        <v>27</v>
      </c>
      <c r="E398" s="34">
        <v>358.09</v>
      </c>
      <c r="F398" s="33">
        <v>4</v>
      </c>
      <c r="G398" s="34">
        <v>1432.36</v>
      </c>
      <c r="H398" s="33" t="s">
        <v>269</v>
      </c>
      <c r="I398" s="33" t="str">
        <f t="shared" si="12"/>
        <v>Medium sales</v>
      </c>
      <c r="J398" s="33" t="str">
        <f t="shared" si="13"/>
        <v>not eligible</v>
      </c>
    </row>
    <row r="399" spans="1:10" x14ac:dyDescent="0.35">
      <c r="A399" s="31">
        <v>45405.696527777778</v>
      </c>
      <c r="B399" s="32">
        <v>9.8333333333333328E-2</v>
      </c>
      <c r="C399" s="33" t="s">
        <v>11</v>
      </c>
      <c r="D399" s="33" t="s">
        <v>20</v>
      </c>
      <c r="E399" s="34">
        <v>498.72</v>
      </c>
      <c r="F399" s="33">
        <v>5</v>
      </c>
      <c r="G399" s="34">
        <v>2493.6</v>
      </c>
      <c r="H399" s="33" t="s">
        <v>10</v>
      </c>
      <c r="I399" s="33" t="str">
        <f t="shared" si="12"/>
        <v>High sales</v>
      </c>
      <c r="J399" s="33" t="str">
        <f t="shared" si="13"/>
        <v>eligible</v>
      </c>
    </row>
    <row r="400" spans="1:10" x14ac:dyDescent="0.35">
      <c r="A400" s="31">
        <v>45187.911805555559</v>
      </c>
      <c r="B400" s="32">
        <v>0.71862268518518524</v>
      </c>
      <c r="C400" s="33" t="s">
        <v>11</v>
      </c>
      <c r="D400" s="33" t="s">
        <v>16</v>
      </c>
      <c r="E400" s="34">
        <v>101.62</v>
      </c>
      <c r="F400" s="33">
        <v>1</v>
      </c>
      <c r="G400" s="34">
        <v>101.62</v>
      </c>
      <c r="H400" s="33" t="s">
        <v>270</v>
      </c>
      <c r="I400" s="33" t="str">
        <f t="shared" si="12"/>
        <v>Low sales</v>
      </c>
      <c r="J400" s="33" t="str">
        <f t="shared" si="13"/>
        <v>not eligible</v>
      </c>
    </row>
    <row r="401" spans="1:10" x14ac:dyDescent="0.35">
      <c r="A401" s="31">
        <v>45357.277083333334</v>
      </c>
      <c r="B401" s="32">
        <v>0.17459490740740743</v>
      </c>
      <c r="C401" s="33" t="s">
        <v>8</v>
      </c>
      <c r="D401" s="33" t="s">
        <v>16</v>
      </c>
      <c r="E401" s="34">
        <v>107.83</v>
      </c>
      <c r="F401" s="33">
        <v>4</v>
      </c>
      <c r="G401" s="34">
        <v>431.32</v>
      </c>
      <c r="H401" s="33" t="s">
        <v>23</v>
      </c>
      <c r="I401" s="33" t="str">
        <f t="shared" si="12"/>
        <v>Low sales</v>
      </c>
      <c r="J401" s="33" t="str">
        <f t="shared" si="13"/>
        <v>not eligible</v>
      </c>
    </row>
    <row r="402" spans="1:10" x14ac:dyDescent="0.35">
      <c r="A402" s="31">
        <v>45119.39166666667</v>
      </c>
      <c r="B402" s="32">
        <v>0.46311342592592591</v>
      </c>
      <c r="C402" s="33" t="s">
        <v>11</v>
      </c>
      <c r="D402" s="33" t="s">
        <v>16</v>
      </c>
      <c r="E402" s="34">
        <v>143.31</v>
      </c>
      <c r="F402" s="33">
        <v>3</v>
      </c>
      <c r="G402" s="34">
        <v>429.93</v>
      </c>
      <c r="H402" s="33" t="s">
        <v>184</v>
      </c>
      <c r="I402" s="33" t="str">
        <f t="shared" si="12"/>
        <v>Low sales</v>
      </c>
      <c r="J402" s="33" t="str">
        <f t="shared" si="13"/>
        <v>not eligible</v>
      </c>
    </row>
    <row r="403" spans="1:10" x14ac:dyDescent="0.35">
      <c r="A403" s="31">
        <v>45585.422222222223</v>
      </c>
      <c r="B403" s="32">
        <v>0.88656250000000003</v>
      </c>
      <c r="C403" s="33" t="s">
        <v>8</v>
      </c>
      <c r="D403" s="33" t="s">
        <v>12</v>
      </c>
      <c r="E403" s="34">
        <v>39.57</v>
      </c>
      <c r="F403" s="33">
        <v>3</v>
      </c>
      <c r="G403" s="34">
        <v>118.71</v>
      </c>
      <c r="H403" s="33" t="s">
        <v>187</v>
      </c>
      <c r="I403" s="33" t="str">
        <f t="shared" si="12"/>
        <v>Low sales</v>
      </c>
      <c r="J403" s="33" t="str">
        <f t="shared" si="13"/>
        <v>not eligible</v>
      </c>
    </row>
    <row r="404" spans="1:10" x14ac:dyDescent="0.35">
      <c r="A404" s="31">
        <v>45461.768055555556</v>
      </c>
      <c r="B404" s="32">
        <v>0.56248842592592596</v>
      </c>
      <c r="C404" s="33" t="s">
        <v>8</v>
      </c>
      <c r="D404" s="33" t="s">
        <v>20</v>
      </c>
      <c r="E404" s="34">
        <v>60.19</v>
      </c>
      <c r="F404" s="33">
        <v>2</v>
      </c>
      <c r="G404" s="34">
        <v>120.38</v>
      </c>
      <c r="H404" s="33" t="s">
        <v>78</v>
      </c>
      <c r="I404" s="33" t="str">
        <f t="shared" si="12"/>
        <v>Low sales</v>
      </c>
      <c r="J404" s="33" t="str">
        <f t="shared" si="13"/>
        <v>not eligible</v>
      </c>
    </row>
    <row r="405" spans="1:10" x14ac:dyDescent="0.35">
      <c r="A405" s="31">
        <v>45571.091666666667</v>
      </c>
      <c r="B405" s="32">
        <v>0.61336805555555551</v>
      </c>
      <c r="C405" s="33" t="s">
        <v>11</v>
      </c>
      <c r="D405" s="33" t="s">
        <v>27</v>
      </c>
      <c r="E405" s="34">
        <v>444</v>
      </c>
      <c r="F405" s="33">
        <v>2</v>
      </c>
      <c r="G405" s="34">
        <v>888</v>
      </c>
      <c r="H405" s="33" t="s">
        <v>198</v>
      </c>
      <c r="I405" s="33" t="str">
        <f t="shared" si="12"/>
        <v>Medium sales</v>
      </c>
      <c r="J405" s="33" t="str">
        <f t="shared" si="13"/>
        <v>not eligible</v>
      </c>
    </row>
    <row r="406" spans="1:10" x14ac:dyDescent="0.35">
      <c r="A406" s="31">
        <v>45010.230555555558</v>
      </c>
      <c r="B406" s="32">
        <v>0.56171296296296302</v>
      </c>
      <c r="C406" s="33" t="s">
        <v>14</v>
      </c>
      <c r="D406" s="33" t="s">
        <v>12</v>
      </c>
      <c r="E406" s="34">
        <v>467.51</v>
      </c>
      <c r="F406" s="33">
        <v>5</v>
      </c>
      <c r="G406" s="34">
        <v>2337.5500000000002</v>
      </c>
      <c r="H406" s="33" t="s">
        <v>100</v>
      </c>
      <c r="I406" s="33" t="str">
        <f t="shared" si="12"/>
        <v>High sales</v>
      </c>
      <c r="J406" s="33" t="str">
        <f t="shared" si="13"/>
        <v>not eligible</v>
      </c>
    </row>
    <row r="407" spans="1:10" x14ac:dyDescent="0.35">
      <c r="A407" s="31">
        <v>45153.158333333333</v>
      </c>
      <c r="B407" s="32">
        <v>0.32063657407407409</v>
      </c>
      <c r="C407" s="33" t="s">
        <v>11</v>
      </c>
      <c r="D407" s="33" t="s">
        <v>16</v>
      </c>
      <c r="E407" s="34">
        <v>97.33</v>
      </c>
      <c r="F407" s="33">
        <v>3</v>
      </c>
      <c r="G407" s="34">
        <v>291.99</v>
      </c>
      <c r="H407" s="33" t="s">
        <v>32</v>
      </c>
      <c r="I407" s="33" t="str">
        <f t="shared" si="12"/>
        <v>Low sales</v>
      </c>
      <c r="J407" s="33" t="str">
        <f t="shared" si="13"/>
        <v>not eligible</v>
      </c>
    </row>
    <row r="408" spans="1:10" x14ac:dyDescent="0.35">
      <c r="A408" s="31">
        <v>44947.74722222222</v>
      </c>
      <c r="B408" s="32">
        <v>0.34472222222222221</v>
      </c>
      <c r="C408" s="33" t="s">
        <v>8</v>
      </c>
      <c r="D408" s="33" t="s">
        <v>12</v>
      </c>
      <c r="E408" s="34">
        <v>433.62</v>
      </c>
      <c r="F408" s="33">
        <v>1</v>
      </c>
      <c r="G408" s="34">
        <v>433.62</v>
      </c>
      <c r="H408" s="33" t="s">
        <v>271</v>
      </c>
      <c r="I408" s="33" t="str">
        <f t="shared" si="12"/>
        <v>Low sales</v>
      </c>
      <c r="J408" s="33" t="str">
        <f t="shared" si="13"/>
        <v>not eligible</v>
      </c>
    </row>
    <row r="409" spans="1:10" x14ac:dyDescent="0.35">
      <c r="A409" s="31">
        <v>45581.972222222219</v>
      </c>
      <c r="B409" s="32">
        <v>0.37906250000000002</v>
      </c>
      <c r="C409" s="33" t="s">
        <v>11</v>
      </c>
      <c r="D409" s="33" t="s">
        <v>12</v>
      </c>
      <c r="E409" s="34">
        <v>147.26</v>
      </c>
      <c r="F409" s="33">
        <v>2</v>
      </c>
      <c r="G409" s="34">
        <v>294.52</v>
      </c>
      <c r="H409" s="33" t="s">
        <v>259</v>
      </c>
      <c r="I409" s="33" t="str">
        <f t="shared" si="12"/>
        <v>Low sales</v>
      </c>
      <c r="J409" s="33" t="str">
        <f t="shared" si="13"/>
        <v>not eligible</v>
      </c>
    </row>
    <row r="410" spans="1:10" x14ac:dyDescent="0.35">
      <c r="A410" s="31">
        <v>45138.466666666667</v>
      </c>
      <c r="B410" s="32">
        <v>8.5289351851851838E-2</v>
      </c>
      <c r="C410" s="33" t="s">
        <v>14</v>
      </c>
      <c r="D410" s="33" t="s">
        <v>27</v>
      </c>
      <c r="E410" s="34">
        <v>473.21</v>
      </c>
      <c r="F410" s="33">
        <v>3</v>
      </c>
      <c r="G410" s="34">
        <v>1419.63</v>
      </c>
      <c r="H410" s="33" t="s">
        <v>272</v>
      </c>
      <c r="I410" s="33" t="str">
        <f t="shared" si="12"/>
        <v>Medium sales</v>
      </c>
      <c r="J410" s="33" t="str">
        <f t="shared" si="13"/>
        <v>not eligible</v>
      </c>
    </row>
    <row r="411" spans="1:10" x14ac:dyDescent="0.35">
      <c r="A411" s="31">
        <v>45459.021527777775</v>
      </c>
      <c r="B411" s="32">
        <v>0.11633101851851851</v>
      </c>
      <c r="C411" s="33" t="s">
        <v>11</v>
      </c>
      <c r="D411" s="33" t="s">
        <v>27</v>
      </c>
      <c r="E411" s="34">
        <v>240.48</v>
      </c>
      <c r="F411" s="33">
        <v>3</v>
      </c>
      <c r="G411" s="34">
        <v>721.44</v>
      </c>
      <c r="H411" s="33" t="s">
        <v>273</v>
      </c>
      <c r="I411" s="33" t="str">
        <f t="shared" si="12"/>
        <v>Medium sales</v>
      </c>
      <c r="J411" s="33" t="str">
        <f t="shared" si="13"/>
        <v>not eligible</v>
      </c>
    </row>
    <row r="412" spans="1:10" x14ac:dyDescent="0.35">
      <c r="A412" s="31">
        <v>44939.524305555555</v>
      </c>
      <c r="B412" s="32">
        <v>0.34247685185185189</v>
      </c>
      <c r="C412" s="33" t="s">
        <v>8</v>
      </c>
      <c r="D412" s="33" t="s">
        <v>16</v>
      </c>
      <c r="E412" s="34">
        <v>196.8</v>
      </c>
      <c r="F412" s="33">
        <v>4</v>
      </c>
      <c r="G412" s="34">
        <v>787.2</v>
      </c>
      <c r="H412" s="33" t="s">
        <v>264</v>
      </c>
      <c r="I412" s="33" t="str">
        <f t="shared" si="12"/>
        <v>Medium sales</v>
      </c>
      <c r="J412" s="33" t="str">
        <f t="shared" si="13"/>
        <v>not eligible</v>
      </c>
    </row>
    <row r="413" spans="1:10" x14ac:dyDescent="0.35">
      <c r="A413" s="31">
        <v>45618.412499999999</v>
      </c>
      <c r="B413" s="32">
        <v>0.63274305555555554</v>
      </c>
      <c r="C413" s="33" t="s">
        <v>8</v>
      </c>
      <c r="D413" s="33" t="s">
        <v>27</v>
      </c>
      <c r="E413" s="34">
        <v>15.92</v>
      </c>
      <c r="F413" s="33">
        <v>2</v>
      </c>
      <c r="G413" s="34">
        <v>31.84</v>
      </c>
      <c r="H413" s="33" t="s">
        <v>274</v>
      </c>
      <c r="I413" s="33" t="str">
        <f t="shared" si="12"/>
        <v>Low sales</v>
      </c>
      <c r="J413" s="33" t="str">
        <f t="shared" si="13"/>
        <v>not eligible</v>
      </c>
    </row>
    <row r="414" spans="1:10" x14ac:dyDescent="0.35">
      <c r="A414" s="31">
        <v>45595.797222222223</v>
      </c>
      <c r="B414" s="32">
        <v>0.3450462962962963</v>
      </c>
      <c r="C414" s="33" t="s">
        <v>14</v>
      </c>
      <c r="D414" s="33" t="s">
        <v>16</v>
      </c>
      <c r="E414" s="34">
        <v>96.59</v>
      </c>
      <c r="F414" s="33">
        <v>2</v>
      </c>
      <c r="G414" s="34">
        <v>193.18</v>
      </c>
      <c r="H414" s="33" t="s">
        <v>171</v>
      </c>
      <c r="I414" s="33" t="str">
        <f t="shared" si="12"/>
        <v>Low sales</v>
      </c>
      <c r="J414" s="33" t="str">
        <f t="shared" si="13"/>
        <v>not eligible</v>
      </c>
    </row>
    <row r="415" spans="1:10" x14ac:dyDescent="0.35">
      <c r="A415" s="31">
        <v>45608.768750000003</v>
      </c>
      <c r="B415" s="32">
        <v>0.90270833333333333</v>
      </c>
      <c r="C415" s="33" t="s">
        <v>14</v>
      </c>
      <c r="D415" s="33" t="s">
        <v>27</v>
      </c>
      <c r="E415" s="34">
        <v>19.239999999999998</v>
      </c>
      <c r="F415" s="33">
        <v>5</v>
      </c>
      <c r="G415" s="34">
        <v>96.2</v>
      </c>
      <c r="H415" s="33" t="s">
        <v>222</v>
      </c>
      <c r="I415" s="33" t="str">
        <f t="shared" si="12"/>
        <v>Low sales</v>
      </c>
      <c r="J415" s="33" t="str">
        <f t="shared" si="13"/>
        <v>not eligible</v>
      </c>
    </row>
    <row r="416" spans="1:10" x14ac:dyDescent="0.35">
      <c r="A416" s="31">
        <v>45515.623611111114</v>
      </c>
      <c r="B416" s="32">
        <v>0.32813657407407409</v>
      </c>
      <c r="C416" s="33" t="s">
        <v>8</v>
      </c>
      <c r="D416" s="33" t="s">
        <v>20</v>
      </c>
      <c r="E416" s="34">
        <v>349.89</v>
      </c>
      <c r="F416" s="33">
        <v>2</v>
      </c>
      <c r="G416" s="34">
        <v>699.78</v>
      </c>
      <c r="H416" s="33" t="s">
        <v>214</v>
      </c>
      <c r="I416" s="33" t="str">
        <f t="shared" si="12"/>
        <v>Medium sales</v>
      </c>
      <c r="J416" s="33" t="str">
        <f t="shared" si="13"/>
        <v>not eligible</v>
      </c>
    </row>
    <row r="417" spans="1:10" x14ac:dyDescent="0.35">
      <c r="A417" s="31">
        <v>45014.099305555559</v>
      </c>
      <c r="B417" s="32">
        <v>0.17467592592592593</v>
      </c>
      <c r="C417" s="33" t="s">
        <v>14</v>
      </c>
      <c r="D417" s="33" t="s">
        <v>12</v>
      </c>
      <c r="E417" s="34">
        <v>101.97</v>
      </c>
      <c r="F417" s="33">
        <v>4</v>
      </c>
      <c r="G417" s="34">
        <v>407.88</v>
      </c>
      <c r="H417" s="33" t="s">
        <v>127</v>
      </c>
      <c r="I417" s="33" t="str">
        <f t="shared" si="12"/>
        <v>Low sales</v>
      </c>
      <c r="J417" s="33" t="str">
        <f t="shared" si="13"/>
        <v>not eligible</v>
      </c>
    </row>
    <row r="418" spans="1:10" x14ac:dyDescent="0.35">
      <c r="A418" s="31">
        <v>45280.856249999997</v>
      </c>
      <c r="B418" s="32">
        <v>0.78784722222222225</v>
      </c>
      <c r="C418" s="33" t="s">
        <v>8</v>
      </c>
      <c r="D418" s="33" t="s">
        <v>9</v>
      </c>
      <c r="E418" s="34">
        <v>142.59</v>
      </c>
      <c r="F418" s="33">
        <v>3</v>
      </c>
      <c r="G418" s="34">
        <v>427.77</v>
      </c>
      <c r="H418" s="33" t="s">
        <v>106</v>
      </c>
      <c r="I418" s="33" t="str">
        <f t="shared" si="12"/>
        <v>Low sales</v>
      </c>
      <c r="J418" s="33" t="str">
        <f t="shared" si="13"/>
        <v>not eligible</v>
      </c>
    </row>
    <row r="419" spans="1:10" x14ac:dyDescent="0.35">
      <c r="A419" s="31">
        <v>45370.147916666669</v>
      </c>
      <c r="B419" s="32">
        <v>0.22293981481481481</v>
      </c>
      <c r="C419" s="33" t="s">
        <v>8</v>
      </c>
      <c r="D419" s="33" t="s">
        <v>20</v>
      </c>
      <c r="E419" s="34">
        <v>63.19</v>
      </c>
      <c r="F419" s="33">
        <v>3</v>
      </c>
      <c r="G419" s="34">
        <v>189.57</v>
      </c>
      <c r="H419" s="33" t="s">
        <v>275</v>
      </c>
      <c r="I419" s="33" t="str">
        <f t="shared" si="12"/>
        <v>Low sales</v>
      </c>
      <c r="J419" s="33" t="str">
        <f t="shared" si="13"/>
        <v>not eligible</v>
      </c>
    </row>
    <row r="420" spans="1:10" x14ac:dyDescent="0.35">
      <c r="A420" s="31">
        <v>45139.763194444444</v>
      </c>
      <c r="B420" s="32">
        <v>4.9351851851851848E-2</v>
      </c>
      <c r="C420" s="33" t="s">
        <v>14</v>
      </c>
      <c r="D420" s="33" t="s">
        <v>12</v>
      </c>
      <c r="E420" s="34">
        <v>336.43</v>
      </c>
      <c r="F420" s="33">
        <v>4</v>
      </c>
      <c r="G420" s="34">
        <v>1345.72</v>
      </c>
      <c r="H420" s="33" t="s">
        <v>100</v>
      </c>
      <c r="I420" s="33" t="str">
        <f t="shared" si="12"/>
        <v>Medium sales</v>
      </c>
      <c r="J420" s="33" t="str">
        <f t="shared" si="13"/>
        <v>not eligible</v>
      </c>
    </row>
    <row r="421" spans="1:10" x14ac:dyDescent="0.35">
      <c r="A421" s="31">
        <v>44993.353472222225</v>
      </c>
      <c r="B421" s="32">
        <v>0.21422453703703703</v>
      </c>
      <c r="C421" s="33" t="s">
        <v>14</v>
      </c>
      <c r="D421" s="33" t="s">
        <v>16</v>
      </c>
      <c r="E421" s="34">
        <v>114.31</v>
      </c>
      <c r="F421" s="33">
        <v>5</v>
      </c>
      <c r="G421" s="34">
        <v>571.54999999999995</v>
      </c>
      <c r="H421" s="33" t="s">
        <v>121</v>
      </c>
      <c r="I421" s="33" t="str">
        <f t="shared" si="12"/>
        <v>Medium sales</v>
      </c>
      <c r="J421" s="33" t="str">
        <f t="shared" si="13"/>
        <v>not eligible</v>
      </c>
    </row>
    <row r="422" spans="1:10" x14ac:dyDescent="0.35">
      <c r="A422" s="31">
        <v>45128.384722222225</v>
      </c>
      <c r="B422" s="32">
        <v>0.83439814814814817</v>
      </c>
      <c r="C422" s="33" t="s">
        <v>8</v>
      </c>
      <c r="D422" s="33" t="s">
        <v>20</v>
      </c>
      <c r="E422" s="34">
        <v>204.76</v>
      </c>
      <c r="F422" s="33">
        <v>4</v>
      </c>
      <c r="G422" s="34">
        <v>819.04</v>
      </c>
      <c r="H422" s="33" t="s">
        <v>240</v>
      </c>
      <c r="I422" s="33" t="str">
        <f t="shared" si="12"/>
        <v>Medium sales</v>
      </c>
      <c r="J422" s="33" t="str">
        <f t="shared" si="13"/>
        <v>not eligible</v>
      </c>
    </row>
    <row r="423" spans="1:10" x14ac:dyDescent="0.35">
      <c r="A423" s="31">
        <v>45183.448611111111</v>
      </c>
      <c r="B423" s="32">
        <v>0.19725694444444444</v>
      </c>
      <c r="C423" s="33" t="s">
        <v>11</v>
      </c>
      <c r="D423" s="33" t="s">
        <v>12</v>
      </c>
      <c r="E423" s="34">
        <v>72.3</v>
      </c>
      <c r="F423" s="33">
        <v>2</v>
      </c>
      <c r="G423" s="34">
        <v>144.6</v>
      </c>
      <c r="H423" s="33" t="s">
        <v>276</v>
      </c>
      <c r="I423" s="33" t="str">
        <f t="shared" si="12"/>
        <v>Low sales</v>
      </c>
      <c r="J423" s="33" t="str">
        <f t="shared" si="13"/>
        <v>not eligible</v>
      </c>
    </row>
    <row r="424" spans="1:10" x14ac:dyDescent="0.35">
      <c r="A424" s="31">
        <v>45641.591666666667</v>
      </c>
      <c r="B424" s="32">
        <v>0.84423611111111108</v>
      </c>
      <c r="C424" s="33" t="s">
        <v>11</v>
      </c>
      <c r="D424" s="33" t="s">
        <v>20</v>
      </c>
      <c r="E424" s="34">
        <v>289.52999999999997</v>
      </c>
      <c r="F424" s="33">
        <v>2</v>
      </c>
      <c r="G424" s="34">
        <v>579.05999999999995</v>
      </c>
      <c r="H424" s="33" t="s">
        <v>277</v>
      </c>
      <c r="I424" s="33" t="str">
        <f t="shared" si="12"/>
        <v>Medium sales</v>
      </c>
      <c r="J424" s="33" t="str">
        <f t="shared" si="13"/>
        <v>not eligible</v>
      </c>
    </row>
    <row r="425" spans="1:10" x14ac:dyDescent="0.35">
      <c r="A425" s="31">
        <v>44995.104166666664</v>
      </c>
      <c r="B425" s="32">
        <v>0.6935069444444445</v>
      </c>
      <c r="C425" s="33" t="s">
        <v>14</v>
      </c>
      <c r="D425" s="33" t="s">
        <v>16</v>
      </c>
      <c r="E425" s="34">
        <v>15.67</v>
      </c>
      <c r="F425" s="33">
        <v>4</v>
      </c>
      <c r="G425" s="34">
        <v>62.68</v>
      </c>
      <c r="H425" s="33" t="s">
        <v>26</v>
      </c>
      <c r="I425" s="33" t="str">
        <f t="shared" si="12"/>
        <v>Low sales</v>
      </c>
      <c r="J425" s="33" t="str">
        <f t="shared" si="13"/>
        <v>not eligible</v>
      </c>
    </row>
    <row r="426" spans="1:10" x14ac:dyDescent="0.35">
      <c r="A426" s="31">
        <v>45229.750694444447</v>
      </c>
      <c r="B426" s="32">
        <v>0.58340277777777783</v>
      </c>
      <c r="C426" s="33" t="s">
        <v>8</v>
      </c>
      <c r="D426" s="33" t="s">
        <v>27</v>
      </c>
      <c r="E426" s="34">
        <v>382.31</v>
      </c>
      <c r="F426" s="33">
        <v>5</v>
      </c>
      <c r="G426" s="34">
        <v>1911.55</v>
      </c>
      <c r="H426" s="33" t="s">
        <v>188</v>
      </c>
      <c r="I426" s="33" t="str">
        <f t="shared" si="12"/>
        <v>High sales</v>
      </c>
      <c r="J426" s="33" t="str">
        <f t="shared" si="13"/>
        <v>not eligible</v>
      </c>
    </row>
    <row r="427" spans="1:10" x14ac:dyDescent="0.35">
      <c r="A427" s="31">
        <v>45016.720138888886</v>
      </c>
      <c r="B427" s="32">
        <v>0.46171296296296299</v>
      </c>
      <c r="C427" s="33" t="s">
        <v>14</v>
      </c>
      <c r="D427" s="33" t="s">
        <v>20</v>
      </c>
      <c r="E427" s="34">
        <v>486.6</v>
      </c>
      <c r="F427" s="33">
        <v>2</v>
      </c>
      <c r="G427" s="34">
        <v>973.2</v>
      </c>
      <c r="H427" s="33" t="s">
        <v>278</v>
      </c>
      <c r="I427" s="33" t="str">
        <f t="shared" si="12"/>
        <v>Medium sales</v>
      </c>
      <c r="J427" s="33" t="str">
        <f t="shared" si="13"/>
        <v>not eligible</v>
      </c>
    </row>
    <row r="428" spans="1:10" x14ac:dyDescent="0.35">
      <c r="A428" s="31">
        <v>45165.213194444441</v>
      </c>
      <c r="B428" s="32">
        <v>0.66216435185185185</v>
      </c>
      <c r="C428" s="33" t="s">
        <v>8</v>
      </c>
      <c r="D428" s="33" t="s">
        <v>20</v>
      </c>
      <c r="E428" s="34">
        <v>453.87</v>
      </c>
      <c r="F428" s="33">
        <v>5</v>
      </c>
      <c r="G428" s="34">
        <v>2269.35</v>
      </c>
      <c r="H428" s="33" t="s">
        <v>227</v>
      </c>
      <c r="I428" s="33" t="str">
        <f t="shared" si="12"/>
        <v>High sales</v>
      </c>
      <c r="J428" s="33" t="str">
        <f t="shared" si="13"/>
        <v>not eligible</v>
      </c>
    </row>
    <row r="429" spans="1:10" x14ac:dyDescent="0.35">
      <c r="A429" s="31">
        <v>45481.103472222225</v>
      </c>
      <c r="B429" s="32">
        <v>2.1122685185185185E-2</v>
      </c>
      <c r="C429" s="33" t="s">
        <v>14</v>
      </c>
      <c r="D429" s="33" t="s">
        <v>27</v>
      </c>
      <c r="E429" s="34">
        <v>98.68</v>
      </c>
      <c r="F429" s="33">
        <v>2</v>
      </c>
      <c r="G429" s="34">
        <v>197.36</v>
      </c>
      <c r="H429" s="33" t="s">
        <v>93</v>
      </c>
      <c r="I429" s="33" t="str">
        <f t="shared" si="12"/>
        <v>Low sales</v>
      </c>
      <c r="J429" s="33" t="str">
        <f t="shared" si="13"/>
        <v>not eligible</v>
      </c>
    </row>
    <row r="430" spans="1:10" x14ac:dyDescent="0.35">
      <c r="A430" s="31">
        <v>45095.288194444445</v>
      </c>
      <c r="B430" s="32">
        <v>0.19613425925925929</v>
      </c>
      <c r="C430" s="33" t="s">
        <v>14</v>
      </c>
      <c r="D430" s="33" t="s">
        <v>16</v>
      </c>
      <c r="E430" s="34">
        <v>446.02</v>
      </c>
      <c r="F430" s="33">
        <v>3</v>
      </c>
      <c r="G430" s="34">
        <v>1338.06</v>
      </c>
      <c r="H430" s="33" t="s">
        <v>164</v>
      </c>
      <c r="I430" s="33" t="str">
        <f t="shared" si="12"/>
        <v>Medium sales</v>
      </c>
      <c r="J430" s="33" t="str">
        <f t="shared" si="13"/>
        <v>not eligible</v>
      </c>
    </row>
    <row r="431" spans="1:10" x14ac:dyDescent="0.35">
      <c r="A431" s="31">
        <v>45434.705555555556</v>
      </c>
      <c r="B431" s="32">
        <v>0.92553240740740739</v>
      </c>
      <c r="C431" s="33" t="s">
        <v>11</v>
      </c>
      <c r="D431" s="33" t="s">
        <v>16</v>
      </c>
      <c r="E431" s="34">
        <v>432.96</v>
      </c>
      <c r="F431" s="33">
        <v>4</v>
      </c>
      <c r="G431" s="34">
        <v>1731.84</v>
      </c>
      <c r="H431" s="33" t="s">
        <v>101</v>
      </c>
      <c r="I431" s="33" t="str">
        <f t="shared" si="12"/>
        <v>High sales</v>
      </c>
      <c r="J431" s="33" t="str">
        <f t="shared" si="13"/>
        <v>eligible</v>
      </c>
    </row>
    <row r="432" spans="1:10" x14ac:dyDescent="0.35">
      <c r="A432" s="31">
        <v>45231.085416666669</v>
      </c>
      <c r="B432" s="32">
        <v>0.49891203703703701</v>
      </c>
      <c r="C432" s="33" t="s">
        <v>11</v>
      </c>
      <c r="D432" s="33" t="s">
        <v>27</v>
      </c>
      <c r="E432" s="34">
        <v>249.97</v>
      </c>
      <c r="F432" s="33">
        <v>2</v>
      </c>
      <c r="G432" s="34">
        <v>499.94</v>
      </c>
      <c r="H432" s="33" t="s">
        <v>112</v>
      </c>
      <c r="I432" s="33" t="str">
        <f t="shared" si="12"/>
        <v>Low sales</v>
      </c>
      <c r="J432" s="33" t="str">
        <f t="shared" si="13"/>
        <v>not eligible</v>
      </c>
    </row>
    <row r="433" spans="1:10" x14ac:dyDescent="0.35">
      <c r="A433" s="31">
        <v>45542.574999999997</v>
      </c>
      <c r="B433" s="32">
        <v>0.6934027777777777</v>
      </c>
      <c r="C433" s="33" t="s">
        <v>11</v>
      </c>
      <c r="D433" s="33" t="s">
        <v>12</v>
      </c>
      <c r="E433" s="34">
        <v>480.82</v>
      </c>
      <c r="F433" s="33">
        <v>3</v>
      </c>
      <c r="G433" s="34">
        <v>1442.46</v>
      </c>
      <c r="H433" s="33" t="s">
        <v>254</v>
      </c>
      <c r="I433" s="33" t="str">
        <f t="shared" si="12"/>
        <v>Medium sales</v>
      </c>
      <c r="J433" s="33" t="str">
        <f t="shared" si="13"/>
        <v>eligible</v>
      </c>
    </row>
    <row r="434" spans="1:10" x14ac:dyDescent="0.35">
      <c r="A434" s="31">
        <v>45283.414583333331</v>
      </c>
      <c r="B434" s="32">
        <v>0.16855324074074074</v>
      </c>
      <c r="C434" s="33" t="s">
        <v>11</v>
      </c>
      <c r="D434" s="33" t="s">
        <v>27</v>
      </c>
      <c r="E434" s="34">
        <v>103.22</v>
      </c>
      <c r="F434" s="33">
        <v>5</v>
      </c>
      <c r="G434" s="34">
        <v>516.1</v>
      </c>
      <c r="H434" s="33" t="s">
        <v>276</v>
      </c>
      <c r="I434" s="33" t="str">
        <f t="shared" si="12"/>
        <v>Medium sales</v>
      </c>
      <c r="J434" s="33" t="str">
        <f t="shared" si="13"/>
        <v>not eligible</v>
      </c>
    </row>
    <row r="435" spans="1:10" x14ac:dyDescent="0.35">
      <c r="A435" s="31">
        <v>45315.372916666667</v>
      </c>
      <c r="B435" s="32">
        <v>0.74106481481481479</v>
      </c>
      <c r="C435" s="33" t="s">
        <v>14</v>
      </c>
      <c r="D435" s="33" t="s">
        <v>16</v>
      </c>
      <c r="E435" s="34">
        <v>89.11</v>
      </c>
      <c r="F435" s="33">
        <v>3</v>
      </c>
      <c r="G435" s="34">
        <v>267.33</v>
      </c>
      <c r="H435" s="33" t="s">
        <v>87</v>
      </c>
      <c r="I435" s="33" t="str">
        <f t="shared" si="12"/>
        <v>Low sales</v>
      </c>
      <c r="J435" s="33" t="str">
        <f t="shared" si="13"/>
        <v>not eligible</v>
      </c>
    </row>
    <row r="436" spans="1:10" x14ac:dyDescent="0.35">
      <c r="A436" s="31">
        <v>45155.581250000003</v>
      </c>
      <c r="B436" s="32">
        <v>0.56773148148148145</v>
      </c>
      <c r="C436" s="33" t="s">
        <v>11</v>
      </c>
      <c r="D436" s="33" t="s">
        <v>27</v>
      </c>
      <c r="E436" s="34">
        <v>92.04</v>
      </c>
      <c r="F436" s="33">
        <v>4</v>
      </c>
      <c r="G436" s="34">
        <v>368.16</v>
      </c>
      <c r="H436" s="33" t="s">
        <v>75</v>
      </c>
      <c r="I436" s="33" t="str">
        <f t="shared" si="12"/>
        <v>Low sales</v>
      </c>
      <c r="J436" s="33" t="str">
        <f t="shared" si="13"/>
        <v>not eligible</v>
      </c>
    </row>
    <row r="437" spans="1:10" x14ac:dyDescent="0.35">
      <c r="A437" s="31">
        <v>45018.494444444441</v>
      </c>
      <c r="B437" s="32">
        <v>0.84928240740740746</v>
      </c>
      <c r="C437" s="33" t="s">
        <v>11</v>
      </c>
      <c r="D437" s="33" t="s">
        <v>9</v>
      </c>
      <c r="E437" s="34">
        <v>286.63</v>
      </c>
      <c r="F437" s="33">
        <v>5</v>
      </c>
      <c r="G437" s="34">
        <v>1433.15</v>
      </c>
      <c r="H437" s="33" t="s">
        <v>202</v>
      </c>
      <c r="I437" s="33" t="str">
        <f t="shared" si="12"/>
        <v>Medium sales</v>
      </c>
      <c r="J437" s="33" t="str">
        <f t="shared" si="13"/>
        <v>eligible</v>
      </c>
    </row>
    <row r="438" spans="1:10" x14ac:dyDescent="0.35">
      <c r="A438" s="31">
        <v>45409.15625</v>
      </c>
      <c r="B438" s="32">
        <v>0.58767361111111105</v>
      </c>
      <c r="C438" s="33" t="s">
        <v>11</v>
      </c>
      <c r="D438" s="33" t="s">
        <v>27</v>
      </c>
      <c r="E438" s="34">
        <v>248.02</v>
      </c>
      <c r="F438" s="33">
        <v>3</v>
      </c>
      <c r="G438" s="34">
        <v>744.06</v>
      </c>
      <c r="H438" s="33" t="s">
        <v>149</v>
      </c>
      <c r="I438" s="33" t="str">
        <f t="shared" si="12"/>
        <v>Medium sales</v>
      </c>
      <c r="J438" s="33" t="str">
        <f t="shared" si="13"/>
        <v>not eligible</v>
      </c>
    </row>
    <row r="439" spans="1:10" x14ac:dyDescent="0.35">
      <c r="A439" s="31">
        <v>45229.71875</v>
      </c>
      <c r="B439" s="32">
        <v>0.13488425925925926</v>
      </c>
      <c r="C439" s="33" t="s">
        <v>8</v>
      </c>
      <c r="D439" s="33" t="s">
        <v>27</v>
      </c>
      <c r="E439" s="34">
        <v>226.45</v>
      </c>
      <c r="F439" s="33">
        <v>5</v>
      </c>
      <c r="G439" s="34">
        <v>1132.25</v>
      </c>
      <c r="H439" s="33" t="s">
        <v>279</v>
      </c>
      <c r="I439" s="33" t="str">
        <f t="shared" si="12"/>
        <v>Medium sales</v>
      </c>
      <c r="J439" s="33" t="str">
        <f t="shared" si="13"/>
        <v>not eligible</v>
      </c>
    </row>
    <row r="440" spans="1:10" x14ac:dyDescent="0.35">
      <c r="A440" s="31">
        <v>45115.615972222222</v>
      </c>
      <c r="B440" s="32">
        <v>0.56232638888888886</v>
      </c>
      <c r="C440" s="33" t="s">
        <v>11</v>
      </c>
      <c r="D440" s="33" t="s">
        <v>27</v>
      </c>
      <c r="E440" s="34">
        <v>405.71</v>
      </c>
      <c r="F440" s="33">
        <v>3</v>
      </c>
      <c r="G440" s="34">
        <v>1217.1300000000001</v>
      </c>
      <c r="H440" s="33" t="s">
        <v>47</v>
      </c>
      <c r="I440" s="33" t="str">
        <f t="shared" si="12"/>
        <v>Medium sales</v>
      </c>
      <c r="J440" s="33" t="str">
        <f t="shared" si="13"/>
        <v>eligible</v>
      </c>
    </row>
    <row r="441" spans="1:10" x14ac:dyDescent="0.35">
      <c r="A441" s="31">
        <v>45070.022222222222</v>
      </c>
      <c r="B441" s="32">
        <v>0.44302083333333336</v>
      </c>
      <c r="C441" s="33" t="s">
        <v>11</v>
      </c>
      <c r="D441" s="33" t="s">
        <v>12</v>
      </c>
      <c r="E441" s="34">
        <v>146.41999999999999</v>
      </c>
      <c r="F441" s="33">
        <v>5</v>
      </c>
      <c r="G441" s="34">
        <v>732.1</v>
      </c>
      <c r="H441" s="33" t="s">
        <v>280</v>
      </c>
      <c r="I441" s="33" t="str">
        <f t="shared" si="12"/>
        <v>Medium sales</v>
      </c>
      <c r="J441" s="33" t="str">
        <f t="shared" si="13"/>
        <v>not eligible</v>
      </c>
    </row>
    <row r="442" spans="1:10" x14ac:dyDescent="0.35">
      <c r="A442" s="31">
        <v>44988.65902777778</v>
      </c>
      <c r="B442" s="32">
        <v>0.34861111111111115</v>
      </c>
      <c r="C442" s="33" t="s">
        <v>14</v>
      </c>
      <c r="D442" s="33" t="s">
        <v>16</v>
      </c>
      <c r="E442" s="34">
        <v>385.89</v>
      </c>
      <c r="F442" s="33">
        <v>3</v>
      </c>
      <c r="G442" s="34">
        <v>1157.67</v>
      </c>
      <c r="H442" s="33" t="s">
        <v>78</v>
      </c>
      <c r="I442" s="33" t="str">
        <f t="shared" si="12"/>
        <v>Medium sales</v>
      </c>
      <c r="J442" s="33" t="str">
        <f t="shared" si="13"/>
        <v>not eligible</v>
      </c>
    </row>
    <row r="443" spans="1:10" x14ac:dyDescent="0.35">
      <c r="A443" s="31">
        <v>45383.348611111112</v>
      </c>
      <c r="B443" s="32">
        <v>0.40092592592592591</v>
      </c>
      <c r="C443" s="33" t="s">
        <v>14</v>
      </c>
      <c r="D443" s="33" t="s">
        <v>27</v>
      </c>
      <c r="E443" s="34">
        <v>252.98</v>
      </c>
      <c r="F443" s="33">
        <v>5</v>
      </c>
      <c r="G443" s="34">
        <v>1264.9000000000001</v>
      </c>
      <c r="H443" s="33" t="s">
        <v>224</v>
      </c>
      <c r="I443" s="33" t="str">
        <f t="shared" si="12"/>
        <v>Medium sales</v>
      </c>
      <c r="J443" s="33" t="str">
        <f t="shared" si="13"/>
        <v>not eligible</v>
      </c>
    </row>
    <row r="444" spans="1:10" x14ac:dyDescent="0.35">
      <c r="A444" s="31">
        <v>44959.134722222225</v>
      </c>
      <c r="B444" s="32">
        <v>0.74599537037037045</v>
      </c>
      <c r="C444" s="33" t="s">
        <v>11</v>
      </c>
      <c r="D444" s="33" t="s">
        <v>12</v>
      </c>
      <c r="E444" s="34">
        <v>101.35</v>
      </c>
      <c r="F444" s="33">
        <v>4</v>
      </c>
      <c r="G444" s="34">
        <v>405.4</v>
      </c>
      <c r="H444" s="33" t="s">
        <v>195</v>
      </c>
      <c r="I444" s="33" t="str">
        <f t="shared" si="12"/>
        <v>Low sales</v>
      </c>
      <c r="J444" s="33" t="str">
        <f t="shared" si="13"/>
        <v>not eligible</v>
      </c>
    </row>
    <row r="445" spans="1:10" x14ac:dyDescent="0.35">
      <c r="A445" s="31">
        <v>45275.802777777775</v>
      </c>
      <c r="B445" s="32">
        <v>0.23979166666666665</v>
      </c>
      <c r="C445" s="33" t="s">
        <v>14</v>
      </c>
      <c r="D445" s="33" t="s">
        <v>20</v>
      </c>
      <c r="E445" s="34">
        <v>104.83</v>
      </c>
      <c r="F445" s="33">
        <v>3</v>
      </c>
      <c r="G445" s="34">
        <v>314.49</v>
      </c>
      <c r="H445" s="33" t="s">
        <v>281</v>
      </c>
      <c r="I445" s="33" t="str">
        <f t="shared" si="12"/>
        <v>Low sales</v>
      </c>
      <c r="J445" s="33" t="str">
        <f t="shared" si="13"/>
        <v>not eligible</v>
      </c>
    </row>
    <row r="446" spans="1:10" x14ac:dyDescent="0.35">
      <c r="A446" s="31">
        <v>45182.714583333334</v>
      </c>
      <c r="B446" s="32">
        <v>0.14145833333333332</v>
      </c>
      <c r="C446" s="33" t="s">
        <v>11</v>
      </c>
      <c r="D446" s="33" t="s">
        <v>27</v>
      </c>
      <c r="E446" s="34">
        <v>297.97000000000003</v>
      </c>
      <c r="F446" s="33">
        <v>3</v>
      </c>
      <c r="G446" s="34">
        <v>893.91</v>
      </c>
      <c r="H446" s="33" t="s">
        <v>282</v>
      </c>
      <c r="I446" s="33" t="str">
        <f t="shared" si="12"/>
        <v>Medium sales</v>
      </c>
      <c r="J446" s="33" t="str">
        <f t="shared" si="13"/>
        <v>not eligible</v>
      </c>
    </row>
    <row r="447" spans="1:10" x14ac:dyDescent="0.35">
      <c r="A447" s="31">
        <v>45593.63958333333</v>
      </c>
      <c r="B447" s="32">
        <v>0.65864583333333326</v>
      </c>
      <c r="C447" s="33" t="s">
        <v>11</v>
      </c>
      <c r="D447" s="33" t="s">
        <v>16</v>
      </c>
      <c r="E447" s="34">
        <v>158.69</v>
      </c>
      <c r="F447" s="33">
        <v>5</v>
      </c>
      <c r="G447" s="34">
        <v>793.45</v>
      </c>
      <c r="H447" s="33" t="s">
        <v>283</v>
      </c>
      <c r="I447" s="33" t="str">
        <f t="shared" si="12"/>
        <v>Medium sales</v>
      </c>
      <c r="J447" s="33" t="str">
        <f t="shared" si="13"/>
        <v>not eligible</v>
      </c>
    </row>
    <row r="448" spans="1:10" x14ac:dyDescent="0.35">
      <c r="A448" s="31">
        <v>45663.780555555553</v>
      </c>
      <c r="B448" s="32">
        <v>0.50435185185185183</v>
      </c>
      <c r="C448" s="33" t="s">
        <v>8</v>
      </c>
      <c r="D448" s="33" t="s">
        <v>27</v>
      </c>
      <c r="E448" s="34">
        <v>305.20999999999998</v>
      </c>
      <c r="F448" s="33">
        <v>4</v>
      </c>
      <c r="G448" s="34">
        <v>1220.8399999999999</v>
      </c>
      <c r="H448" s="33" t="s">
        <v>218</v>
      </c>
      <c r="I448" s="33" t="str">
        <f t="shared" si="12"/>
        <v>Medium sales</v>
      </c>
      <c r="J448" s="33" t="str">
        <f t="shared" si="13"/>
        <v>not eligible</v>
      </c>
    </row>
    <row r="449" spans="1:10" x14ac:dyDescent="0.35">
      <c r="A449" s="31">
        <v>45550.633333333331</v>
      </c>
      <c r="B449" s="32">
        <v>0.33710648148148148</v>
      </c>
      <c r="C449" s="33" t="s">
        <v>8</v>
      </c>
      <c r="D449" s="33" t="s">
        <v>16</v>
      </c>
      <c r="E449" s="34">
        <v>392.7</v>
      </c>
      <c r="F449" s="33">
        <v>1</v>
      </c>
      <c r="G449" s="34">
        <v>392.7</v>
      </c>
      <c r="H449" s="33" t="s">
        <v>275</v>
      </c>
      <c r="I449" s="33" t="str">
        <f t="shared" si="12"/>
        <v>Low sales</v>
      </c>
      <c r="J449" s="33" t="str">
        <f t="shared" si="13"/>
        <v>not eligible</v>
      </c>
    </row>
    <row r="450" spans="1:10" x14ac:dyDescent="0.35">
      <c r="A450" s="31">
        <v>45659.125</v>
      </c>
      <c r="B450" s="32">
        <v>0.28969907407407408</v>
      </c>
      <c r="C450" s="33" t="s">
        <v>8</v>
      </c>
      <c r="D450" s="33" t="s">
        <v>20</v>
      </c>
      <c r="E450" s="34">
        <v>177.24</v>
      </c>
      <c r="F450" s="33">
        <v>4</v>
      </c>
      <c r="G450" s="34">
        <v>708.96</v>
      </c>
      <c r="H450" s="33" t="s">
        <v>284</v>
      </c>
      <c r="I450" s="33" t="str">
        <f t="shared" si="12"/>
        <v>Medium sales</v>
      </c>
      <c r="J450" s="33" t="str">
        <f t="shared" si="13"/>
        <v>not eligible</v>
      </c>
    </row>
    <row r="451" spans="1:10" x14ac:dyDescent="0.35">
      <c r="A451" s="31">
        <v>45082.473611111112</v>
      </c>
      <c r="B451" s="32">
        <v>0.4522916666666667</v>
      </c>
      <c r="C451" s="33" t="s">
        <v>8</v>
      </c>
      <c r="D451" s="33" t="s">
        <v>9</v>
      </c>
      <c r="E451" s="34">
        <v>149.65</v>
      </c>
      <c r="F451" s="33">
        <v>3</v>
      </c>
      <c r="G451" s="34">
        <v>448.95</v>
      </c>
      <c r="H451" s="33" t="s">
        <v>193</v>
      </c>
      <c r="I451" s="33" t="str">
        <f t="shared" ref="I451:I514" si="14">IF(G451&gt;1500,"High sales", IF(G451&gt;500,"Medium sales", "Low sales"))</f>
        <v>Low sales</v>
      </c>
      <c r="J451" s="33" t="str">
        <f t="shared" ref="J451:J514" si="15">IF(AND(G451&gt;1000,C451="Premium"), "eligible", "not eligible")</f>
        <v>not eligible</v>
      </c>
    </row>
    <row r="452" spans="1:10" x14ac:dyDescent="0.35">
      <c r="A452" s="31">
        <v>45114.150694444441</v>
      </c>
      <c r="B452" s="32">
        <v>0.9262731481481481</v>
      </c>
      <c r="C452" s="33" t="s">
        <v>8</v>
      </c>
      <c r="D452" s="33" t="s">
        <v>16</v>
      </c>
      <c r="E452" s="34">
        <v>69.91</v>
      </c>
      <c r="F452" s="33">
        <v>4</v>
      </c>
      <c r="G452" s="34">
        <v>279.64</v>
      </c>
      <c r="H452" s="33" t="s">
        <v>249</v>
      </c>
      <c r="I452" s="33" t="str">
        <f t="shared" si="14"/>
        <v>Low sales</v>
      </c>
      <c r="J452" s="33" t="str">
        <f t="shared" si="15"/>
        <v>not eligible</v>
      </c>
    </row>
    <row r="453" spans="1:10" x14ac:dyDescent="0.35">
      <c r="A453" s="31">
        <v>44940.217361111114</v>
      </c>
      <c r="B453" s="32">
        <v>0.64490740740740737</v>
      </c>
      <c r="C453" s="33" t="s">
        <v>14</v>
      </c>
      <c r="D453" s="33" t="s">
        <v>9</v>
      </c>
      <c r="E453" s="34">
        <v>296.01</v>
      </c>
      <c r="F453" s="33">
        <v>5</v>
      </c>
      <c r="G453" s="34">
        <v>1480.05</v>
      </c>
      <c r="H453" s="33" t="s">
        <v>114</v>
      </c>
      <c r="I453" s="33" t="str">
        <f t="shared" si="14"/>
        <v>Medium sales</v>
      </c>
      <c r="J453" s="33" t="str">
        <f t="shared" si="15"/>
        <v>not eligible</v>
      </c>
    </row>
    <row r="454" spans="1:10" x14ac:dyDescent="0.35">
      <c r="A454" s="31">
        <v>45174.063888888886</v>
      </c>
      <c r="B454" s="32">
        <v>0.74805555555555558</v>
      </c>
      <c r="C454" s="33" t="s">
        <v>14</v>
      </c>
      <c r="D454" s="33" t="s">
        <v>27</v>
      </c>
      <c r="E454" s="34">
        <v>250.54</v>
      </c>
      <c r="F454" s="33">
        <v>1</v>
      </c>
      <c r="G454" s="34">
        <v>250.54</v>
      </c>
      <c r="H454" s="33" t="s">
        <v>285</v>
      </c>
      <c r="I454" s="33" t="str">
        <f t="shared" si="14"/>
        <v>Low sales</v>
      </c>
      <c r="J454" s="33" t="str">
        <f t="shared" si="15"/>
        <v>not eligible</v>
      </c>
    </row>
    <row r="455" spans="1:10" x14ac:dyDescent="0.35">
      <c r="A455" s="31">
        <v>45622.490972222222</v>
      </c>
      <c r="B455" s="32">
        <v>0.30055555555555552</v>
      </c>
      <c r="C455" s="33" t="s">
        <v>11</v>
      </c>
      <c r="D455" s="33" t="s">
        <v>9</v>
      </c>
      <c r="E455" s="34">
        <v>370.28</v>
      </c>
      <c r="F455" s="33">
        <v>1</v>
      </c>
      <c r="G455" s="34">
        <v>370.28</v>
      </c>
      <c r="H455" s="33" t="s">
        <v>154</v>
      </c>
      <c r="I455" s="33" t="str">
        <f t="shared" si="14"/>
        <v>Low sales</v>
      </c>
      <c r="J455" s="33" t="str">
        <f t="shared" si="15"/>
        <v>not eligible</v>
      </c>
    </row>
    <row r="456" spans="1:10" x14ac:dyDescent="0.35">
      <c r="A456" s="31">
        <v>45099.681250000001</v>
      </c>
      <c r="B456" s="32">
        <v>0.60211805555555553</v>
      </c>
      <c r="C456" s="33" t="s">
        <v>8</v>
      </c>
      <c r="D456" s="33" t="s">
        <v>16</v>
      </c>
      <c r="E456" s="34">
        <v>341.93</v>
      </c>
      <c r="F456" s="33">
        <v>5</v>
      </c>
      <c r="G456" s="34">
        <v>1709.65</v>
      </c>
      <c r="H456" s="33" t="s">
        <v>177</v>
      </c>
      <c r="I456" s="33" t="str">
        <f t="shared" si="14"/>
        <v>High sales</v>
      </c>
      <c r="J456" s="33" t="str">
        <f t="shared" si="15"/>
        <v>not eligible</v>
      </c>
    </row>
    <row r="457" spans="1:10" x14ac:dyDescent="0.35">
      <c r="A457" s="31">
        <v>45649.479166666664</v>
      </c>
      <c r="B457" s="32">
        <v>0.31763888888888886</v>
      </c>
      <c r="C457" s="33" t="s">
        <v>8</v>
      </c>
      <c r="D457" s="33" t="s">
        <v>27</v>
      </c>
      <c r="E457" s="34">
        <v>269.02999999999997</v>
      </c>
      <c r="F457" s="33">
        <v>5</v>
      </c>
      <c r="G457" s="34">
        <v>1345.15</v>
      </c>
      <c r="H457" s="33" t="s">
        <v>286</v>
      </c>
      <c r="I457" s="33" t="str">
        <f t="shared" si="14"/>
        <v>Medium sales</v>
      </c>
      <c r="J457" s="33" t="str">
        <f t="shared" si="15"/>
        <v>not eligible</v>
      </c>
    </row>
    <row r="458" spans="1:10" x14ac:dyDescent="0.35">
      <c r="A458" s="31">
        <v>45135.807638888888</v>
      </c>
      <c r="B458" s="32">
        <v>0.23120370370370369</v>
      </c>
      <c r="C458" s="33" t="s">
        <v>14</v>
      </c>
      <c r="D458" s="33" t="s">
        <v>12</v>
      </c>
      <c r="E458" s="34">
        <v>16.59</v>
      </c>
      <c r="F458" s="33">
        <v>2</v>
      </c>
      <c r="G458" s="34">
        <v>33.18</v>
      </c>
      <c r="H458" s="33" t="s">
        <v>287</v>
      </c>
      <c r="I458" s="33" t="str">
        <f t="shared" si="14"/>
        <v>Low sales</v>
      </c>
      <c r="J458" s="33" t="str">
        <f t="shared" si="15"/>
        <v>not eligible</v>
      </c>
    </row>
    <row r="459" spans="1:10" x14ac:dyDescent="0.35">
      <c r="A459" s="31">
        <v>45305.869444444441</v>
      </c>
      <c r="B459" s="32">
        <v>0.80181712962962959</v>
      </c>
      <c r="C459" s="33" t="s">
        <v>8</v>
      </c>
      <c r="D459" s="33" t="s">
        <v>20</v>
      </c>
      <c r="E459" s="34">
        <v>197.92</v>
      </c>
      <c r="F459" s="33">
        <v>4</v>
      </c>
      <c r="G459" s="34">
        <v>791.68</v>
      </c>
      <c r="H459" s="33" t="s">
        <v>17</v>
      </c>
      <c r="I459" s="33" t="str">
        <f t="shared" si="14"/>
        <v>Medium sales</v>
      </c>
      <c r="J459" s="33" t="str">
        <f t="shared" si="15"/>
        <v>not eligible</v>
      </c>
    </row>
    <row r="460" spans="1:10" x14ac:dyDescent="0.35">
      <c r="A460" s="31">
        <v>44960.040972222225</v>
      </c>
      <c r="B460" s="32">
        <v>0.57173611111111111</v>
      </c>
      <c r="C460" s="33" t="s">
        <v>14</v>
      </c>
      <c r="D460" s="33" t="s">
        <v>12</v>
      </c>
      <c r="E460" s="34">
        <v>400.53</v>
      </c>
      <c r="F460" s="33">
        <v>2</v>
      </c>
      <c r="G460" s="34">
        <v>801.06</v>
      </c>
      <c r="H460" s="33" t="s">
        <v>76</v>
      </c>
      <c r="I460" s="33" t="str">
        <f t="shared" si="14"/>
        <v>Medium sales</v>
      </c>
      <c r="J460" s="33" t="str">
        <f t="shared" si="15"/>
        <v>not eligible</v>
      </c>
    </row>
    <row r="461" spans="1:10" x14ac:dyDescent="0.35">
      <c r="A461" s="31">
        <v>45448.279166666667</v>
      </c>
      <c r="B461" s="32">
        <v>0.49331018518518516</v>
      </c>
      <c r="C461" s="33" t="s">
        <v>11</v>
      </c>
      <c r="D461" s="33" t="s">
        <v>9</v>
      </c>
      <c r="E461" s="34">
        <v>272.38</v>
      </c>
      <c r="F461" s="33">
        <v>1</v>
      </c>
      <c r="G461" s="34">
        <v>272.38</v>
      </c>
      <c r="H461" s="33" t="s">
        <v>288</v>
      </c>
      <c r="I461" s="33" t="str">
        <f t="shared" si="14"/>
        <v>Low sales</v>
      </c>
      <c r="J461" s="33" t="str">
        <f t="shared" si="15"/>
        <v>not eligible</v>
      </c>
    </row>
    <row r="462" spans="1:10" x14ac:dyDescent="0.35">
      <c r="A462" s="31">
        <v>45596.572916666664</v>
      </c>
      <c r="B462" s="32">
        <v>0.10747685185185185</v>
      </c>
      <c r="C462" s="33" t="s">
        <v>11</v>
      </c>
      <c r="D462" s="33" t="s">
        <v>16</v>
      </c>
      <c r="E462" s="34">
        <v>421.9</v>
      </c>
      <c r="F462" s="33">
        <v>2</v>
      </c>
      <c r="G462" s="34">
        <v>843.8</v>
      </c>
      <c r="H462" s="33" t="s">
        <v>289</v>
      </c>
      <c r="I462" s="33" t="str">
        <f t="shared" si="14"/>
        <v>Medium sales</v>
      </c>
      <c r="J462" s="33" t="str">
        <f t="shared" si="15"/>
        <v>not eligible</v>
      </c>
    </row>
    <row r="463" spans="1:10" x14ac:dyDescent="0.35">
      <c r="A463" s="31">
        <v>45284.48541666667</v>
      </c>
      <c r="B463" s="32">
        <v>0.1233449074074074</v>
      </c>
      <c r="C463" s="33" t="s">
        <v>8</v>
      </c>
      <c r="D463" s="33" t="s">
        <v>12</v>
      </c>
      <c r="E463" s="34">
        <v>413.29</v>
      </c>
      <c r="F463" s="33">
        <v>5</v>
      </c>
      <c r="G463" s="34">
        <v>2066.4499999999998</v>
      </c>
      <c r="H463" s="33" t="s">
        <v>290</v>
      </c>
      <c r="I463" s="33" t="str">
        <f t="shared" si="14"/>
        <v>High sales</v>
      </c>
      <c r="J463" s="33" t="str">
        <f t="shared" si="15"/>
        <v>not eligible</v>
      </c>
    </row>
    <row r="464" spans="1:10" x14ac:dyDescent="0.35">
      <c r="A464" s="31">
        <v>44975.018055555556</v>
      </c>
      <c r="B464" s="32">
        <v>0.75199074074074079</v>
      </c>
      <c r="C464" s="33" t="s">
        <v>8</v>
      </c>
      <c r="D464" s="33" t="s">
        <v>12</v>
      </c>
      <c r="E464" s="34">
        <v>271.62</v>
      </c>
      <c r="F464" s="33">
        <v>1</v>
      </c>
      <c r="G464" s="34">
        <v>271.62</v>
      </c>
      <c r="H464" s="33" t="s">
        <v>159</v>
      </c>
      <c r="I464" s="33" t="str">
        <f t="shared" si="14"/>
        <v>Low sales</v>
      </c>
      <c r="J464" s="33" t="str">
        <f t="shared" si="15"/>
        <v>not eligible</v>
      </c>
    </row>
    <row r="465" spans="1:10" x14ac:dyDescent="0.35">
      <c r="A465" s="31">
        <v>44949.972222222219</v>
      </c>
      <c r="B465" s="32">
        <v>0.16452546296296297</v>
      </c>
      <c r="C465" s="33" t="s">
        <v>14</v>
      </c>
      <c r="D465" s="33" t="s">
        <v>12</v>
      </c>
      <c r="E465" s="34">
        <v>359.98</v>
      </c>
      <c r="F465" s="33">
        <v>2</v>
      </c>
      <c r="G465" s="34">
        <v>719.96</v>
      </c>
      <c r="H465" s="33" t="s">
        <v>291</v>
      </c>
      <c r="I465" s="33" t="str">
        <f t="shared" si="14"/>
        <v>Medium sales</v>
      </c>
      <c r="J465" s="33" t="str">
        <f t="shared" si="15"/>
        <v>not eligible</v>
      </c>
    </row>
    <row r="466" spans="1:10" x14ac:dyDescent="0.35">
      <c r="A466" s="31">
        <v>45490.088888888888</v>
      </c>
      <c r="B466" s="32">
        <v>0.44319444444444445</v>
      </c>
      <c r="C466" s="33" t="s">
        <v>8</v>
      </c>
      <c r="D466" s="33" t="s">
        <v>12</v>
      </c>
      <c r="E466" s="34">
        <v>449.69</v>
      </c>
      <c r="F466" s="33">
        <v>3</v>
      </c>
      <c r="G466" s="34">
        <v>1349.07</v>
      </c>
      <c r="H466" s="33" t="s">
        <v>156</v>
      </c>
      <c r="I466" s="33" t="str">
        <f t="shared" si="14"/>
        <v>Medium sales</v>
      </c>
      <c r="J466" s="33" t="str">
        <f t="shared" si="15"/>
        <v>not eligible</v>
      </c>
    </row>
    <row r="467" spans="1:10" x14ac:dyDescent="0.35">
      <c r="A467" s="31">
        <v>45165.752083333333</v>
      </c>
      <c r="B467" s="32">
        <v>0.27717592592592594</v>
      </c>
      <c r="C467" s="33" t="s">
        <v>8</v>
      </c>
      <c r="D467" s="33" t="s">
        <v>27</v>
      </c>
      <c r="E467" s="34">
        <v>352.36</v>
      </c>
      <c r="F467" s="33">
        <v>5</v>
      </c>
      <c r="G467" s="34">
        <v>1761.8</v>
      </c>
      <c r="H467" s="33" t="s">
        <v>292</v>
      </c>
      <c r="I467" s="33" t="str">
        <f t="shared" si="14"/>
        <v>High sales</v>
      </c>
      <c r="J467" s="33" t="str">
        <f t="shared" si="15"/>
        <v>not eligible</v>
      </c>
    </row>
    <row r="468" spans="1:10" x14ac:dyDescent="0.35">
      <c r="A468" s="31">
        <v>45475.436805555553</v>
      </c>
      <c r="B468" s="32">
        <v>0.43124999999999997</v>
      </c>
      <c r="C468" s="33" t="s">
        <v>11</v>
      </c>
      <c r="D468" s="33" t="s">
        <v>20</v>
      </c>
      <c r="E468" s="34">
        <v>342.91</v>
      </c>
      <c r="F468" s="33">
        <v>1</v>
      </c>
      <c r="G468" s="34">
        <v>342.91</v>
      </c>
      <c r="H468" s="33" t="s">
        <v>293</v>
      </c>
      <c r="I468" s="33" t="str">
        <f t="shared" si="14"/>
        <v>Low sales</v>
      </c>
      <c r="J468" s="33" t="str">
        <f t="shared" si="15"/>
        <v>not eligible</v>
      </c>
    </row>
    <row r="469" spans="1:10" x14ac:dyDescent="0.35">
      <c r="A469" s="31">
        <v>45654.033333333333</v>
      </c>
      <c r="B469" s="32">
        <v>0.55930555555555561</v>
      </c>
      <c r="C469" s="33" t="s">
        <v>14</v>
      </c>
      <c r="D469" s="33" t="s">
        <v>20</v>
      </c>
      <c r="E469" s="34">
        <v>162.43</v>
      </c>
      <c r="F469" s="33">
        <v>2</v>
      </c>
      <c r="G469" s="34">
        <v>324.86</v>
      </c>
      <c r="H469" s="33" t="s">
        <v>294</v>
      </c>
      <c r="I469" s="33" t="str">
        <f t="shared" si="14"/>
        <v>Low sales</v>
      </c>
      <c r="J469" s="33" t="str">
        <f t="shared" si="15"/>
        <v>not eligible</v>
      </c>
    </row>
    <row r="470" spans="1:10" x14ac:dyDescent="0.35">
      <c r="A470" s="31">
        <v>45405.998611111114</v>
      </c>
      <c r="B470" s="32">
        <v>0.49576388888888889</v>
      </c>
      <c r="C470" s="33" t="s">
        <v>14</v>
      </c>
      <c r="D470" s="33" t="s">
        <v>27</v>
      </c>
      <c r="E470" s="34">
        <v>361.18</v>
      </c>
      <c r="F470" s="33">
        <v>4</v>
      </c>
      <c r="G470" s="34">
        <v>1444.72</v>
      </c>
      <c r="H470" s="33" t="s">
        <v>44</v>
      </c>
      <c r="I470" s="33" t="str">
        <f t="shared" si="14"/>
        <v>Medium sales</v>
      </c>
      <c r="J470" s="33" t="str">
        <f t="shared" si="15"/>
        <v>not eligible</v>
      </c>
    </row>
    <row r="471" spans="1:10" x14ac:dyDescent="0.35">
      <c r="A471" s="31">
        <v>45146.754166666666</v>
      </c>
      <c r="B471" s="32">
        <v>0.21694444444444447</v>
      </c>
      <c r="C471" s="33" t="s">
        <v>8</v>
      </c>
      <c r="D471" s="33" t="s">
        <v>16</v>
      </c>
      <c r="E471" s="34">
        <v>74.540000000000006</v>
      </c>
      <c r="F471" s="33">
        <v>5</v>
      </c>
      <c r="G471" s="34">
        <v>372.7</v>
      </c>
      <c r="H471" s="33" t="s">
        <v>295</v>
      </c>
      <c r="I471" s="33" t="str">
        <f t="shared" si="14"/>
        <v>Low sales</v>
      </c>
      <c r="J471" s="33" t="str">
        <f t="shared" si="15"/>
        <v>not eligible</v>
      </c>
    </row>
    <row r="472" spans="1:10" x14ac:dyDescent="0.35">
      <c r="A472" s="31">
        <v>45628.785416666666</v>
      </c>
      <c r="B472" s="32">
        <v>0.97081018518518514</v>
      </c>
      <c r="C472" s="33" t="s">
        <v>11</v>
      </c>
      <c r="D472" s="33" t="s">
        <v>12</v>
      </c>
      <c r="E472" s="34">
        <v>222.41</v>
      </c>
      <c r="F472" s="33">
        <v>5</v>
      </c>
      <c r="G472" s="34">
        <v>1112.05</v>
      </c>
      <c r="H472" s="33" t="s">
        <v>238</v>
      </c>
      <c r="I472" s="33" t="str">
        <f t="shared" si="14"/>
        <v>Medium sales</v>
      </c>
      <c r="J472" s="33" t="str">
        <f t="shared" si="15"/>
        <v>eligible</v>
      </c>
    </row>
    <row r="473" spans="1:10" x14ac:dyDescent="0.35">
      <c r="A473" s="31">
        <v>45455.520833333336</v>
      </c>
      <c r="B473" s="32">
        <v>0.38777777777777778</v>
      </c>
      <c r="C473" s="33" t="s">
        <v>14</v>
      </c>
      <c r="D473" s="33" t="s">
        <v>27</v>
      </c>
      <c r="E473" s="34">
        <v>94.66</v>
      </c>
      <c r="F473" s="33">
        <v>4</v>
      </c>
      <c r="G473" s="34">
        <v>378.64</v>
      </c>
      <c r="H473" s="33" t="s">
        <v>73</v>
      </c>
      <c r="I473" s="33" t="str">
        <f t="shared" si="14"/>
        <v>Low sales</v>
      </c>
      <c r="J473" s="33" t="str">
        <f t="shared" si="15"/>
        <v>not eligible</v>
      </c>
    </row>
    <row r="474" spans="1:10" x14ac:dyDescent="0.35">
      <c r="A474" s="31">
        <v>45037.942361111112</v>
      </c>
      <c r="B474" s="32">
        <v>0.22037037037037036</v>
      </c>
      <c r="C474" s="33" t="s">
        <v>8</v>
      </c>
      <c r="D474" s="33" t="s">
        <v>16</v>
      </c>
      <c r="E474" s="34">
        <v>108.85</v>
      </c>
      <c r="F474" s="33">
        <v>4</v>
      </c>
      <c r="G474" s="34">
        <v>435.4</v>
      </c>
      <c r="H474" s="33" t="s">
        <v>200</v>
      </c>
      <c r="I474" s="33" t="str">
        <f t="shared" si="14"/>
        <v>Low sales</v>
      </c>
      <c r="J474" s="33" t="str">
        <f t="shared" si="15"/>
        <v>not eligible</v>
      </c>
    </row>
    <row r="475" spans="1:10" x14ac:dyDescent="0.35">
      <c r="A475" s="31">
        <v>45360.049305555556</v>
      </c>
      <c r="B475" s="32">
        <v>0.38581018518518517</v>
      </c>
      <c r="C475" s="33" t="s">
        <v>8</v>
      </c>
      <c r="D475" s="33" t="s">
        <v>12</v>
      </c>
      <c r="E475" s="34">
        <v>247.9</v>
      </c>
      <c r="F475" s="33">
        <v>1</v>
      </c>
      <c r="G475" s="34">
        <v>247.9</v>
      </c>
      <c r="H475" s="33" t="s">
        <v>296</v>
      </c>
      <c r="I475" s="33" t="str">
        <f t="shared" si="14"/>
        <v>Low sales</v>
      </c>
      <c r="J475" s="33" t="str">
        <f t="shared" si="15"/>
        <v>not eligible</v>
      </c>
    </row>
    <row r="476" spans="1:10" x14ac:dyDescent="0.35">
      <c r="A476" s="31">
        <v>45204.211805555555</v>
      </c>
      <c r="B476" s="32">
        <v>0.86252314814814823</v>
      </c>
      <c r="C476" s="33" t="s">
        <v>8</v>
      </c>
      <c r="D476" s="33" t="s">
        <v>16</v>
      </c>
      <c r="E476" s="34">
        <v>434.81</v>
      </c>
      <c r="F476" s="33">
        <v>5</v>
      </c>
      <c r="G476" s="34">
        <v>2174.0500000000002</v>
      </c>
      <c r="H476" s="33" t="s">
        <v>297</v>
      </c>
      <c r="I476" s="33" t="str">
        <f t="shared" si="14"/>
        <v>High sales</v>
      </c>
      <c r="J476" s="33" t="str">
        <f t="shared" si="15"/>
        <v>not eligible</v>
      </c>
    </row>
    <row r="477" spans="1:10" x14ac:dyDescent="0.35">
      <c r="A477" s="31">
        <v>45429.081944444442</v>
      </c>
      <c r="B477" s="32">
        <v>0.11418981481481481</v>
      </c>
      <c r="C477" s="33" t="s">
        <v>8</v>
      </c>
      <c r="D477" s="33" t="s">
        <v>20</v>
      </c>
      <c r="E477" s="34">
        <v>321.14999999999998</v>
      </c>
      <c r="F477" s="33">
        <v>5</v>
      </c>
      <c r="G477" s="34">
        <v>1605.75</v>
      </c>
      <c r="H477" s="33" t="s">
        <v>227</v>
      </c>
      <c r="I477" s="33" t="str">
        <f t="shared" si="14"/>
        <v>High sales</v>
      </c>
      <c r="J477" s="33" t="str">
        <f t="shared" si="15"/>
        <v>not eligible</v>
      </c>
    </row>
    <row r="478" spans="1:10" x14ac:dyDescent="0.35">
      <c r="A478" s="31">
        <v>45312.984027777777</v>
      </c>
      <c r="B478" s="32">
        <v>0.44298611111111108</v>
      </c>
      <c r="C478" s="33" t="s">
        <v>8</v>
      </c>
      <c r="D478" s="33" t="s">
        <v>27</v>
      </c>
      <c r="E478" s="34">
        <v>268.14</v>
      </c>
      <c r="F478" s="33">
        <v>5</v>
      </c>
      <c r="G478" s="34">
        <v>1340.7</v>
      </c>
      <c r="H478" s="33" t="s">
        <v>31</v>
      </c>
      <c r="I478" s="33" t="str">
        <f t="shared" si="14"/>
        <v>Medium sales</v>
      </c>
      <c r="J478" s="33" t="str">
        <f t="shared" si="15"/>
        <v>not eligible</v>
      </c>
    </row>
    <row r="479" spans="1:10" x14ac:dyDescent="0.35">
      <c r="A479" s="31">
        <v>45042.895138888889</v>
      </c>
      <c r="B479" s="32">
        <v>0.4689814814814815</v>
      </c>
      <c r="C479" s="33" t="s">
        <v>14</v>
      </c>
      <c r="D479" s="33" t="s">
        <v>9</v>
      </c>
      <c r="E479" s="34">
        <v>448.39</v>
      </c>
      <c r="F479" s="33">
        <v>3</v>
      </c>
      <c r="G479" s="34">
        <v>1345.17</v>
      </c>
      <c r="H479" s="33" t="s">
        <v>237</v>
      </c>
      <c r="I479" s="33" t="str">
        <f t="shared" si="14"/>
        <v>Medium sales</v>
      </c>
      <c r="J479" s="33" t="str">
        <f t="shared" si="15"/>
        <v>not eligible</v>
      </c>
    </row>
    <row r="480" spans="1:10" x14ac:dyDescent="0.35">
      <c r="A480" s="31">
        <v>45554.500694444447</v>
      </c>
      <c r="B480" s="32">
        <v>0.67414351851851861</v>
      </c>
      <c r="C480" s="33" t="s">
        <v>14</v>
      </c>
      <c r="D480" s="33" t="s">
        <v>16</v>
      </c>
      <c r="E480" s="34">
        <v>283.77</v>
      </c>
      <c r="F480" s="33">
        <v>5</v>
      </c>
      <c r="G480" s="34">
        <v>1418.85</v>
      </c>
      <c r="H480" s="33" t="s">
        <v>294</v>
      </c>
      <c r="I480" s="33" t="str">
        <f t="shared" si="14"/>
        <v>Medium sales</v>
      </c>
      <c r="J480" s="33" t="str">
        <f t="shared" si="15"/>
        <v>not eligible</v>
      </c>
    </row>
    <row r="481" spans="1:10" x14ac:dyDescent="0.35">
      <c r="A481" s="31">
        <v>45072.583333333336</v>
      </c>
      <c r="B481" s="32">
        <v>0.34041666666666665</v>
      </c>
      <c r="C481" s="33" t="s">
        <v>11</v>
      </c>
      <c r="D481" s="33" t="s">
        <v>9</v>
      </c>
      <c r="E481" s="34">
        <v>250.29</v>
      </c>
      <c r="F481" s="33">
        <v>5</v>
      </c>
      <c r="G481" s="34">
        <v>1251.45</v>
      </c>
      <c r="H481" s="33" t="s">
        <v>293</v>
      </c>
      <c r="I481" s="33" t="str">
        <f t="shared" si="14"/>
        <v>Medium sales</v>
      </c>
      <c r="J481" s="33" t="str">
        <f t="shared" si="15"/>
        <v>eligible</v>
      </c>
    </row>
    <row r="482" spans="1:10" x14ac:dyDescent="0.35">
      <c r="A482" s="31">
        <v>45628.97152777778</v>
      </c>
      <c r="B482" s="32">
        <v>0.45696759259259262</v>
      </c>
      <c r="C482" s="33" t="s">
        <v>11</v>
      </c>
      <c r="D482" s="33" t="s">
        <v>16</v>
      </c>
      <c r="E482" s="34">
        <v>117.74</v>
      </c>
      <c r="F482" s="33">
        <v>2</v>
      </c>
      <c r="G482" s="34">
        <v>235.48</v>
      </c>
      <c r="H482" s="33" t="s">
        <v>298</v>
      </c>
      <c r="I482" s="33" t="str">
        <f t="shared" si="14"/>
        <v>Low sales</v>
      </c>
      <c r="J482" s="33" t="str">
        <f t="shared" si="15"/>
        <v>not eligible</v>
      </c>
    </row>
    <row r="483" spans="1:10" x14ac:dyDescent="0.35">
      <c r="A483" s="31">
        <v>45500.727777777778</v>
      </c>
      <c r="B483" s="32">
        <v>0.46011574074074074</v>
      </c>
      <c r="C483" s="33" t="s">
        <v>14</v>
      </c>
      <c r="D483" s="33" t="s">
        <v>9</v>
      </c>
      <c r="E483" s="34">
        <v>272.45</v>
      </c>
      <c r="F483" s="33">
        <v>5</v>
      </c>
      <c r="G483" s="34">
        <v>1362.25</v>
      </c>
      <c r="H483" s="33" t="s">
        <v>152</v>
      </c>
      <c r="I483" s="33" t="str">
        <f t="shared" si="14"/>
        <v>Medium sales</v>
      </c>
      <c r="J483" s="33" t="str">
        <f t="shared" si="15"/>
        <v>not eligible</v>
      </c>
    </row>
    <row r="484" spans="1:10" x14ac:dyDescent="0.35">
      <c r="A484" s="31">
        <v>45125.90625</v>
      </c>
      <c r="B484" s="32">
        <v>0.49282407407407408</v>
      </c>
      <c r="C484" s="33" t="s">
        <v>8</v>
      </c>
      <c r="D484" s="33" t="s">
        <v>12</v>
      </c>
      <c r="E484" s="34">
        <v>379.17</v>
      </c>
      <c r="F484" s="33">
        <v>2</v>
      </c>
      <c r="G484" s="34">
        <v>758.34</v>
      </c>
      <c r="H484" s="33" t="s">
        <v>299</v>
      </c>
      <c r="I484" s="33" t="str">
        <f t="shared" si="14"/>
        <v>Medium sales</v>
      </c>
      <c r="J484" s="33" t="str">
        <f t="shared" si="15"/>
        <v>not eligible</v>
      </c>
    </row>
    <row r="485" spans="1:10" x14ac:dyDescent="0.35">
      <c r="A485" s="31">
        <v>44979.761111111111</v>
      </c>
      <c r="B485" s="32">
        <v>0.22616898148148148</v>
      </c>
      <c r="C485" s="33" t="s">
        <v>8</v>
      </c>
      <c r="D485" s="33" t="s">
        <v>12</v>
      </c>
      <c r="E485" s="34">
        <v>404.46</v>
      </c>
      <c r="F485" s="33">
        <v>1</v>
      </c>
      <c r="G485" s="34">
        <v>404.46</v>
      </c>
      <c r="H485" s="33" t="s">
        <v>300</v>
      </c>
      <c r="I485" s="33" t="str">
        <f t="shared" si="14"/>
        <v>Low sales</v>
      </c>
      <c r="J485" s="33" t="str">
        <f t="shared" si="15"/>
        <v>not eligible</v>
      </c>
    </row>
    <row r="486" spans="1:10" x14ac:dyDescent="0.35">
      <c r="A486" s="31">
        <v>45017.335416666669</v>
      </c>
      <c r="B486" s="32">
        <v>0.51201388888888888</v>
      </c>
      <c r="C486" s="33" t="s">
        <v>14</v>
      </c>
      <c r="D486" s="33" t="s">
        <v>9</v>
      </c>
      <c r="E486" s="34">
        <v>215.78</v>
      </c>
      <c r="F486" s="33">
        <v>4</v>
      </c>
      <c r="G486" s="34">
        <v>863.12</v>
      </c>
      <c r="H486" s="33" t="s">
        <v>301</v>
      </c>
      <c r="I486" s="33" t="str">
        <f t="shared" si="14"/>
        <v>Medium sales</v>
      </c>
      <c r="J486" s="33" t="str">
        <f t="shared" si="15"/>
        <v>not eligible</v>
      </c>
    </row>
    <row r="487" spans="1:10" x14ac:dyDescent="0.35">
      <c r="A487" s="31">
        <v>45206.35</v>
      </c>
      <c r="B487" s="32">
        <v>0.52659722222222227</v>
      </c>
      <c r="C487" s="33" t="s">
        <v>8</v>
      </c>
      <c r="D487" s="33" t="s">
        <v>16</v>
      </c>
      <c r="E487" s="34">
        <v>105.88</v>
      </c>
      <c r="F487" s="33">
        <v>3</v>
      </c>
      <c r="G487" s="34">
        <v>317.64</v>
      </c>
      <c r="H487" s="33" t="s">
        <v>25</v>
      </c>
      <c r="I487" s="33" t="str">
        <f t="shared" si="14"/>
        <v>Low sales</v>
      </c>
      <c r="J487" s="33" t="str">
        <f t="shared" si="15"/>
        <v>not eligible</v>
      </c>
    </row>
    <row r="488" spans="1:10" x14ac:dyDescent="0.35">
      <c r="A488" s="31">
        <v>45244.759027777778</v>
      </c>
      <c r="B488" s="32">
        <v>2.6770833333333331E-2</v>
      </c>
      <c r="C488" s="33" t="s">
        <v>14</v>
      </c>
      <c r="D488" s="33" t="s">
        <v>9</v>
      </c>
      <c r="E488" s="34">
        <v>416.86</v>
      </c>
      <c r="F488" s="33">
        <v>2</v>
      </c>
      <c r="G488" s="34">
        <v>833.72</v>
      </c>
      <c r="H488" s="33" t="s">
        <v>159</v>
      </c>
      <c r="I488" s="33" t="str">
        <f t="shared" si="14"/>
        <v>Medium sales</v>
      </c>
      <c r="J488" s="33" t="str">
        <f t="shared" si="15"/>
        <v>not eligible</v>
      </c>
    </row>
    <row r="489" spans="1:10" x14ac:dyDescent="0.35">
      <c r="A489" s="31">
        <v>45094.175694444442</v>
      </c>
      <c r="B489" s="32">
        <v>3.4212962962962966E-2</v>
      </c>
      <c r="C489" s="33" t="s">
        <v>14</v>
      </c>
      <c r="D489" s="33" t="s">
        <v>16</v>
      </c>
      <c r="E489" s="34">
        <v>203.02</v>
      </c>
      <c r="F489" s="33">
        <v>1</v>
      </c>
      <c r="G489" s="34">
        <v>203.02</v>
      </c>
      <c r="H489" s="33" t="s">
        <v>191</v>
      </c>
      <c r="I489" s="33" t="str">
        <f t="shared" si="14"/>
        <v>Low sales</v>
      </c>
      <c r="J489" s="33" t="str">
        <f t="shared" si="15"/>
        <v>not eligible</v>
      </c>
    </row>
    <row r="490" spans="1:10" x14ac:dyDescent="0.35">
      <c r="A490" s="31">
        <v>45607.356249999997</v>
      </c>
      <c r="B490" s="32">
        <v>0.49454861111111109</v>
      </c>
      <c r="C490" s="33" t="s">
        <v>14</v>
      </c>
      <c r="D490" s="33" t="s">
        <v>9</v>
      </c>
      <c r="E490" s="34">
        <v>198.61</v>
      </c>
      <c r="F490" s="33">
        <v>2</v>
      </c>
      <c r="G490" s="34">
        <v>397.22</v>
      </c>
      <c r="H490" s="33" t="s">
        <v>17</v>
      </c>
      <c r="I490" s="33" t="str">
        <f t="shared" si="14"/>
        <v>Low sales</v>
      </c>
      <c r="J490" s="33" t="str">
        <f t="shared" si="15"/>
        <v>not eligible</v>
      </c>
    </row>
    <row r="491" spans="1:10" x14ac:dyDescent="0.35">
      <c r="A491" s="31">
        <v>45343.818749999999</v>
      </c>
      <c r="B491" s="32">
        <v>0.91380787037037037</v>
      </c>
      <c r="C491" s="33" t="s">
        <v>14</v>
      </c>
      <c r="D491" s="33" t="s">
        <v>9</v>
      </c>
      <c r="E491" s="34">
        <v>127.65</v>
      </c>
      <c r="F491" s="33">
        <v>4</v>
      </c>
      <c r="G491" s="34">
        <v>510.6</v>
      </c>
      <c r="H491" s="33" t="s">
        <v>145</v>
      </c>
      <c r="I491" s="33" t="str">
        <f t="shared" si="14"/>
        <v>Medium sales</v>
      </c>
      <c r="J491" s="33" t="str">
        <f t="shared" si="15"/>
        <v>not eligible</v>
      </c>
    </row>
    <row r="492" spans="1:10" x14ac:dyDescent="0.35">
      <c r="A492" s="31">
        <v>45235.753472222219</v>
      </c>
      <c r="B492" s="32">
        <v>0.42526620370370366</v>
      </c>
      <c r="C492" s="33" t="s">
        <v>11</v>
      </c>
      <c r="D492" s="33" t="s">
        <v>20</v>
      </c>
      <c r="E492" s="34">
        <v>186.82</v>
      </c>
      <c r="F492" s="33">
        <v>2</v>
      </c>
      <c r="G492" s="34">
        <v>373.64</v>
      </c>
      <c r="H492" s="33" t="s">
        <v>282</v>
      </c>
      <c r="I492" s="33" t="str">
        <f t="shared" si="14"/>
        <v>Low sales</v>
      </c>
      <c r="J492" s="33" t="str">
        <f t="shared" si="15"/>
        <v>not eligible</v>
      </c>
    </row>
    <row r="493" spans="1:10" x14ac:dyDescent="0.35">
      <c r="A493" s="31">
        <v>45176.049305555556</v>
      </c>
      <c r="B493" s="32">
        <v>0.11822916666666666</v>
      </c>
      <c r="C493" s="33" t="s">
        <v>14</v>
      </c>
      <c r="D493" s="33" t="s">
        <v>12</v>
      </c>
      <c r="E493" s="34">
        <v>431.94</v>
      </c>
      <c r="F493" s="33">
        <v>3</v>
      </c>
      <c r="G493" s="34">
        <v>1295.82</v>
      </c>
      <c r="H493" s="33" t="s">
        <v>159</v>
      </c>
      <c r="I493" s="33" t="str">
        <f t="shared" si="14"/>
        <v>Medium sales</v>
      </c>
      <c r="J493" s="33" t="str">
        <f t="shared" si="15"/>
        <v>not eligible</v>
      </c>
    </row>
    <row r="494" spans="1:10" x14ac:dyDescent="0.35">
      <c r="A494" s="31">
        <v>45492.932638888888</v>
      </c>
      <c r="B494" s="32">
        <v>0.92560185185185195</v>
      </c>
      <c r="C494" s="33" t="s">
        <v>14</v>
      </c>
      <c r="D494" s="33" t="s">
        <v>9</v>
      </c>
      <c r="E494" s="34">
        <v>186.68</v>
      </c>
      <c r="F494" s="33">
        <v>1</v>
      </c>
      <c r="G494" s="34">
        <v>186.68</v>
      </c>
      <c r="H494" s="33" t="s">
        <v>102</v>
      </c>
      <c r="I494" s="33" t="str">
        <f t="shared" si="14"/>
        <v>Low sales</v>
      </c>
      <c r="J494" s="33" t="str">
        <f t="shared" si="15"/>
        <v>not eligible</v>
      </c>
    </row>
    <row r="495" spans="1:10" x14ac:dyDescent="0.35">
      <c r="A495" s="31">
        <v>45473.334722222222</v>
      </c>
      <c r="B495" s="32">
        <v>0.40891203703703699</v>
      </c>
      <c r="C495" s="33" t="s">
        <v>14</v>
      </c>
      <c r="D495" s="33" t="s">
        <v>9</v>
      </c>
      <c r="E495" s="34">
        <v>358.59</v>
      </c>
      <c r="F495" s="33">
        <v>3</v>
      </c>
      <c r="G495" s="34">
        <v>1075.77</v>
      </c>
      <c r="H495" s="33" t="s">
        <v>249</v>
      </c>
      <c r="I495" s="33" t="str">
        <f t="shared" si="14"/>
        <v>Medium sales</v>
      </c>
      <c r="J495" s="33" t="str">
        <f t="shared" si="15"/>
        <v>not eligible</v>
      </c>
    </row>
    <row r="496" spans="1:10" x14ac:dyDescent="0.35">
      <c r="A496" s="31">
        <v>45582.026388888888</v>
      </c>
      <c r="B496" s="32">
        <v>0.88156249999999992</v>
      </c>
      <c r="C496" s="33" t="s">
        <v>11</v>
      </c>
      <c r="D496" s="33" t="s">
        <v>9</v>
      </c>
      <c r="E496" s="34">
        <v>153.13</v>
      </c>
      <c r="F496" s="33">
        <v>1</v>
      </c>
      <c r="G496" s="34">
        <v>153.13</v>
      </c>
      <c r="H496" s="33" t="s">
        <v>154</v>
      </c>
      <c r="I496" s="33" t="str">
        <f t="shared" si="14"/>
        <v>Low sales</v>
      </c>
      <c r="J496" s="33" t="str">
        <f t="shared" si="15"/>
        <v>not eligible</v>
      </c>
    </row>
    <row r="497" spans="1:10" x14ac:dyDescent="0.35">
      <c r="A497" s="31">
        <v>45614.162499999999</v>
      </c>
      <c r="B497" s="32">
        <v>0.67878472222222219</v>
      </c>
      <c r="C497" s="33" t="s">
        <v>11</v>
      </c>
      <c r="D497" s="33" t="s">
        <v>16</v>
      </c>
      <c r="E497" s="34">
        <v>145.75</v>
      </c>
      <c r="F497" s="33">
        <v>5</v>
      </c>
      <c r="G497" s="34">
        <v>728.75</v>
      </c>
      <c r="H497" s="33" t="s">
        <v>25</v>
      </c>
      <c r="I497" s="33" t="str">
        <f t="shared" si="14"/>
        <v>Medium sales</v>
      </c>
      <c r="J497" s="33" t="str">
        <f t="shared" si="15"/>
        <v>not eligible</v>
      </c>
    </row>
    <row r="498" spans="1:10" x14ac:dyDescent="0.35">
      <c r="A498" s="31">
        <v>45322.912499999999</v>
      </c>
      <c r="B498" s="32">
        <v>0.26124999999999998</v>
      </c>
      <c r="C498" s="33" t="s">
        <v>8</v>
      </c>
      <c r="D498" s="33" t="s">
        <v>16</v>
      </c>
      <c r="E498" s="34">
        <v>67.209999999999994</v>
      </c>
      <c r="F498" s="33">
        <v>4</v>
      </c>
      <c r="G498" s="34">
        <v>268.83999999999997</v>
      </c>
      <c r="H498" s="33" t="s">
        <v>258</v>
      </c>
      <c r="I498" s="33" t="str">
        <f t="shared" si="14"/>
        <v>Low sales</v>
      </c>
      <c r="J498" s="33" t="str">
        <f t="shared" si="15"/>
        <v>not eligible</v>
      </c>
    </row>
    <row r="499" spans="1:10" x14ac:dyDescent="0.35">
      <c r="A499" s="31">
        <v>44944.928472222222</v>
      </c>
      <c r="B499" s="32">
        <v>1.5648148148148151E-2</v>
      </c>
      <c r="C499" s="33" t="s">
        <v>14</v>
      </c>
      <c r="D499" s="33" t="s">
        <v>27</v>
      </c>
      <c r="E499" s="34">
        <v>177.95</v>
      </c>
      <c r="F499" s="33">
        <v>3</v>
      </c>
      <c r="G499" s="34">
        <v>533.85</v>
      </c>
      <c r="H499" s="33" t="s">
        <v>98</v>
      </c>
      <c r="I499" s="33" t="str">
        <f t="shared" si="14"/>
        <v>Medium sales</v>
      </c>
      <c r="J499" s="33" t="str">
        <f t="shared" si="15"/>
        <v>not eligible</v>
      </c>
    </row>
    <row r="500" spans="1:10" x14ac:dyDescent="0.35">
      <c r="A500" s="31">
        <v>45089.050694444442</v>
      </c>
      <c r="B500" s="32">
        <v>0.53899305555555554</v>
      </c>
      <c r="C500" s="33" t="s">
        <v>11</v>
      </c>
      <c r="D500" s="33" t="s">
        <v>12</v>
      </c>
      <c r="E500" s="34">
        <v>34.4</v>
      </c>
      <c r="F500" s="33">
        <v>5</v>
      </c>
      <c r="G500" s="34">
        <v>172</v>
      </c>
      <c r="H500" s="33" t="s">
        <v>302</v>
      </c>
      <c r="I500" s="33" t="str">
        <f t="shared" si="14"/>
        <v>Low sales</v>
      </c>
      <c r="J500" s="33" t="str">
        <f t="shared" si="15"/>
        <v>not eligible</v>
      </c>
    </row>
    <row r="501" spans="1:10" x14ac:dyDescent="0.35">
      <c r="A501" s="31">
        <v>45004.551388888889</v>
      </c>
      <c r="B501" s="32">
        <v>0.99826388888888884</v>
      </c>
      <c r="C501" s="33" t="s">
        <v>8</v>
      </c>
      <c r="D501" s="33" t="s">
        <v>27</v>
      </c>
      <c r="E501" s="34">
        <v>476.9</v>
      </c>
      <c r="F501" s="33">
        <v>2</v>
      </c>
      <c r="G501" s="34">
        <v>953.8</v>
      </c>
      <c r="H501" s="33" t="s">
        <v>111</v>
      </c>
      <c r="I501" s="33" t="str">
        <f t="shared" si="14"/>
        <v>Medium sales</v>
      </c>
      <c r="J501" s="33" t="str">
        <f t="shared" si="15"/>
        <v>not eligible</v>
      </c>
    </row>
    <row r="502" spans="1:10" x14ac:dyDescent="0.35">
      <c r="A502" s="31">
        <v>45010.059027777781</v>
      </c>
      <c r="B502" s="32">
        <v>0.94396990740740738</v>
      </c>
      <c r="C502" s="33" t="s">
        <v>8</v>
      </c>
      <c r="D502" s="33" t="s">
        <v>16</v>
      </c>
      <c r="E502" s="34">
        <v>49.5</v>
      </c>
      <c r="F502" s="33">
        <v>4</v>
      </c>
      <c r="G502" s="34">
        <v>198</v>
      </c>
      <c r="H502" s="33" t="s">
        <v>105</v>
      </c>
      <c r="I502" s="33" t="str">
        <f t="shared" si="14"/>
        <v>Low sales</v>
      </c>
      <c r="J502" s="33" t="str">
        <f t="shared" si="15"/>
        <v>not eligible</v>
      </c>
    </row>
    <row r="503" spans="1:10" x14ac:dyDescent="0.35">
      <c r="A503" s="31">
        <v>44945.515972222223</v>
      </c>
      <c r="B503" s="32">
        <v>0.66664351851851855</v>
      </c>
      <c r="C503" s="33" t="s">
        <v>14</v>
      </c>
      <c r="D503" s="33" t="s">
        <v>20</v>
      </c>
      <c r="E503" s="34">
        <v>112.56</v>
      </c>
      <c r="F503" s="33">
        <v>2</v>
      </c>
      <c r="G503" s="34">
        <v>225.12</v>
      </c>
      <c r="H503" s="33" t="s">
        <v>303</v>
      </c>
      <c r="I503" s="33" t="str">
        <f t="shared" si="14"/>
        <v>Low sales</v>
      </c>
      <c r="J503" s="33" t="str">
        <f t="shared" si="15"/>
        <v>not eligible</v>
      </c>
    </row>
    <row r="504" spans="1:10" x14ac:dyDescent="0.35">
      <c r="A504" s="31">
        <v>45089.947222222225</v>
      </c>
      <c r="B504" s="32">
        <v>0.77364583333333325</v>
      </c>
      <c r="C504" s="33" t="s">
        <v>11</v>
      </c>
      <c r="D504" s="33" t="s">
        <v>20</v>
      </c>
      <c r="E504" s="34">
        <v>343.82</v>
      </c>
      <c r="F504" s="33">
        <v>5</v>
      </c>
      <c r="G504" s="34">
        <v>1719.1</v>
      </c>
      <c r="H504" s="33" t="s">
        <v>169</v>
      </c>
      <c r="I504" s="33" t="str">
        <f t="shared" si="14"/>
        <v>High sales</v>
      </c>
      <c r="J504" s="33" t="str">
        <f t="shared" si="15"/>
        <v>eligible</v>
      </c>
    </row>
    <row r="505" spans="1:10" x14ac:dyDescent="0.35">
      <c r="A505" s="31">
        <v>45492.120833333334</v>
      </c>
      <c r="B505" s="32">
        <v>0.6363078703703704</v>
      </c>
      <c r="C505" s="33" t="s">
        <v>14</v>
      </c>
      <c r="D505" s="33" t="s">
        <v>16</v>
      </c>
      <c r="E505" s="34">
        <v>121.29</v>
      </c>
      <c r="F505" s="33">
        <v>4</v>
      </c>
      <c r="G505" s="34">
        <v>485.16</v>
      </c>
      <c r="H505" s="33" t="s">
        <v>304</v>
      </c>
      <c r="I505" s="33" t="str">
        <f t="shared" si="14"/>
        <v>Low sales</v>
      </c>
      <c r="J505" s="33" t="str">
        <f t="shared" si="15"/>
        <v>not eligible</v>
      </c>
    </row>
    <row r="506" spans="1:10" x14ac:dyDescent="0.35">
      <c r="A506" s="31">
        <v>45083.991666666669</v>
      </c>
      <c r="B506" s="32">
        <v>0.58550925925925923</v>
      </c>
      <c r="C506" s="33" t="s">
        <v>8</v>
      </c>
      <c r="D506" s="33" t="s">
        <v>20</v>
      </c>
      <c r="E506" s="34">
        <v>282.5</v>
      </c>
      <c r="F506" s="33">
        <v>1</v>
      </c>
      <c r="G506" s="34">
        <v>282.5</v>
      </c>
      <c r="H506" s="33" t="s">
        <v>62</v>
      </c>
      <c r="I506" s="33" t="str">
        <f t="shared" si="14"/>
        <v>Low sales</v>
      </c>
      <c r="J506" s="33" t="str">
        <f t="shared" si="15"/>
        <v>not eligible</v>
      </c>
    </row>
    <row r="507" spans="1:10" x14ac:dyDescent="0.35">
      <c r="A507" s="31">
        <v>45484.749305555553</v>
      </c>
      <c r="B507" s="32">
        <v>0.36940972222222218</v>
      </c>
      <c r="C507" s="33" t="s">
        <v>14</v>
      </c>
      <c r="D507" s="33" t="s">
        <v>20</v>
      </c>
      <c r="E507" s="34">
        <v>463.77</v>
      </c>
      <c r="F507" s="33">
        <v>3</v>
      </c>
      <c r="G507" s="34">
        <v>1391.31</v>
      </c>
      <c r="H507" s="33" t="s">
        <v>305</v>
      </c>
      <c r="I507" s="33" t="str">
        <f t="shared" si="14"/>
        <v>Medium sales</v>
      </c>
      <c r="J507" s="33" t="str">
        <f t="shared" si="15"/>
        <v>not eligible</v>
      </c>
    </row>
    <row r="508" spans="1:10" x14ac:dyDescent="0.35">
      <c r="A508" s="31">
        <v>45428.69027777778</v>
      </c>
      <c r="B508" s="32">
        <v>0.76732638888888882</v>
      </c>
      <c r="C508" s="33" t="s">
        <v>14</v>
      </c>
      <c r="D508" s="33" t="s">
        <v>16</v>
      </c>
      <c r="E508" s="34">
        <v>136.47</v>
      </c>
      <c r="F508" s="33">
        <v>4</v>
      </c>
      <c r="G508" s="34">
        <v>545.88</v>
      </c>
      <c r="H508" s="33" t="s">
        <v>33</v>
      </c>
      <c r="I508" s="33" t="str">
        <f t="shared" si="14"/>
        <v>Medium sales</v>
      </c>
      <c r="J508" s="33" t="str">
        <f t="shared" si="15"/>
        <v>not eligible</v>
      </c>
    </row>
    <row r="509" spans="1:10" x14ac:dyDescent="0.35">
      <c r="A509" s="31">
        <v>45395.23541666667</v>
      </c>
      <c r="B509" s="32">
        <v>7.3819444444444438E-2</v>
      </c>
      <c r="C509" s="33" t="s">
        <v>8</v>
      </c>
      <c r="D509" s="33" t="s">
        <v>16</v>
      </c>
      <c r="E509" s="34">
        <v>180.74</v>
      </c>
      <c r="F509" s="33">
        <v>3</v>
      </c>
      <c r="G509" s="34">
        <v>542.22</v>
      </c>
      <c r="H509" s="33" t="s">
        <v>129</v>
      </c>
      <c r="I509" s="33" t="str">
        <f t="shared" si="14"/>
        <v>Medium sales</v>
      </c>
      <c r="J509" s="33" t="str">
        <f t="shared" si="15"/>
        <v>not eligible</v>
      </c>
    </row>
    <row r="510" spans="1:10" x14ac:dyDescent="0.35">
      <c r="A510" s="31">
        <v>45034.691666666666</v>
      </c>
      <c r="B510" s="32">
        <v>0.16163194444444443</v>
      </c>
      <c r="C510" s="33" t="s">
        <v>11</v>
      </c>
      <c r="D510" s="33" t="s">
        <v>27</v>
      </c>
      <c r="E510" s="34">
        <v>190.71</v>
      </c>
      <c r="F510" s="33">
        <v>3</v>
      </c>
      <c r="G510" s="34">
        <v>572.13</v>
      </c>
      <c r="H510" s="33" t="s">
        <v>85</v>
      </c>
      <c r="I510" s="33" t="str">
        <f t="shared" si="14"/>
        <v>Medium sales</v>
      </c>
      <c r="J510" s="33" t="str">
        <f t="shared" si="15"/>
        <v>not eligible</v>
      </c>
    </row>
    <row r="511" spans="1:10" x14ac:dyDescent="0.35">
      <c r="A511" s="31">
        <v>45086.719444444447</v>
      </c>
      <c r="B511" s="32">
        <v>0.52439814814814811</v>
      </c>
      <c r="C511" s="33" t="s">
        <v>11</v>
      </c>
      <c r="D511" s="33" t="s">
        <v>20</v>
      </c>
      <c r="E511" s="34">
        <v>237.68</v>
      </c>
      <c r="F511" s="33">
        <v>1</v>
      </c>
      <c r="G511" s="34">
        <v>237.68</v>
      </c>
      <c r="H511" s="33" t="s">
        <v>244</v>
      </c>
      <c r="I511" s="33" t="str">
        <f t="shared" si="14"/>
        <v>Low sales</v>
      </c>
      <c r="J511" s="33" t="str">
        <f t="shared" si="15"/>
        <v>not eligible</v>
      </c>
    </row>
    <row r="512" spans="1:10" x14ac:dyDescent="0.35">
      <c r="A512" s="31">
        <v>45082.509027777778</v>
      </c>
      <c r="B512" s="32">
        <v>9.8206018518518512E-2</v>
      </c>
      <c r="C512" s="33" t="s">
        <v>8</v>
      </c>
      <c r="D512" s="33" t="s">
        <v>20</v>
      </c>
      <c r="E512" s="34">
        <v>354.5</v>
      </c>
      <c r="F512" s="33">
        <v>3</v>
      </c>
      <c r="G512" s="34">
        <v>1063.5</v>
      </c>
      <c r="H512" s="33" t="s">
        <v>181</v>
      </c>
      <c r="I512" s="33" t="str">
        <f t="shared" si="14"/>
        <v>Medium sales</v>
      </c>
      <c r="J512" s="33" t="str">
        <f t="shared" si="15"/>
        <v>not eligible</v>
      </c>
    </row>
    <row r="513" spans="1:10" x14ac:dyDescent="0.35">
      <c r="A513" s="31">
        <v>45534.959027777775</v>
      </c>
      <c r="B513" s="32">
        <v>1.2951388888888887E-2</v>
      </c>
      <c r="C513" s="33" t="s">
        <v>8</v>
      </c>
      <c r="D513" s="33" t="s">
        <v>27</v>
      </c>
      <c r="E513" s="34">
        <v>86.19</v>
      </c>
      <c r="F513" s="33">
        <v>5</v>
      </c>
      <c r="G513" s="34">
        <v>430.95</v>
      </c>
      <c r="H513" s="33" t="s">
        <v>69</v>
      </c>
      <c r="I513" s="33" t="str">
        <f t="shared" si="14"/>
        <v>Low sales</v>
      </c>
      <c r="J513" s="33" t="str">
        <f t="shared" si="15"/>
        <v>not eligible</v>
      </c>
    </row>
    <row r="514" spans="1:10" x14ac:dyDescent="0.35">
      <c r="A514" s="31">
        <v>45552.62777777778</v>
      </c>
      <c r="B514" s="32">
        <v>0.70650462962962957</v>
      </c>
      <c r="C514" s="33" t="s">
        <v>14</v>
      </c>
      <c r="D514" s="33" t="s">
        <v>9</v>
      </c>
      <c r="E514" s="34">
        <v>136.33000000000001</v>
      </c>
      <c r="F514" s="33">
        <v>2</v>
      </c>
      <c r="G514" s="34">
        <v>272.66000000000003</v>
      </c>
      <c r="H514" s="33" t="s">
        <v>101</v>
      </c>
      <c r="I514" s="33" t="str">
        <f t="shared" si="14"/>
        <v>Low sales</v>
      </c>
      <c r="J514" s="33" t="str">
        <f t="shared" si="15"/>
        <v>not eligible</v>
      </c>
    </row>
    <row r="515" spans="1:10" x14ac:dyDescent="0.35">
      <c r="A515" s="31">
        <v>45264.918749999997</v>
      </c>
      <c r="B515" s="32">
        <v>0.39890046296296294</v>
      </c>
      <c r="C515" s="33" t="s">
        <v>8</v>
      </c>
      <c r="D515" s="33" t="s">
        <v>12</v>
      </c>
      <c r="E515" s="34">
        <v>118.37</v>
      </c>
      <c r="F515" s="33">
        <v>1</v>
      </c>
      <c r="G515" s="34">
        <v>118.37</v>
      </c>
      <c r="H515" s="33" t="s">
        <v>306</v>
      </c>
      <c r="I515" s="33" t="str">
        <f t="shared" ref="I515:I578" si="16">IF(G515&gt;1500,"High sales", IF(G515&gt;500,"Medium sales", "Low sales"))</f>
        <v>Low sales</v>
      </c>
      <c r="J515" s="33" t="str">
        <f t="shared" ref="J515:J578" si="17">IF(AND(G515&gt;1000,C515="Premium"), "eligible", "not eligible")</f>
        <v>not eligible</v>
      </c>
    </row>
    <row r="516" spans="1:10" x14ac:dyDescent="0.35">
      <c r="A516" s="31">
        <v>44940.107638888891</v>
      </c>
      <c r="B516" s="32">
        <v>0.53991898148148143</v>
      </c>
      <c r="C516" s="33" t="s">
        <v>8</v>
      </c>
      <c r="D516" s="33" t="s">
        <v>9</v>
      </c>
      <c r="E516" s="34">
        <v>146.5</v>
      </c>
      <c r="F516" s="33">
        <v>2</v>
      </c>
      <c r="G516" s="34">
        <v>293</v>
      </c>
      <c r="H516" s="33" t="s">
        <v>307</v>
      </c>
      <c r="I516" s="33" t="str">
        <f t="shared" si="16"/>
        <v>Low sales</v>
      </c>
      <c r="J516" s="33" t="str">
        <f t="shared" si="17"/>
        <v>not eligible</v>
      </c>
    </row>
    <row r="517" spans="1:10" x14ac:dyDescent="0.35">
      <c r="A517" s="31">
        <v>45104.213888888888</v>
      </c>
      <c r="B517" s="32">
        <v>0.40353009259259259</v>
      </c>
      <c r="C517" s="33" t="s">
        <v>14</v>
      </c>
      <c r="D517" s="33" t="s">
        <v>12</v>
      </c>
      <c r="E517" s="34">
        <v>74.67</v>
      </c>
      <c r="F517" s="33">
        <v>2</v>
      </c>
      <c r="G517" s="34">
        <v>149.34</v>
      </c>
      <c r="H517" s="33" t="s">
        <v>140</v>
      </c>
      <c r="I517" s="33" t="str">
        <f t="shared" si="16"/>
        <v>Low sales</v>
      </c>
      <c r="J517" s="33" t="str">
        <f t="shared" si="17"/>
        <v>not eligible</v>
      </c>
    </row>
    <row r="518" spans="1:10" x14ac:dyDescent="0.35">
      <c r="A518" s="31">
        <v>45623.594444444447</v>
      </c>
      <c r="B518" s="32">
        <v>0.69504629629629633</v>
      </c>
      <c r="C518" s="33" t="s">
        <v>11</v>
      </c>
      <c r="D518" s="33" t="s">
        <v>27</v>
      </c>
      <c r="E518" s="34">
        <v>251.59</v>
      </c>
      <c r="F518" s="33">
        <v>3</v>
      </c>
      <c r="G518" s="34">
        <v>754.77</v>
      </c>
      <c r="H518" s="33" t="s">
        <v>36</v>
      </c>
      <c r="I518" s="33" t="str">
        <f t="shared" si="16"/>
        <v>Medium sales</v>
      </c>
      <c r="J518" s="33" t="str">
        <f t="shared" si="17"/>
        <v>not eligible</v>
      </c>
    </row>
    <row r="519" spans="1:10" x14ac:dyDescent="0.35">
      <c r="A519" s="31">
        <v>45153.606249999997</v>
      </c>
      <c r="B519" s="32">
        <v>0.74743055555555549</v>
      </c>
      <c r="C519" s="33" t="s">
        <v>11</v>
      </c>
      <c r="D519" s="33" t="s">
        <v>16</v>
      </c>
      <c r="E519" s="34">
        <v>418.68</v>
      </c>
      <c r="F519" s="33">
        <v>4</v>
      </c>
      <c r="G519" s="34">
        <v>1674.72</v>
      </c>
      <c r="H519" s="33" t="s">
        <v>232</v>
      </c>
      <c r="I519" s="33" t="str">
        <f t="shared" si="16"/>
        <v>High sales</v>
      </c>
      <c r="J519" s="33" t="str">
        <f t="shared" si="17"/>
        <v>eligible</v>
      </c>
    </row>
    <row r="520" spans="1:10" x14ac:dyDescent="0.35">
      <c r="A520" s="31">
        <v>45469.537499999999</v>
      </c>
      <c r="B520" s="32">
        <v>0.72392361111111114</v>
      </c>
      <c r="C520" s="33" t="s">
        <v>11</v>
      </c>
      <c r="D520" s="33" t="s">
        <v>9</v>
      </c>
      <c r="E520" s="34">
        <v>480.43</v>
      </c>
      <c r="F520" s="33">
        <v>2</v>
      </c>
      <c r="G520" s="34">
        <v>960.86</v>
      </c>
      <c r="H520" s="33" t="s">
        <v>118</v>
      </c>
      <c r="I520" s="33" t="str">
        <f t="shared" si="16"/>
        <v>Medium sales</v>
      </c>
      <c r="J520" s="33" t="str">
        <f t="shared" si="17"/>
        <v>not eligible</v>
      </c>
    </row>
    <row r="521" spans="1:10" x14ac:dyDescent="0.35">
      <c r="A521" s="31">
        <v>45406.847222222219</v>
      </c>
      <c r="B521" s="32">
        <v>0.74392361111111116</v>
      </c>
      <c r="C521" s="33" t="s">
        <v>14</v>
      </c>
      <c r="D521" s="33" t="s">
        <v>20</v>
      </c>
      <c r="E521" s="34">
        <v>274.62</v>
      </c>
      <c r="F521" s="33">
        <v>5</v>
      </c>
      <c r="G521" s="34">
        <v>1373.1</v>
      </c>
      <c r="H521" s="33" t="s">
        <v>308</v>
      </c>
      <c r="I521" s="33" t="str">
        <f t="shared" si="16"/>
        <v>Medium sales</v>
      </c>
      <c r="J521" s="33" t="str">
        <f t="shared" si="17"/>
        <v>not eligible</v>
      </c>
    </row>
    <row r="522" spans="1:10" x14ac:dyDescent="0.35">
      <c r="A522" s="31">
        <v>45289.532638888886</v>
      </c>
      <c r="B522" s="32">
        <v>0.58682870370370377</v>
      </c>
      <c r="C522" s="33" t="s">
        <v>8</v>
      </c>
      <c r="D522" s="33" t="s">
        <v>27</v>
      </c>
      <c r="E522" s="34">
        <v>130.08000000000001</v>
      </c>
      <c r="F522" s="33">
        <v>5</v>
      </c>
      <c r="G522" s="34">
        <v>650.4</v>
      </c>
      <c r="H522" s="33" t="s">
        <v>275</v>
      </c>
      <c r="I522" s="33" t="str">
        <f t="shared" si="16"/>
        <v>Medium sales</v>
      </c>
      <c r="J522" s="33" t="str">
        <f t="shared" si="17"/>
        <v>not eligible</v>
      </c>
    </row>
    <row r="523" spans="1:10" x14ac:dyDescent="0.35">
      <c r="A523" s="31">
        <v>45434.181250000001</v>
      </c>
      <c r="B523" s="32">
        <v>0.25415509259259256</v>
      </c>
      <c r="C523" s="33" t="s">
        <v>11</v>
      </c>
      <c r="D523" s="33" t="s">
        <v>27</v>
      </c>
      <c r="E523" s="34">
        <v>391.56</v>
      </c>
      <c r="F523" s="33">
        <v>2</v>
      </c>
      <c r="G523" s="34">
        <v>783.12</v>
      </c>
      <c r="H523" s="33" t="s">
        <v>150</v>
      </c>
      <c r="I523" s="33" t="str">
        <f t="shared" si="16"/>
        <v>Medium sales</v>
      </c>
      <c r="J523" s="33" t="str">
        <f t="shared" si="17"/>
        <v>not eligible</v>
      </c>
    </row>
    <row r="524" spans="1:10" x14ac:dyDescent="0.35">
      <c r="A524" s="31">
        <v>45204.75277777778</v>
      </c>
      <c r="B524" s="32">
        <v>0.3755208333333333</v>
      </c>
      <c r="C524" s="33" t="s">
        <v>14</v>
      </c>
      <c r="D524" s="33" t="s">
        <v>16</v>
      </c>
      <c r="E524" s="34">
        <v>281.86</v>
      </c>
      <c r="F524" s="33">
        <v>1</v>
      </c>
      <c r="G524" s="34">
        <v>281.86</v>
      </c>
      <c r="H524" s="33" t="s">
        <v>181</v>
      </c>
      <c r="I524" s="33" t="str">
        <f t="shared" si="16"/>
        <v>Low sales</v>
      </c>
      <c r="J524" s="33" t="str">
        <f t="shared" si="17"/>
        <v>not eligible</v>
      </c>
    </row>
    <row r="525" spans="1:10" x14ac:dyDescent="0.35">
      <c r="A525" s="31">
        <v>45646.149305555555</v>
      </c>
      <c r="B525" s="32">
        <v>0.51356481481481475</v>
      </c>
      <c r="C525" s="33" t="s">
        <v>8</v>
      </c>
      <c r="D525" s="33" t="s">
        <v>27</v>
      </c>
      <c r="E525" s="34">
        <v>278.89</v>
      </c>
      <c r="F525" s="33">
        <v>1</v>
      </c>
      <c r="G525" s="34">
        <v>278.89</v>
      </c>
      <c r="H525" s="33" t="s">
        <v>228</v>
      </c>
      <c r="I525" s="33" t="str">
        <f t="shared" si="16"/>
        <v>Low sales</v>
      </c>
      <c r="J525" s="33" t="str">
        <f t="shared" si="17"/>
        <v>not eligible</v>
      </c>
    </row>
    <row r="526" spans="1:10" x14ac:dyDescent="0.35">
      <c r="A526" s="31">
        <v>45231.593055555553</v>
      </c>
      <c r="B526" s="32">
        <v>0.84265046296296298</v>
      </c>
      <c r="C526" s="33" t="s">
        <v>8</v>
      </c>
      <c r="D526" s="33" t="s">
        <v>20</v>
      </c>
      <c r="E526" s="34">
        <v>470.47</v>
      </c>
      <c r="F526" s="33">
        <v>4</v>
      </c>
      <c r="G526" s="34">
        <v>1881.88</v>
      </c>
      <c r="H526" s="33" t="s">
        <v>288</v>
      </c>
      <c r="I526" s="33" t="str">
        <f t="shared" si="16"/>
        <v>High sales</v>
      </c>
      <c r="J526" s="33" t="str">
        <f t="shared" si="17"/>
        <v>not eligible</v>
      </c>
    </row>
    <row r="527" spans="1:10" x14ac:dyDescent="0.35">
      <c r="A527" s="31">
        <v>44957.086111111108</v>
      </c>
      <c r="B527" s="32">
        <v>0.51975694444444442</v>
      </c>
      <c r="C527" s="33" t="s">
        <v>8</v>
      </c>
      <c r="D527" s="33" t="s">
        <v>12</v>
      </c>
      <c r="E527" s="34">
        <v>293.20999999999998</v>
      </c>
      <c r="F527" s="33">
        <v>5</v>
      </c>
      <c r="G527" s="34">
        <v>1466.05</v>
      </c>
      <c r="H527" s="33" t="s">
        <v>177</v>
      </c>
      <c r="I527" s="33" t="str">
        <f t="shared" si="16"/>
        <v>Medium sales</v>
      </c>
      <c r="J527" s="33" t="str">
        <f t="shared" si="17"/>
        <v>not eligible</v>
      </c>
    </row>
    <row r="528" spans="1:10" x14ac:dyDescent="0.35">
      <c r="A528" s="31">
        <v>45132.753472222219</v>
      </c>
      <c r="B528" s="32">
        <v>0.39917824074074071</v>
      </c>
      <c r="C528" s="33" t="s">
        <v>11</v>
      </c>
      <c r="D528" s="33" t="s">
        <v>9</v>
      </c>
      <c r="E528" s="34">
        <v>343.2</v>
      </c>
      <c r="F528" s="33">
        <v>2</v>
      </c>
      <c r="G528" s="34">
        <v>686.4</v>
      </c>
      <c r="H528" s="33" t="s">
        <v>239</v>
      </c>
      <c r="I528" s="33" t="str">
        <f t="shared" si="16"/>
        <v>Medium sales</v>
      </c>
      <c r="J528" s="33" t="str">
        <f t="shared" si="17"/>
        <v>not eligible</v>
      </c>
    </row>
    <row r="529" spans="1:10" x14ac:dyDescent="0.35">
      <c r="A529" s="31">
        <v>45434.911111111112</v>
      </c>
      <c r="B529" s="32">
        <v>0.96800925925925929</v>
      </c>
      <c r="C529" s="33" t="s">
        <v>8</v>
      </c>
      <c r="D529" s="33" t="s">
        <v>12</v>
      </c>
      <c r="E529" s="34">
        <v>59.54</v>
      </c>
      <c r="F529" s="33">
        <v>4</v>
      </c>
      <c r="G529" s="34">
        <v>238.16</v>
      </c>
      <c r="H529" s="33" t="s">
        <v>220</v>
      </c>
      <c r="I529" s="33" t="str">
        <f t="shared" si="16"/>
        <v>Low sales</v>
      </c>
      <c r="J529" s="33" t="str">
        <f t="shared" si="17"/>
        <v>not eligible</v>
      </c>
    </row>
    <row r="530" spans="1:10" x14ac:dyDescent="0.35">
      <c r="A530" s="31">
        <v>44999.620833333334</v>
      </c>
      <c r="B530" s="32">
        <v>5.0138888888888893E-2</v>
      </c>
      <c r="C530" s="33" t="s">
        <v>8</v>
      </c>
      <c r="D530" s="33" t="s">
        <v>16</v>
      </c>
      <c r="E530" s="34">
        <v>462.69</v>
      </c>
      <c r="F530" s="33">
        <v>5</v>
      </c>
      <c r="G530" s="34">
        <v>2313.4499999999998</v>
      </c>
      <c r="H530" s="33" t="s">
        <v>140</v>
      </c>
      <c r="I530" s="33" t="str">
        <f t="shared" si="16"/>
        <v>High sales</v>
      </c>
      <c r="J530" s="33" t="str">
        <f t="shared" si="17"/>
        <v>not eligible</v>
      </c>
    </row>
    <row r="531" spans="1:10" x14ac:dyDescent="0.35">
      <c r="A531" s="31">
        <v>45364.560416666667</v>
      </c>
      <c r="B531" s="32">
        <v>0.77378472222222217</v>
      </c>
      <c r="C531" s="33" t="s">
        <v>11</v>
      </c>
      <c r="D531" s="33" t="s">
        <v>20</v>
      </c>
      <c r="E531" s="34">
        <v>333.25</v>
      </c>
      <c r="F531" s="33">
        <v>4</v>
      </c>
      <c r="G531" s="34">
        <v>1333</v>
      </c>
      <c r="H531" s="33" t="s">
        <v>117</v>
      </c>
      <c r="I531" s="33" t="str">
        <f t="shared" si="16"/>
        <v>Medium sales</v>
      </c>
      <c r="J531" s="33" t="str">
        <f t="shared" si="17"/>
        <v>eligible</v>
      </c>
    </row>
    <row r="532" spans="1:10" x14ac:dyDescent="0.35">
      <c r="A532" s="31">
        <v>45663.24722222222</v>
      </c>
      <c r="B532" s="32">
        <v>0.37892361111111111</v>
      </c>
      <c r="C532" s="33" t="s">
        <v>8</v>
      </c>
      <c r="D532" s="33" t="s">
        <v>12</v>
      </c>
      <c r="E532" s="34">
        <v>325.05</v>
      </c>
      <c r="F532" s="33">
        <v>4</v>
      </c>
      <c r="G532" s="34">
        <v>1300.2</v>
      </c>
      <c r="H532" s="33" t="s">
        <v>304</v>
      </c>
      <c r="I532" s="33" t="str">
        <f t="shared" si="16"/>
        <v>Medium sales</v>
      </c>
      <c r="J532" s="33" t="str">
        <f t="shared" si="17"/>
        <v>not eligible</v>
      </c>
    </row>
    <row r="533" spans="1:10" x14ac:dyDescent="0.35">
      <c r="A533" s="31">
        <v>45665.956944444442</v>
      </c>
      <c r="B533" s="32">
        <v>0.8601388888888889</v>
      </c>
      <c r="C533" s="33" t="s">
        <v>8</v>
      </c>
      <c r="D533" s="33" t="s">
        <v>27</v>
      </c>
      <c r="E533" s="34">
        <v>98.83</v>
      </c>
      <c r="F533" s="33">
        <v>2</v>
      </c>
      <c r="G533" s="34">
        <v>197.66</v>
      </c>
      <c r="H533" s="33" t="s">
        <v>309</v>
      </c>
      <c r="I533" s="33" t="str">
        <f t="shared" si="16"/>
        <v>Low sales</v>
      </c>
      <c r="J533" s="33" t="str">
        <f t="shared" si="17"/>
        <v>not eligible</v>
      </c>
    </row>
    <row r="534" spans="1:10" x14ac:dyDescent="0.35">
      <c r="A534" s="31">
        <v>45509.097222222219</v>
      </c>
      <c r="B534" s="32">
        <v>0.52024305555555561</v>
      </c>
      <c r="C534" s="33" t="s">
        <v>11</v>
      </c>
      <c r="D534" s="33" t="s">
        <v>27</v>
      </c>
      <c r="E534" s="34">
        <v>92.72</v>
      </c>
      <c r="F534" s="33">
        <v>5</v>
      </c>
      <c r="G534" s="34">
        <v>463.6</v>
      </c>
      <c r="H534" s="33" t="s">
        <v>254</v>
      </c>
      <c r="I534" s="33" t="str">
        <f t="shared" si="16"/>
        <v>Low sales</v>
      </c>
      <c r="J534" s="33" t="str">
        <f t="shared" si="17"/>
        <v>not eligible</v>
      </c>
    </row>
    <row r="535" spans="1:10" x14ac:dyDescent="0.35">
      <c r="A535" s="31">
        <v>45096.003472222219</v>
      </c>
      <c r="B535" s="32">
        <v>0.91913194444444446</v>
      </c>
      <c r="C535" s="33" t="s">
        <v>14</v>
      </c>
      <c r="D535" s="33" t="s">
        <v>27</v>
      </c>
      <c r="E535" s="34">
        <v>322.95999999999998</v>
      </c>
      <c r="F535" s="33">
        <v>2</v>
      </c>
      <c r="G535" s="34">
        <v>645.91999999999996</v>
      </c>
      <c r="H535" s="33" t="s">
        <v>201</v>
      </c>
      <c r="I535" s="33" t="str">
        <f t="shared" si="16"/>
        <v>Medium sales</v>
      </c>
      <c r="J535" s="33" t="str">
        <f t="shared" si="17"/>
        <v>not eligible</v>
      </c>
    </row>
    <row r="536" spans="1:10" x14ac:dyDescent="0.35">
      <c r="A536" s="31">
        <v>45531.6</v>
      </c>
      <c r="B536" s="32">
        <v>0.30129629629629628</v>
      </c>
      <c r="C536" s="33" t="s">
        <v>14</v>
      </c>
      <c r="D536" s="33" t="s">
        <v>20</v>
      </c>
      <c r="E536" s="34">
        <v>349.74</v>
      </c>
      <c r="F536" s="33">
        <v>2</v>
      </c>
      <c r="G536" s="34">
        <v>699.48</v>
      </c>
      <c r="H536" s="33" t="s">
        <v>237</v>
      </c>
      <c r="I536" s="33" t="str">
        <f t="shared" si="16"/>
        <v>Medium sales</v>
      </c>
      <c r="J536" s="33" t="str">
        <f t="shared" si="17"/>
        <v>not eligible</v>
      </c>
    </row>
    <row r="537" spans="1:10" x14ac:dyDescent="0.35">
      <c r="A537" s="31">
        <v>45270.977777777778</v>
      </c>
      <c r="B537" s="32">
        <v>0.92989583333333325</v>
      </c>
      <c r="C537" s="33" t="s">
        <v>8</v>
      </c>
      <c r="D537" s="33" t="s">
        <v>27</v>
      </c>
      <c r="E537" s="34">
        <v>226.41</v>
      </c>
      <c r="F537" s="33">
        <v>3</v>
      </c>
      <c r="G537" s="34">
        <v>679.23</v>
      </c>
      <c r="H537" s="33" t="s">
        <v>237</v>
      </c>
      <c r="I537" s="33" t="str">
        <f t="shared" si="16"/>
        <v>Medium sales</v>
      </c>
      <c r="J537" s="33" t="str">
        <f t="shared" si="17"/>
        <v>not eligible</v>
      </c>
    </row>
    <row r="538" spans="1:10" x14ac:dyDescent="0.35">
      <c r="A538" s="31">
        <v>45478.087500000001</v>
      </c>
      <c r="B538" s="32">
        <v>0.49337962962962961</v>
      </c>
      <c r="C538" s="33" t="s">
        <v>8</v>
      </c>
      <c r="D538" s="33" t="s">
        <v>9</v>
      </c>
      <c r="E538" s="34">
        <v>31.77</v>
      </c>
      <c r="F538" s="33">
        <v>1</v>
      </c>
      <c r="G538" s="34">
        <v>31.77</v>
      </c>
      <c r="H538" s="33" t="s">
        <v>198</v>
      </c>
      <c r="I538" s="33" t="str">
        <f t="shared" si="16"/>
        <v>Low sales</v>
      </c>
      <c r="J538" s="33" t="str">
        <f t="shared" si="17"/>
        <v>not eligible</v>
      </c>
    </row>
    <row r="539" spans="1:10" x14ac:dyDescent="0.35">
      <c r="A539" s="31">
        <v>45550.295138888891</v>
      </c>
      <c r="B539" s="32">
        <v>0.74627314814814805</v>
      </c>
      <c r="C539" s="33" t="s">
        <v>14</v>
      </c>
      <c r="D539" s="33" t="s">
        <v>16</v>
      </c>
      <c r="E539" s="34">
        <v>411.36</v>
      </c>
      <c r="F539" s="33">
        <v>4</v>
      </c>
      <c r="G539" s="34">
        <v>1645.44</v>
      </c>
      <c r="H539" s="33" t="s">
        <v>97</v>
      </c>
      <c r="I539" s="33" t="str">
        <f t="shared" si="16"/>
        <v>High sales</v>
      </c>
      <c r="J539" s="33" t="str">
        <f t="shared" si="17"/>
        <v>not eligible</v>
      </c>
    </row>
    <row r="540" spans="1:10" x14ac:dyDescent="0.35">
      <c r="A540" s="31">
        <v>45283.34375</v>
      </c>
      <c r="B540" s="32">
        <v>0.86062500000000008</v>
      </c>
      <c r="C540" s="33" t="s">
        <v>11</v>
      </c>
      <c r="D540" s="33" t="s">
        <v>16</v>
      </c>
      <c r="E540" s="34">
        <v>140.62</v>
      </c>
      <c r="F540" s="33">
        <v>5</v>
      </c>
      <c r="G540" s="34">
        <v>703.1</v>
      </c>
      <c r="H540" s="33" t="s">
        <v>207</v>
      </c>
      <c r="I540" s="33" t="str">
        <f t="shared" si="16"/>
        <v>Medium sales</v>
      </c>
      <c r="J540" s="33" t="str">
        <f t="shared" si="17"/>
        <v>not eligible</v>
      </c>
    </row>
    <row r="541" spans="1:10" x14ac:dyDescent="0.35">
      <c r="A541" s="31">
        <v>45634.135416666664</v>
      </c>
      <c r="B541" s="32">
        <v>0.68046296296296294</v>
      </c>
      <c r="C541" s="33" t="s">
        <v>11</v>
      </c>
      <c r="D541" s="33" t="s">
        <v>16</v>
      </c>
      <c r="E541" s="34">
        <v>449.37</v>
      </c>
      <c r="F541" s="33">
        <v>2</v>
      </c>
      <c r="G541" s="34">
        <v>898.74</v>
      </c>
      <c r="H541" s="33" t="s">
        <v>78</v>
      </c>
      <c r="I541" s="33" t="str">
        <f t="shared" si="16"/>
        <v>Medium sales</v>
      </c>
      <c r="J541" s="33" t="str">
        <f t="shared" si="17"/>
        <v>not eligible</v>
      </c>
    </row>
    <row r="542" spans="1:10" x14ac:dyDescent="0.35">
      <c r="A542" s="31">
        <v>45315.132638888892</v>
      </c>
      <c r="B542" s="32">
        <v>0.76892361111111107</v>
      </c>
      <c r="C542" s="33" t="s">
        <v>14</v>
      </c>
      <c r="D542" s="33" t="s">
        <v>27</v>
      </c>
      <c r="E542" s="34">
        <v>294.77</v>
      </c>
      <c r="F542" s="33">
        <v>3</v>
      </c>
      <c r="G542" s="34">
        <v>884.31</v>
      </c>
      <c r="H542" s="33" t="s">
        <v>108</v>
      </c>
      <c r="I542" s="33" t="str">
        <f t="shared" si="16"/>
        <v>Medium sales</v>
      </c>
      <c r="J542" s="33" t="str">
        <f t="shared" si="17"/>
        <v>not eligible</v>
      </c>
    </row>
    <row r="543" spans="1:10" x14ac:dyDescent="0.35">
      <c r="A543" s="31">
        <v>45312.169444444444</v>
      </c>
      <c r="B543" s="32">
        <v>0.82309027777777777</v>
      </c>
      <c r="C543" s="33" t="s">
        <v>8</v>
      </c>
      <c r="D543" s="33" t="s">
        <v>27</v>
      </c>
      <c r="E543" s="34">
        <v>110.59</v>
      </c>
      <c r="F543" s="33">
        <v>2</v>
      </c>
      <c r="G543" s="34">
        <v>221.18</v>
      </c>
      <c r="H543" s="33" t="s">
        <v>310</v>
      </c>
      <c r="I543" s="33" t="str">
        <f t="shared" si="16"/>
        <v>Low sales</v>
      </c>
      <c r="J543" s="33" t="str">
        <f t="shared" si="17"/>
        <v>not eligible</v>
      </c>
    </row>
    <row r="544" spans="1:10" x14ac:dyDescent="0.35">
      <c r="A544" s="31">
        <v>45637.490972222222</v>
      </c>
      <c r="B544" s="32">
        <v>0.63662037037037034</v>
      </c>
      <c r="C544" s="33" t="s">
        <v>8</v>
      </c>
      <c r="D544" s="33" t="s">
        <v>16</v>
      </c>
      <c r="E544" s="34">
        <v>283.27</v>
      </c>
      <c r="F544" s="33">
        <v>2</v>
      </c>
      <c r="G544" s="34">
        <v>566.54</v>
      </c>
      <c r="H544" s="33" t="s">
        <v>226</v>
      </c>
      <c r="I544" s="33" t="str">
        <f t="shared" si="16"/>
        <v>Medium sales</v>
      </c>
      <c r="J544" s="33" t="str">
        <f t="shared" si="17"/>
        <v>not eligible</v>
      </c>
    </row>
    <row r="545" spans="1:10" x14ac:dyDescent="0.35">
      <c r="A545" s="31">
        <v>45469.431944444441</v>
      </c>
      <c r="B545" s="32">
        <v>0.68518518518518512</v>
      </c>
      <c r="C545" s="33" t="s">
        <v>11</v>
      </c>
      <c r="D545" s="33" t="s">
        <v>16</v>
      </c>
      <c r="E545" s="34">
        <v>421.74</v>
      </c>
      <c r="F545" s="33">
        <v>5</v>
      </c>
      <c r="G545" s="34">
        <v>2108.6999999999998</v>
      </c>
      <c r="H545" s="33" t="s">
        <v>59</v>
      </c>
      <c r="I545" s="33" t="str">
        <f t="shared" si="16"/>
        <v>High sales</v>
      </c>
      <c r="J545" s="33" t="str">
        <f t="shared" si="17"/>
        <v>eligible</v>
      </c>
    </row>
    <row r="546" spans="1:10" x14ac:dyDescent="0.35">
      <c r="A546" s="31">
        <v>45463.154861111114</v>
      </c>
      <c r="B546" s="32">
        <v>0.77700231481481474</v>
      </c>
      <c r="C546" s="33" t="s">
        <v>11</v>
      </c>
      <c r="D546" s="33" t="s">
        <v>12</v>
      </c>
      <c r="E546" s="34">
        <v>276.89999999999998</v>
      </c>
      <c r="F546" s="33">
        <v>2</v>
      </c>
      <c r="G546" s="34">
        <v>553.79999999999995</v>
      </c>
      <c r="H546" s="33" t="s">
        <v>311</v>
      </c>
      <c r="I546" s="33" t="str">
        <f t="shared" si="16"/>
        <v>Medium sales</v>
      </c>
      <c r="J546" s="33" t="str">
        <f t="shared" si="17"/>
        <v>not eligible</v>
      </c>
    </row>
    <row r="547" spans="1:10" x14ac:dyDescent="0.35">
      <c r="A547" s="31">
        <v>45491.09652777778</v>
      </c>
      <c r="B547" s="32">
        <v>0.91331018518518514</v>
      </c>
      <c r="C547" s="33" t="s">
        <v>14</v>
      </c>
      <c r="D547" s="33" t="s">
        <v>27</v>
      </c>
      <c r="E547" s="34">
        <v>38.619999999999997</v>
      </c>
      <c r="F547" s="33">
        <v>1</v>
      </c>
      <c r="G547" s="34">
        <v>38.619999999999997</v>
      </c>
      <c r="H547" s="33" t="s">
        <v>312</v>
      </c>
      <c r="I547" s="33" t="str">
        <f t="shared" si="16"/>
        <v>Low sales</v>
      </c>
      <c r="J547" s="33" t="str">
        <f t="shared" si="17"/>
        <v>not eligible</v>
      </c>
    </row>
    <row r="548" spans="1:10" x14ac:dyDescent="0.35">
      <c r="A548" s="31">
        <v>45394.552777777775</v>
      </c>
      <c r="B548" s="32">
        <v>0.73149305555555555</v>
      </c>
      <c r="C548" s="33" t="s">
        <v>14</v>
      </c>
      <c r="D548" s="33" t="s">
        <v>9</v>
      </c>
      <c r="E548" s="34">
        <v>348.3</v>
      </c>
      <c r="F548" s="33">
        <v>4</v>
      </c>
      <c r="G548" s="34">
        <v>1393.2</v>
      </c>
      <c r="H548" s="33" t="s">
        <v>31</v>
      </c>
      <c r="I548" s="33" t="str">
        <f t="shared" si="16"/>
        <v>Medium sales</v>
      </c>
      <c r="J548" s="33" t="str">
        <f t="shared" si="17"/>
        <v>not eligible</v>
      </c>
    </row>
    <row r="549" spans="1:10" x14ac:dyDescent="0.35">
      <c r="A549" s="31">
        <v>45477.79791666667</v>
      </c>
      <c r="B549" s="32">
        <v>0.1292939814814815</v>
      </c>
      <c r="C549" s="33" t="s">
        <v>8</v>
      </c>
      <c r="D549" s="33" t="s">
        <v>20</v>
      </c>
      <c r="E549" s="34">
        <v>239.4</v>
      </c>
      <c r="F549" s="33">
        <v>4</v>
      </c>
      <c r="G549" s="34">
        <v>957.6</v>
      </c>
      <c r="H549" s="33" t="s">
        <v>313</v>
      </c>
      <c r="I549" s="33" t="str">
        <f t="shared" si="16"/>
        <v>Medium sales</v>
      </c>
      <c r="J549" s="33" t="str">
        <f t="shared" si="17"/>
        <v>not eligible</v>
      </c>
    </row>
    <row r="550" spans="1:10" x14ac:dyDescent="0.35">
      <c r="A550" s="31">
        <v>45051.411805555559</v>
      </c>
      <c r="B550" s="32">
        <v>0.28002314814814816</v>
      </c>
      <c r="C550" s="33" t="s">
        <v>11</v>
      </c>
      <c r="D550" s="33" t="s">
        <v>12</v>
      </c>
      <c r="E550" s="34">
        <v>149.38</v>
      </c>
      <c r="F550" s="33">
        <v>5</v>
      </c>
      <c r="G550" s="34">
        <v>746.9</v>
      </c>
      <c r="H550" s="33" t="s">
        <v>314</v>
      </c>
      <c r="I550" s="33" t="str">
        <f t="shared" si="16"/>
        <v>Medium sales</v>
      </c>
      <c r="J550" s="33" t="str">
        <f t="shared" si="17"/>
        <v>not eligible</v>
      </c>
    </row>
    <row r="551" spans="1:10" x14ac:dyDescent="0.35">
      <c r="A551" s="31">
        <v>45078.928472222222</v>
      </c>
      <c r="B551" s="32">
        <v>0.49025462962962968</v>
      </c>
      <c r="C551" s="33" t="s">
        <v>11</v>
      </c>
      <c r="D551" s="33" t="s">
        <v>9</v>
      </c>
      <c r="E551" s="34">
        <v>434.26</v>
      </c>
      <c r="F551" s="33">
        <v>3</v>
      </c>
      <c r="G551" s="34">
        <v>1302.78</v>
      </c>
      <c r="H551" s="33" t="s">
        <v>42</v>
      </c>
      <c r="I551" s="33" t="str">
        <f t="shared" si="16"/>
        <v>Medium sales</v>
      </c>
      <c r="J551" s="33" t="str">
        <f t="shared" si="17"/>
        <v>eligible</v>
      </c>
    </row>
    <row r="552" spans="1:10" x14ac:dyDescent="0.35">
      <c r="A552" s="31">
        <v>45510.577777777777</v>
      </c>
      <c r="B552" s="32">
        <v>0.8639930555555555</v>
      </c>
      <c r="C552" s="33" t="s">
        <v>14</v>
      </c>
      <c r="D552" s="33" t="s">
        <v>27</v>
      </c>
      <c r="E552" s="34">
        <v>445.17</v>
      </c>
      <c r="F552" s="33">
        <v>1</v>
      </c>
      <c r="G552" s="34">
        <v>445.17</v>
      </c>
      <c r="H552" s="33" t="s">
        <v>233</v>
      </c>
      <c r="I552" s="33" t="str">
        <f t="shared" si="16"/>
        <v>Low sales</v>
      </c>
      <c r="J552" s="33" t="str">
        <f t="shared" si="17"/>
        <v>not eligible</v>
      </c>
    </row>
    <row r="553" spans="1:10" x14ac:dyDescent="0.35">
      <c r="A553" s="31">
        <v>44980.164583333331</v>
      </c>
      <c r="B553" s="32">
        <v>1.34375E-2</v>
      </c>
      <c r="C553" s="33" t="s">
        <v>11</v>
      </c>
      <c r="D553" s="33" t="s">
        <v>27</v>
      </c>
      <c r="E553" s="34">
        <v>442.16</v>
      </c>
      <c r="F553" s="33">
        <v>1</v>
      </c>
      <c r="G553" s="34">
        <v>442.16</v>
      </c>
      <c r="H553" s="33" t="s">
        <v>315</v>
      </c>
      <c r="I553" s="33" t="str">
        <f t="shared" si="16"/>
        <v>Low sales</v>
      </c>
      <c r="J553" s="33" t="str">
        <f t="shared" si="17"/>
        <v>not eligible</v>
      </c>
    </row>
    <row r="554" spans="1:10" x14ac:dyDescent="0.35">
      <c r="A554" s="31">
        <v>45139.154166666667</v>
      </c>
      <c r="B554" s="32">
        <v>0.80244212962962969</v>
      </c>
      <c r="C554" s="33" t="s">
        <v>8</v>
      </c>
      <c r="D554" s="33" t="s">
        <v>27</v>
      </c>
      <c r="E554" s="34">
        <v>19.22</v>
      </c>
      <c r="F554" s="33">
        <v>2</v>
      </c>
      <c r="G554" s="34">
        <v>38.44</v>
      </c>
      <c r="H554" s="33" t="s">
        <v>260</v>
      </c>
      <c r="I554" s="33" t="str">
        <f t="shared" si="16"/>
        <v>Low sales</v>
      </c>
      <c r="J554" s="33" t="str">
        <f t="shared" si="17"/>
        <v>not eligible</v>
      </c>
    </row>
    <row r="555" spans="1:10" x14ac:dyDescent="0.35">
      <c r="A555" s="31">
        <v>44942.289583333331</v>
      </c>
      <c r="B555" s="32">
        <v>0.21462962962962961</v>
      </c>
      <c r="C555" s="33" t="s">
        <v>8</v>
      </c>
      <c r="D555" s="33" t="s">
        <v>9</v>
      </c>
      <c r="E555" s="34">
        <v>275.31</v>
      </c>
      <c r="F555" s="33">
        <v>1</v>
      </c>
      <c r="G555" s="34">
        <v>275.31</v>
      </c>
      <c r="H555" s="33" t="s">
        <v>178</v>
      </c>
      <c r="I555" s="33" t="str">
        <f t="shared" si="16"/>
        <v>Low sales</v>
      </c>
      <c r="J555" s="33" t="str">
        <f t="shared" si="17"/>
        <v>not eligible</v>
      </c>
    </row>
    <row r="556" spans="1:10" x14ac:dyDescent="0.35">
      <c r="A556" s="31">
        <v>45067.910416666666</v>
      </c>
      <c r="B556" s="32">
        <v>0.92554398148148154</v>
      </c>
      <c r="C556" s="33" t="s">
        <v>8</v>
      </c>
      <c r="D556" s="33" t="s">
        <v>16</v>
      </c>
      <c r="E556" s="34">
        <v>303.91000000000003</v>
      </c>
      <c r="F556" s="33">
        <v>4</v>
      </c>
      <c r="G556" s="34">
        <v>1215.6400000000001</v>
      </c>
      <c r="H556" s="33" t="s">
        <v>181</v>
      </c>
      <c r="I556" s="33" t="str">
        <f t="shared" si="16"/>
        <v>Medium sales</v>
      </c>
      <c r="J556" s="33" t="str">
        <f t="shared" si="17"/>
        <v>not eligible</v>
      </c>
    </row>
    <row r="557" spans="1:10" x14ac:dyDescent="0.35">
      <c r="A557" s="31">
        <v>45162.96597222222</v>
      </c>
      <c r="B557" s="32">
        <v>2.9976851851851848E-3</v>
      </c>
      <c r="C557" s="33" t="s">
        <v>14</v>
      </c>
      <c r="D557" s="33" t="s">
        <v>12</v>
      </c>
      <c r="E557" s="34">
        <v>276.14</v>
      </c>
      <c r="F557" s="33">
        <v>3</v>
      </c>
      <c r="G557" s="34">
        <v>828.42</v>
      </c>
      <c r="H557" s="33" t="s">
        <v>89</v>
      </c>
      <c r="I557" s="33" t="str">
        <f t="shared" si="16"/>
        <v>Medium sales</v>
      </c>
      <c r="J557" s="33" t="str">
        <f t="shared" si="17"/>
        <v>not eligible</v>
      </c>
    </row>
    <row r="558" spans="1:10" x14ac:dyDescent="0.35">
      <c r="A558" s="31">
        <v>45414.168749999997</v>
      </c>
      <c r="B558" s="32">
        <v>0.89627314814814818</v>
      </c>
      <c r="C558" s="33" t="s">
        <v>8</v>
      </c>
      <c r="D558" s="33" t="s">
        <v>9</v>
      </c>
      <c r="E558" s="34">
        <v>59.06</v>
      </c>
      <c r="F558" s="33">
        <v>2</v>
      </c>
      <c r="G558" s="34">
        <v>118.12</v>
      </c>
      <c r="H558" s="33" t="s">
        <v>61</v>
      </c>
      <c r="I558" s="33" t="str">
        <f t="shared" si="16"/>
        <v>Low sales</v>
      </c>
      <c r="J558" s="33" t="str">
        <f t="shared" si="17"/>
        <v>not eligible</v>
      </c>
    </row>
    <row r="559" spans="1:10" x14ac:dyDescent="0.35">
      <c r="A559" s="31">
        <v>45030.27847222222</v>
      </c>
      <c r="B559" s="32">
        <v>0.31425925925925924</v>
      </c>
      <c r="C559" s="33" t="s">
        <v>8</v>
      </c>
      <c r="D559" s="33" t="s">
        <v>20</v>
      </c>
      <c r="E559" s="34">
        <v>204.9</v>
      </c>
      <c r="F559" s="33">
        <v>1</v>
      </c>
      <c r="G559" s="34">
        <v>204.9</v>
      </c>
      <c r="H559" s="33" t="s">
        <v>316</v>
      </c>
      <c r="I559" s="33" t="str">
        <f t="shared" si="16"/>
        <v>Low sales</v>
      </c>
      <c r="J559" s="33" t="str">
        <f t="shared" si="17"/>
        <v>not eligible</v>
      </c>
    </row>
    <row r="560" spans="1:10" x14ac:dyDescent="0.35">
      <c r="A560" s="31">
        <v>45238.611805555556</v>
      </c>
      <c r="B560" s="32">
        <v>0.75150462962962961</v>
      </c>
      <c r="C560" s="33" t="s">
        <v>8</v>
      </c>
      <c r="D560" s="33" t="s">
        <v>27</v>
      </c>
      <c r="E560" s="34">
        <v>148.65</v>
      </c>
      <c r="F560" s="33">
        <v>5</v>
      </c>
      <c r="G560" s="34">
        <v>743.25</v>
      </c>
      <c r="H560" s="33" t="s">
        <v>224</v>
      </c>
      <c r="I560" s="33" t="str">
        <f t="shared" si="16"/>
        <v>Medium sales</v>
      </c>
      <c r="J560" s="33" t="str">
        <f t="shared" si="17"/>
        <v>not eligible</v>
      </c>
    </row>
    <row r="561" spans="1:10" x14ac:dyDescent="0.35">
      <c r="A561" s="31">
        <v>45157.351388888892</v>
      </c>
      <c r="B561" s="32">
        <v>0.67084490740740732</v>
      </c>
      <c r="C561" s="33" t="s">
        <v>8</v>
      </c>
      <c r="D561" s="33" t="s">
        <v>16</v>
      </c>
      <c r="E561" s="34">
        <v>450.45</v>
      </c>
      <c r="F561" s="33">
        <v>1</v>
      </c>
      <c r="G561" s="34">
        <v>450.45</v>
      </c>
      <c r="H561" s="33" t="s">
        <v>317</v>
      </c>
      <c r="I561" s="33" t="str">
        <f t="shared" si="16"/>
        <v>Low sales</v>
      </c>
      <c r="J561" s="33" t="str">
        <f t="shared" si="17"/>
        <v>not eligible</v>
      </c>
    </row>
    <row r="562" spans="1:10" x14ac:dyDescent="0.35">
      <c r="A562" s="31">
        <v>45612.746527777781</v>
      </c>
      <c r="B562" s="32">
        <v>5.6064814814814817E-2</v>
      </c>
      <c r="C562" s="33" t="s">
        <v>14</v>
      </c>
      <c r="D562" s="33" t="s">
        <v>16</v>
      </c>
      <c r="E562" s="34">
        <v>202.53</v>
      </c>
      <c r="F562" s="33">
        <v>2</v>
      </c>
      <c r="G562" s="34">
        <v>405.06</v>
      </c>
      <c r="H562" s="33" t="s">
        <v>277</v>
      </c>
      <c r="I562" s="33" t="str">
        <f t="shared" si="16"/>
        <v>Low sales</v>
      </c>
      <c r="J562" s="33" t="str">
        <f t="shared" si="17"/>
        <v>not eligible</v>
      </c>
    </row>
    <row r="563" spans="1:10" x14ac:dyDescent="0.35">
      <c r="A563" s="31">
        <v>45021.415277777778</v>
      </c>
      <c r="B563" s="32">
        <v>0.36237268518518517</v>
      </c>
      <c r="C563" s="33" t="s">
        <v>14</v>
      </c>
      <c r="D563" s="33" t="s">
        <v>9</v>
      </c>
      <c r="E563" s="34">
        <v>275.2</v>
      </c>
      <c r="F563" s="33">
        <v>3</v>
      </c>
      <c r="G563" s="34">
        <v>825.6</v>
      </c>
      <c r="H563" s="33" t="s">
        <v>110</v>
      </c>
      <c r="I563" s="33" t="str">
        <f t="shared" si="16"/>
        <v>Medium sales</v>
      </c>
      <c r="J563" s="33" t="str">
        <f t="shared" si="17"/>
        <v>not eligible</v>
      </c>
    </row>
    <row r="564" spans="1:10" x14ac:dyDescent="0.35">
      <c r="A564" s="31">
        <v>44988.792361111111</v>
      </c>
      <c r="B564" s="32">
        <v>5.4398148148148147E-2</v>
      </c>
      <c r="C564" s="33" t="s">
        <v>8</v>
      </c>
      <c r="D564" s="33" t="s">
        <v>9</v>
      </c>
      <c r="E564" s="34">
        <v>267.64</v>
      </c>
      <c r="F564" s="33">
        <v>3</v>
      </c>
      <c r="G564" s="34">
        <v>802.92</v>
      </c>
      <c r="H564" s="33" t="s">
        <v>233</v>
      </c>
      <c r="I564" s="33" t="str">
        <f t="shared" si="16"/>
        <v>Medium sales</v>
      </c>
      <c r="J564" s="33" t="str">
        <f t="shared" si="17"/>
        <v>not eligible</v>
      </c>
    </row>
    <row r="565" spans="1:10" x14ac:dyDescent="0.35">
      <c r="A565" s="31">
        <v>45245.924305555556</v>
      </c>
      <c r="B565" s="32">
        <v>0.12170138888888889</v>
      </c>
      <c r="C565" s="33" t="s">
        <v>14</v>
      </c>
      <c r="D565" s="33" t="s">
        <v>16</v>
      </c>
      <c r="E565" s="34">
        <v>468.89</v>
      </c>
      <c r="F565" s="33">
        <v>4</v>
      </c>
      <c r="G565" s="34">
        <v>1875.56</v>
      </c>
      <c r="H565" s="33" t="s">
        <v>231</v>
      </c>
      <c r="I565" s="33" t="str">
        <f t="shared" si="16"/>
        <v>High sales</v>
      </c>
      <c r="J565" s="33" t="str">
        <f t="shared" si="17"/>
        <v>not eligible</v>
      </c>
    </row>
    <row r="566" spans="1:10" x14ac:dyDescent="0.35">
      <c r="A566" s="31">
        <v>44948.584722222222</v>
      </c>
      <c r="B566" s="32">
        <v>0.65456018518518522</v>
      </c>
      <c r="C566" s="33" t="s">
        <v>14</v>
      </c>
      <c r="D566" s="33" t="s">
        <v>12</v>
      </c>
      <c r="E566" s="34">
        <v>110.84</v>
      </c>
      <c r="F566" s="33">
        <v>1</v>
      </c>
      <c r="G566" s="34">
        <v>110.84</v>
      </c>
      <c r="H566" s="33" t="s">
        <v>138</v>
      </c>
      <c r="I566" s="33" t="str">
        <f t="shared" si="16"/>
        <v>Low sales</v>
      </c>
      <c r="J566" s="33" t="str">
        <f t="shared" si="17"/>
        <v>not eligible</v>
      </c>
    </row>
    <row r="567" spans="1:10" x14ac:dyDescent="0.35">
      <c r="A567" s="31">
        <v>45491.404861111114</v>
      </c>
      <c r="B567" s="32">
        <v>0.35697916666666668</v>
      </c>
      <c r="C567" s="33" t="s">
        <v>11</v>
      </c>
      <c r="D567" s="33" t="s">
        <v>9</v>
      </c>
      <c r="E567" s="34">
        <v>326.66000000000003</v>
      </c>
      <c r="F567" s="33">
        <v>2</v>
      </c>
      <c r="G567" s="34">
        <v>653.32000000000005</v>
      </c>
      <c r="H567" s="33" t="s">
        <v>122</v>
      </c>
      <c r="I567" s="33" t="str">
        <f t="shared" si="16"/>
        <v>Medium sales</v>
      </c>
      <c r="J567" s="33" t="str">
        <f t="shared" si="17"/>
        <v>not eligible</v>
      </c>
    </row>
    <row r="568" spans="1:10" x14ac:dyDescent="0.35">
      <c r="A568" s="31">
        <v>45491.940972222219</v>
      </c>
      <c r="B568" s="32">
        <v>0.62693287037037038</v>
      </c>
      <c r="C568" s="33" t="s">
        <v>11</v>
      </c>
      <c r="D568" s="33" t="s">
        <v>20</v>
      </c>
      <c r="E568" s="34">
        <v>203.83</v>
      </c>
      <c r="F568" s="33">
        <v>3</v>
      </c>
      <c r="G568" s="34">
        <v>611.49</v>
      </c>
      <c r="H568" s="33" t="s">
        <v>318</v>
      </c>
      <c r="I568" s="33" t="str">
        <f t="shared" si="16"/>
        <v>Medium sales</v>
      </c>
      <c r="J568" s="33" t="str">
        <f t="shared" si="17"/>
        <v>not eligible</v>
      </c>
    </row>
    <row r="569" spans="1:10" x14ac:dyDescent="0.35">
      <c r="A569" s="31">
        <v>45623.634027777778</v>
      </c>
      <c r="B569" s="32">
        <v>0.33103009259259258</v>
      </c>
      <c r="C569" s="33" t="s">
        <v>11</v>
      </c>
      <c r="D569" s="33" t="s">
        <v>16</v>
      </c>
      <c r="E569" s="34">
        <v>274.32</v>
      </c>
      <c r="F569" s="33">
        <v>2</v>
      </c>
      <c r="G569" s="34">
        <v>548.64</v>
      </c>
      <c r="H569" s="33" t="s">
        <v>31</v>
      </c>
      <c r="I569" s="33" t="str">
        <f t="shared" si="16"/>
        <v>Medium sales</v>
      </c>
      <c r="J569" s="33" t="str">
        <f t="shared" si="17"/>
        <v>not eligible</v>
      </c>
    </row>
    <row r="570" spans="1:10" x14ac:dyDescent="0.35">
      <c r="A570" s="31">
        <v>45117.453472222223</v>
      </c>
      <c r="B570" s="32">
        <v>0.41928240740740735</v>
      </c>
      <c r="C570" s="33" t="s">
        <v>14</v>
      </c>
      <c r="D570" s="33" t="s">
        <v>16</v>
      </c>
      <c r="E570" s="34">
        <v>455.21</v>
      </c>
      <c r="F570" s="33">
        <v>3</v>
      </c>
      <c r="G570" s="34">
        <v>1365.63</v>
      </c>
      <c r="H570" s="33" t="s">
        <v>221</v>
      </c>
      <c r="I570" s="33" t="str">
        <f t="shared" si="16"/>
        <v>Medium sales</v>
      </c>
      <c r="J570" s="33" t="str">
        <f t="shared" si="17"/>
        <v>not eligible</v>
      </c>
    </row>
    <row r="571" spans="1:10" x14ac:dyDescent="0.35">
      <c r="A571" s="31">
        <v>45372.331944444442</v>
      </c>
      <c r="B571" s="32">
        <v>0.15800925925925927</v>
      </c>
      <c r="C571" s="33" t="s">
        <v>11</v>
      </c>
      <c r="D571" s="33" t="s">
        <v>12</v>
      </c>
      <c r="E571" s="34">
        <v>299.02</v>
      </c>
      <c r="F571" s="33">
        <v>2</v>
      </c>
      <c r="G571" s="34">
        <v>598.04</v>
      </c>
      <c r="H571" s="33" t="s">
        <v>298</v>
      </c>
      <c r="I571" s="33" t="str">
        <f t="shared" si="16"/>
        <v>Medium sales</v>
      </c>
      <c r="J571" s="33" t="str">
        <f t="shared" si="17"/>
        <v>not eligible</v>
      </c>
    </row>
    <row r="572" spans="1:10" x14ac:dyDescent="0.35">
      <c r="A572" s="31">
        <v>45647.532638888886</v>
      </c>
      <c r="B572" s="32">
        <v>0.33743055555555551</v>
      </c>
      <c r="C572" s="33" t="s">
        <v>8</v>
      </c>
      <c r="D572" s="33" t="s">
        <v>20</v>
      </c>
      <c r="E572" s="34">
        <v>225.43</v>
      </c>
      <c r="F572" s="33">
        <v>1</v>
      </c>
      <c r="G572" s="34">
        <v>225.43</v>
      </c>
      <c r="H572" s="33" t="s">
        <v>55</v>
      </c>
      <c r="I572" s="33" t="str">
        <f t="shared" si="16"/>
        <v>Low sales</v>
      </c>
      <c r="J572" s="33" t="str">
        <f t="shared" si="17"/>
        <v>not eligible</v>
      </c>
    </row>
    <row r="573" spans="1:10" x14ac:dyDescent="0.35">
      <c r="A573" s="31">
        <v>44946.801388888889</v>
      </c>
      <c r="B573" s="32">
        <v>0.12005787037037037</v>
      </c>
      <c r="C573" s="33" t="s">
        <v>14</v>
      </c>
      <c r="D573" s="33" t="s">
        <v>12</v>
      </c>
      <c r="E573" s="34">
        <v>299.87</v>
      </c>
      <c r="F573" s="33">
        <v>3</v>
      </c>
      <c r="G573" s="34">
        <v>899.61</v>
      </c>
      <c r="H573" s="33" t="s">
        <v>281</v>
      </c>
      <c r="I573" s="33" t="str">
        <f t="shared" si="16"/>
        <v>Medium sales</v>
      </c>
      <c r="J573" s="33" t="str">
        <f t="shared" si="17"/>
        <v>not eligible</v>
      </c>
    </row>
    <row r="574" spans="1:10" x14ac:dyDescent="0.35">
      <c r="A574" s="31">
        <v>45517.51458333333</v>
      </c>
      <c r="B574" s="32">
        <v>0.92591435185185178</v>
      </c>
      <c r="C574" s="33" t="s">
        <v>11</v>
      </c>
      <c r="D574" s="33" t="s">
        <v>12</v>
      </c>
      <c r="E574" s="34">
        <v>186.01</v>
      </c>
      <c r="F574" s="33">
        <v>4</v>
      </c>
      <c r="G574" s="34">
        <v>744.04</v>
      </c>
      <c r="H574" s="33" t="s">
        <v>106</v>
      </c>
      <c r="I574" s="33" t="str">
        <f t="shared" si="16"/>
        <v>Medium sales</v>
      </c>
      <c r="J574" s="33" t="str">
        <f t="shared" si="17"/>
        <v>not eligible</v>
      </c>
    </row>
    <row r="575" spans="1:10" x14ac:dyDescent="0.35">
      <c r="A575" s="31">
        <v>45441.461805555555</v>
      </c>
      <c r="B575" s="32">
        <v>0.41187499999999999</v>
      </c>
      <c r="C575" s="33" t="s">
        <v>8</v>
      </c>
      <c r="D575" s="33" t="s">
        <v>12</v>
      </c>
      <c r="E575" s="34">
        <v>224.08</v>
      </c>
      <c r="F575" s="33">
        <v>1</v>
      </c>
      <c r="G575" s="34">
        <v>224.08</v>
      </c>
      <c r="H575" s="33" t="s">
        <v>115</v>
      </c>
      <c r="I575" s="33" t="str">
        <f t="shared" si="16"/>
        <v>Low sales</v>
      </c>
      <c r="J575" s="33" t="str">
        <f t="shared" si="17"/>
        <v>not eligible</v>
      </c>
    </row>
    <row r="576" spans="1:10" x14ac:dyDescent="0.35">
      <c r="A576" s="31">
        <v>44947.69027777778</v>
      </c>
      <c r="B576" s="32">
        <v>0.15278935185185186</v>
      </c>
      <c r="C576" s="33" t="s">
        <v>14</v>
      </c>
      <c r="D576" s="33" t="s">
        <v>12</v>
      </c>
      <c r="E576" s="34">
        <v>376.2</v>
      </c>
      <c r="F576" s="33">
        <v>3</v>
      </c>
      <c r="G576" s="34">
        <v>1128.5999999999999</v>
      </c>
      <c r="H576" s="33" t="s">
        <v>123</v>
      </c>
      <c r="I576" s="33" t="str">
        <f t="shared" si="16"/>
        <v>Medium sales</v>
      </c>
      <c r="J576" s="33" t="str">
        <f t="shared" si="17"/>
        <v>not eligible</v>
      </c>
    </row>
    <row r="577" spans="1:10" x14ac:dyDescent="0.35">
      <c r="A577" s="31">
        <v>45493.859027777777</v>
      </c>
      <c r="B577" s="32">
        <v>0.94656250000000008</v>
      </c>
      <c r="C577" s="33" t="s">
        <v>8</v>
      </c>
      <c r="D577" s="33" t="s">
        <v>16</v>
      </c>
      <c r="E577" s="34">
        <v>214.28</v>
      </c>
      <c r="F577" s="33">
        <v>3</v>
      </c>
      <c r="G577" s="34">
        <v>642.84</v>
      </c>
      <c r="H577" s="33" t="s">
        <v>73</v>
      </c>
      <c r="I577" s="33" t="str">
        <f t="shared" si="16"/>
        <v>Medium sales</v>
      </c>
      <c r="J577" s="33" t="str">
        <f t="shared" si="17"/>
        <v>not eligible</v>
      </c>
    </row>
    <row r="578" spans="1:10" x14ac:dyDescent="0.35">
      <c r="A578" s="31">
        <v>45281.988194444442</v>
      </c>
      <c r="B578" s="32">
        <v>0.84583333333333333</v>
      </c>
      <c r="C578" s="33" t="s">
        <v>11</v>
      </c>
      <c r="D578" s="33" t="s">
        <v>20</v>
      </c>
      <c r="E578" s="34">
        <v>172.45</v>
      </c>
      <c r="F578" s="33">
        <v>5</v>
      </c>
      <c r="G578" s="34">
        <v>862.25</v>
      </c>
      <c r="H578" s="33" t="s">
        <v>271</v>
      </c>
      <c r="I578" s="33" t="str">
        <f t="shared" si="16"/>
        <v>Medium sales</v>
      </c>
      <c r="J578" s="33" t="str">
        <f t="shared" si="17"/>
        <v>not eligible</v>
      </c>
    </row>
    <row r="579" spans="1:10" x14ac:dyDescent="0.35">
      <c r="A579" s="31">
        <v>45418.972916666666</v>
      </c>
      <c r="B579" s="32">
        <v>0.86170138888888881</v>
      </c>
      <c r="C579" s="33" t="s">
        <v>8</v>
      </c>
      <c r="D579" s="33" t="s">
        <v>12</v>
      </c>
      <c r="E579" s="34">
        <v>491.82</v>
      </c>
      <c r="F579" s="33">
        <v>1</v>
      </c>
      <c r="G579" s="34">
        <v>491.82</v>
      </c>
      <c r="H579" s="33" t="s">
        <v>236</v>
      </c>
      <c r="I579" s="33" t="str">
        <f t="shared" ref="I579:I642" si="18">IF(G579&gt;1500,"High sales", IF(G579&gt;500,"Medium sales", "Low sales"))</f>
        <v>Low sales</v>
      </c>
      <c r="J579" s="33" t="str">
        <f t="shared" ref="J579:J642" si="19">IF(AND(G579&gt;1000,C579="Premium"), "eligible", "not eligible")</f>
        <v>not eligible</v>
      </c>
    </row>
    <row r="580" spans="1:10" x14ac:dyDescent="0.35">
      <c r="A580" s="31">
        <v>45100.70416666667</v>
      </c>
      <c r="B580" s="32">
        <v>0.75296296296296295</v>
      </c>
      <c r="C580" s="33" t="s">
        <v>11</v>
      </c>
      <c r="D580" s="33" t="s">
        <v>16</v>
      </c>
      <c r="E580" s="34">
        <v>449.49</v>
      </c>
      <c r="F580" s="33">
        <v>5</v>
      </c>
      <c r="G580" s="34">
        <v>2247.4499999999998</v>
      </c>
      <c r="H580" s="33" t="s">
        <v>92</v>
      </c>
      <c r="I580" s="33" t="str">
        <f t="shared" si="18"/>
        <v>High sales</v>
      </c>
      <c r="J580" s="33" t="str">
        <f t="shared" si="19"/>
        <v>eligible</v>
      </c>
    </row>
    <row r="581" spans="1:10" x14ac:dyDescent="0.35">
      <c r="A581" s="31">
        <v>45323.647222222222</v>
      </c>
      <c r="B581" s="32">
        <v>0.35576388888888894</v>
      </c>
      <c r="C581" s="33" t="s">
        <v>11</v>
      </c>
      <c r="D581" s="33" t="s">
        <v>16</v>
      </c>
      <c r="E581" s="34">
        <v>257.17</v>
      </c>
      <c r="F581" s="33">
        <v>2</v>
      </c>
      <c r="G581" s="34">
        <v>514.34</v>
      </c>
      <c r="H581" s="33" t="s">
        <v>287</v>
      </c>
      <c r="I581" s="33" t="str">
        <f t="shared" si="18"/>
        <v>Medium sales</v>
      </c>
      <c r="J581" s="33" t="str">
        <f t="shared" si="19"/>
        <v>not eligible</v>
      </c>
    </row>
    <row r="582" spans="1:10" x14ac:dyDescent="0.35">
      <c r="A582" s="31">
        <v>45384.137499999997</v>
      </c>
      <c r="B582" s="32">
        <v>0.30497685185185186</v>
      </c>
      <c r="C582" s="33" t="s">
        <v>11</v>
      </c>
      <c r="D582" s="33" t="s">
        <v>12</v>
      </c>
      <c r="E582" s="34">
        <v>480.51</v>
      </c>
      <c r="F582" s="33">
        <v>5</v>
      </c>
      <c r="G582" s="34">
        <v>2402.5500000000002</v>
      </c>
      <c r="H582" s="33" t="s">
        <v>312</v>
      </c>
      <c r="I582" s="33" t="str">
        <f t="shared" si="18"/>
        <v>High sales</v>
      </c>
      <c r="J582" s="33" t="str">
        <f t="shared" si="19"/>
        <v>eligible</v>
      </c>
    </row>
    <row r="583" spans="1:10" x14ac:dyDescent="0.35">
      <c r="A583" s="31">
        <v>45130.866666666669</v>
      </c>
      <c r="B583" s="32">
        <v>0.89703703703703708</v>
      </c>
      <c r="C583" s="33" t="s">
        <v>8</v>
      </c>
      <c r="D583" s="33" t="s">
        <v>9</v>
      </c>
      <c r="E583" s="34">
        <v>151.53</v>
      </c>
      <c r="F583" s="33">
        <v>2</v>
      </c>
      <c r="G583" s="34">
        <v>303.06</v>
      </c>
      <c r="H583" s="33" t="s">
        <v>296</v>
      </c>
      <c r="I583" s="33" t="str">
        <f t="shared" si="18"/>
        <v>Low sales</v>
      </c>
      <c r="J583" s="33" t="str">
        <f t="shared" si="19"/>
        <v>not eligible</v>
      </c>
    </row>
    <row r="584" spans="1:10" x14ac:dyDescent="0.35">
      <c r="A584" s="31">
        <v>45261.443055555559</v>
      </c>
      <c r="B584" s="32">
        <v>0.54732638888888896</v>
      </c>
      <c r="C584" s="33" t="s">
        <v>14</v>
      </c>
      <c r="D584" s="33" t="s">
        <v>27</v>
      </c>
      <c r="E584" s="34">
        <v>66.989999999999995</v>
      </c>
      <c r="F584" s="33">
        <v>1</v>
      </c>
      <c r="G584" s="34">
        <v>66.989999999999995</v>
      </c>
      <c r="H584" s="33" t="s">
        <v>127</v>
      </c>
      <c r="I584" s="33" t="str">
        <f t="shared" si="18"/>
        <v>Low sales</v>
      </c>
      <c r="J584" s="33" t="str">
        <f t="shared" si="19"/>
        <v>not eligible</v>
      </c>
    </row>
    <row r="585" spans="1:10" x14ac:dyDescent="0.35">
      <c r="A585" s="31">
        <v>45138.421527777777</v>
      </c>
      <c r="B585" s="32">
        <v>0.80596064814814816</v>
      </c>
      <c r="C585" s="33" t="s">
        <v>11</v>
      </c>
      <c r="D585" s="33" t="s">
        <v>9</v>
      </c>
      <c r="E585" s="34">
        <v>423.45</v>
      </c>
      <c r="F585" s="33">
        <v>1</v>
      </c>
      <c r="G585" s="34">
        <v>423.45</v>
      </c>
      <c r="H585" s="33" t="s">
        <v>85</v>
      </c>
      <c r="I585" s="33" t="str">
        <f t="shared" si="18"/>
        <v>Low sales</v>
      </c>
      <c r="J585" s="33" t="str">
        <f t="shared" si="19"/>
        <v>not eligible</v>
      </c>
    </row>
    <row r="586" spans="1:10" x14ac:dyDescent="0.35">
      <c r="A586" s="31">
        <v>45056.790972222225</v>
      </c>
      <c r="B586" s="32">
        <v>0.25755787037037037</v>
      </c>
      <c r="C586" s="33" t="s">
        <v>14</v>
      </c>
      <c r="D586" s="33" t="s">
        <v>16</v>
      </c>
      <c r="E586" s="34">
        <v>212.89</v>
      </c>
      <c r="F586" s="33">
        <v>5</v>
      </c>
      <c r="G586" s="34">
        <v>1064.45</v>
      </c>
      <c r="H586" s="33" t="s">
        <v>56</v>
      </c>
      <c r="I586" s="33" t="str">
        <f t="shared" si="18"/>
        <v>Medium sales</v>
      </c>
      <c r="J586" s="33" t="str">
        <f t="shared" si="19"/>
        <v>not eligible</v>
      </c>
    </row>
    <row r="587" spans="1:10" x14ac:dyDescent="0.35">
      <c r="A587" s="31">
        <v>45148.661111111112</v>
      </c>
      <c r="B587" s="32">
        <v>0.68030092592592595</v>
      </c>
      <c r="C587" s="33" t="s">
        <v>14</v>
      </c>
      <c r="D587" s="33" t="s">
        <v>12</v>
      </c>
      <c r="E587" s="34">
        <v>403.9</v>
      </c>
      <c r="F587" s="33">
        <v>1</v>
      </c>
      <c r="G587" s="34">
        <v>403.9</v>
      </c>
      <c r="H587" s="33" t="s">
        <v>238</v>
      </c>
      <c r="I587" s="33" t="str">
        <f t="shared" si="18"/>
        <v>Low sales</v>
      </c>
      <c r="J587" s="33" t="str">
        <f t="shared" si="19"/>
        <v>not eligible</v>
      </c>
    </row>
    <row r="588" spans="1:10" x14ac:dyDescent="0.35">
      <c r="A588" s="31">
        <v>45588.101388888892</v>
      </c>
      <c r="B588" s="32">
        <v>0.87782407407407403</v>
      </c>
      <c r="C588" s="33" t="s">
        <v>14</v>
      </c>
      <c r="D588" s="33" t="s">
        <v>27</v>
      </c>
      <c r="E588" s="34">
        <v>355.19</v>
      </c>
      <c r="F588" s="33">
        <v>1</v>
      </c>
      <c r="G588" s="34">
        <v>355.19</v>
      </c>
      <c r="H588" s="33" t="s">
        <v>117</v>
      </c>
      <c r="I588" s="33" t="str">
        <f t="shared" si="18"/>
        <v>Low sales</v>
      </c>
      <c r="J588" s="33" t="str">
        <f t="shared" si="19"/>
        <v>not eligible</v>
      </c>
    </row>
    <row r="589" spans="1:10" x14ac:dyDescent="0.35">
      <c r="A589" s="31">
        <v>45021.743055555555</v>
      </c>
      <c r="B589" s="32">
        <v>0.70307870370370373</v>
      </c>
      <c r="C589" s="33" t="s">
        <v>14</v>
      </c>
      <c r="D589" s="33" t="s">
        <v>12</v>
      </c>
      <c r="E589" s="34">
        <v>331.76</v>
      </c>
      <c r="F589" s="33">
        <v>3</v>
      </c>
      <c r="G589" s="34">
        <v>995.28</v>
      </c>
      <c r="H589" s="33" t="s">
        <v>155</v>
      </c>
      <c r="I589" s="33" t="str">
        <f t="shared" si="18"/>
        <v>Medium sales</v>
      </c>
      <c r="J589" s="33" t="str">
        <f t="shared" si="19"/>
        <v>not eligible</v>
      </c>
    </row>
    <row r="590" spans="1:10" x14ac:dyDescent="0.35">
      <c r="A590" s="31">
        <v>45651.929166666669</v>
      </c>
      <c r="B590" s="32">
        <v>6.7037037037037034E-2</v>
      </c>
      <c r="C590" s="33" t="s">
        <v>8</v>
      </c>
      <c r="D590" s="33" t="s">
        <v>9</v>
      </c>
      <c r="E590" s="34">
        <v>434.03</v>
      </c>
      <c r="F590" s="33">
        <v>4</v>
      </c>
      <c r="G590" s="34">
        <v>1736.12</v>
      </c>
      <c r="H590" s="33" t="s">
        <v>319</v>
      </c>
      <c r="I590" s="33" t="str">
        <f t="shared" si="18"/>
        <v>High sales</v>
      </c>
      <c r="J590" s="33" t="str">
        <f t="shared" si="19"/>
        <v>not eligible</v>
      </c>
    </row>
    <row r="591" spans="1:10" x14ac:dyDescent="0.35">
      <c r="A591" s="31">
        <v>45645.468055555553</v>
      </c>
      <c r="B591" s="32">
        <v>0.19021990740740743</v>
      </c>
      <c r="C591" s="33" t="s">
        <v>14</v>
      </c>
      <c r="D591" s="33" t="s">
        <v>9</v>
      </c>
      <c r="E591" s="34">
        <v>409.82</v>
      </c>
      <c r="F591" s="33">
        <v>5</v>
      </c>
      <c r="G591" s="34">
        <v>2049.1</v>
      </c>
      <c r="H591" s="33" t="s">
        <v>320</v>
      </c>
      <c r="I591" s="33" t="str">
        <f t="shared" si="18"/>
        <v>High sales</v>
      </c>
      <c r="J591" s="33" t="str">
        <f t="shared" si="19"/>
        <v>not eligible</v>
      </c>
    </row>
    <row r="592" spans="1:10" x14ac:dyDescent="0.35">
      <c r="A592" s="31">
        <v>45373.489583333336</v>
      </c>
      <c r="B592" s="32">
        <v>0.84368055555555566</v>
      </c>
      <c r="C592" s="33" t="s">
        <v>14</v>
      </c>
      <c r="D592" s="33" t="s">
        <v>16</v>
      </c>
      <c r="E592" s="34">
        <v>31.5</v>
      </c>
      <c r="F592" s="33">
        <v>1</v>
      </c>
      <c r="G592" s="34">
        <v>31.5</v>
      </c>
      <c r="H592" s="33" t="s">
        <v>321</v>
      </c>
      <c r="I592" s="33" t="str">
        <f t="shared" si="18"/>
        <v>Low sales</v>
      </c>
      <c r="J592" s="33" t="str">
        <f t="shared" si="19"/>
        <v>not eligible</v>
      </c>
    </row>
    <row r="593" spans="1:10" x14ac:dyDescent="0.35">
      <c r="A593" s="31">
        <v>44962.269444444442</v>
      </c>
      <c r="B593" s="32">
        <v>0.80239583333333331</v>
      </c>
      <c r="C593" s="33" t="s">
        <v>14</v>
      </c>
      <c r="D593" s="33" t="s">
        <v>9</v>
      </c>
      <c r="E593" s="34">
        <v>230.73</v>
      </c>
      <c r="F593" s="33">
        <v>5</v>
      </c>
      <c r="G593" s="34">
        <v>1153.6500000000001</v>
      </c>
      <c r="H593" s="33" t="s">
        <v>40</v>
      </c>
      <c r="I593" s="33" t="str">
        <f t="shared" si="18"/>
        <v>Medium sales</v>
      </c>
      <c r="J593" s="33" t="str">
        <f t="shared" si="19"/>
        <v>not eligible</v>
      </c>
    </row>
    <row r="594" spans="1:10" x14ac:dyDescent="0.35">
      <c r="A594" s="31">
        <v>45223.613888888889</v>
      </c>
      <c r="B594" s="32">
        <v>0.65994212962962961</v>
      </c>
      <c r="C594" s="33" t="s">
        <v>8</v>
      </c>
      <c r="D594" s="33" t="s">
        <v>9</v>
      </c>
      <c r="E594" s="34">
        <v>430.86</v>
      </c>
      <c r="F594" s="33">
        <v>1</v>
      </c>
      <c r="G594" s="34">
        <v>430.86</v>
      </c>
      <c r="H594" s="33" t="s">
        <v>317</v>
      </c>
      <c r="I594" s="33" t="str">
        <f t="shared" si="18"/>
        <v>Low sales</v>
      </c>
      <c r="J594" s="33" t="str">
        <f t="shared" si="19"/>
        <v>not eligible</v>
      </c>
    </row>
    <row r="595" spans="1:10" x14ac:dyDescent="0.35">
      <c r="A595" s="31">
        <v>45093.222916666666</v>
      </c>
      <c r="B595" s="32">
        <v>0.175625</v>
      </c>
      <c r="C595" s="33" t="s">
        <v>11</v>
      </c>
      <c r="D595" s="33" t="s">
        <v>27</v>
      </c>
      <c r="E595" s="34">
        <v>138.24</v>
      </c>
      <c r="F595" s="33">
        <v>1</v>
      </c>
      <c r="G595" s="34">
        <v>138.24</v>
      </c>
      <c r="H595" s="33" t="s">
        <v>310</v>
      </c>
      <c r="I595" s="33" t="str">
        <f t="shared" si="18"/>
        <v>Low sales</v>
      </c>
      <c r="J595" s="33" t="str">
        <f t="shared" si="19"/>
        <v>not eligible</v>
      </c>
    </row>
    <row r="596" spans="1:10" x14ac:dyDescent="0.35">
      <c r="A596" s="31">
        <v>45601.347916666666</v>
      </c>
      <c r="B596" s="32">
        <v>0.95113425925925921</v>
      </c>
      <c r="C596" s="33" t="s">
        <v>14</v>
      </c>
      <c r="D596" s="33" t="s">
        <v>12</v>
      </c>
      <c r="E596" s="34">
        <v>473.69</v>
      </c>
      <c r="F596" s="33">
        <v>2</v>
      </c>
      <c r="G596" s="34">
        <v>947.38</v>
      </c>
      <c r="H596" s="33" t="s">
        <v>165</v>
      </c>
      <c r="I596" s="33" t="str">
        <f t="shared" si="18"/>
        <v>Medium sales</v>
      </c>
      <c r="J596" s="33" t="str">
        <f t="shared" si="19"/>
        <v>not eligible</v>
      </c>
    </row>
    <row r="597" spans="1:10" x14ac:dyDescent="0.35">
      <c r="A597" s="31">
        <v>45655.378472222219</v>
      </c>
      <c r="B597" s="32">
        <v>0.92259259259259263</v>
      </c>
      <c r="C597" s="33" t="s">
        <v>11</v>
      </c>
      <c r="D597" s="33" t="s">
        <v>27</v>
      </c>
      <c r="E597" s="34">
        <v>378.93</v>
      </c>
      <c r="F597" s="33">
        <v>4</v>
      </c>
      <c r="G597" s="34">
        <v>1515.72</v>
      </c>
      <c r="H597" s="33" t="s">
        <v>67</v>
      </c>
      <c r="I597" s="33" t="str">
        <f t="shared" si="18"/>
        <v>High sales</v>
      </c>
      <c r="J597" s="33" t="str">
        <f t="shared" si="19"/>
        <v>eligible</v>
      </c>
    </row>
    <row r="598" spans="1:10" x14ac:dyDescent="0.35">
      <c r="A598" s="31">
        <v>45161.2</v>
      </c>
      <c r="B598" s="32">
        <v>0.39123842592592589</v>
      </c>
      <c r="C598" s="33" t="s">
        <v>14</v>
      </c>
      <c r="D598" s="33" t="s">
        <v>9</v>
      </c>
      <c r="E598" s="34">
        <v>290.56</v>
      </c>
      <c r="F598" s="33">
        <v>2</v>
      </c>
      <c r="G598" s="34">
        <v>581.12</v>
      </c>
      <c r="H598" s="33" t="s">
        <v>322</v>
      </c>
      <c r="I598" s="33" t="str">
        <f t="shared" si="18"/>
        <v>Medium sales</v>
      </c>
      <c r="J598" s="33" t="str">
        <f t="shared" si="19"/>
        <v>not eligible</v>
      </c>
    </row>
    <row r="599" spans="1:10" x14ac:dyDescent="0.35">
      <c r="A599" s="31">
        <v>45491.411111111112</v>
      </c>
      <c r="B599" s="32">
        <v>0.99254629629629632</v>
      </c>
      <c r="C599" s="33" t="s">
        <v>11</v>
      </c>
      <c r="D599" s="33" t="s">
        <v>16</v>
      </c>
      <c r="E599" s="34">
        <v>195.91</v>
      </c>
      <c r="F599" s="33">
        <v>1</v>
      </c>
      <c r="G599" s="34">
        <v>195.91</v>
      </c>
      <c r="H599" s="33" t="s">
        <v>224</v>
      </c>
      <c r="I599" s="33" t="str">
        <f t="shared" si="18"/>
        <v>Low sales</v>
      </c>
      <c r="J599" s="33" t="str">
        <f t="shared" si="19"/>
        <v>not eligible</v>
      </c>
    </row>
    <row r="600" spans="1:10" x14ac:dyDescent="0.35">
      <c r="A600" s="31">
        <v>45329.040972222225</v>
      </c>
      <c r="B600" s="32">
        <v>0.98976851851851855</v>
      </c>
      <c r="C600" s="33" t="s">
        <v>11</v>
      </c>
      <c r="D600" s="33" t="s">
        <v>16</v>
      </c>
      <c r="E600" s="34">
        <v>454.05</v>
      </c>
      <c r="F600" s="33">
        <v>4</v>
      </c>
      <c r="G600" s="34">
        <v>1816.2</v>
      </c>
      <c r="H600" s="33" t="s">
        <v>35</v>
      </c>
      <c r="I600" s="33" t="str">
        <f t="shared" si="18"/>
        <v>High sales</v>
      </c>
      <c r="J600" s="33" t="str">
        <f t="shared" si="19"/>
        <v>eligible</v>
      </c>
    </row>
    <row r="601" spans="1:10" x14ac:dyDescent="0.35">
      <c r="A601" s="31">
        <v>44996.829861111109</v>
      </c>
      <c r="B601" s="32">
        <v>0.17083333333333331</v>
      </c>
      <c r="C601" s="33" t="s">
        <v>8</v>
      </c>
      <c r="D601" s="33" t="s">
        <v>12</v>
      </c>
      <c r="E601" s="34">
        <v>334.2</v>
      </c>
      <c r="F601" s="33">
        <v>3</v>
      </c>
      <c r="G601" s="34">
        <v>1002.6</v>
      </c>
      <c r="H601" s="33" t="s">
        <v>323</v>
      </c>
      <c r="I601" s="33" t="str">
        <f t="shared" si="18"/>
        <v>Medium sales</v>
      </c>
      <c r="J601" s="33" t="str">
        <f t="shared" si="19"/>
        <v>not eligible</v>
      </c>
    </row>
    <row r="602" spans="1:10" x14ac:dyDescent="0.35">
      <c r="A602" s="31">
        <v>45395.286111111112</v>
      </c>
      <c r="B602" s="32">
        <v>0.67754629629629637</v>
      </c>
      <c r="C602" s="33" t="s">
        <v>8</v>
      </c>
      <c r="D602" s="33" t="s">
        <v>9</v>
      </c>
      <c r="E602" s="34">
        <v>261.79000000000002</v>
      </c>
      <c r="F602" s="33">
        <v>1</v>
      </c>
      <c r="G602" s="34">
        <v>261.79000000000002</v>
      </c>
      <c r="H602" s="33" t="s">
        <v>56</v>
      </c>
      <c r="I602" s="33" t="str">
        <f t="shared" si="18"/>
        <v>Low sales</v>
      </c>
      <c r="J602" s="33" t="str">
        <f t="shared" si="19"/>
        <v>not eligible</v>
      </c>
    </row>
    <row r="603" spans="1:10" x14ac:dyDescent="0.35">
      <c r="A603" s="31">
        <v>45165.510416666664</v>
      </c>
      <c r="B603" s="32">
        <v>0.35152777777777783</v>
      </c>
      <c r="C603" s="33" t="s">
        <v>8</v>
      </c>
      <c r="D603" s="33" t="s">
        <v>16</v>
      </c>
      <c r="E603" s="34">
        <v>169.09</v>
      </c>
      <c r="F603" s="33">
        <v>1</v>
      </c>
      <c r="G603" s="34">
        <v>169.09</v>
      </c>
      <c r="H603" s="33" t="s">
        <v>111</v>
      </c>
      <c r="I603" s="33" t="str">
        <f t="shared" si="18"/>
        <v>Low sales</v>
      </c>
      <c r="J603" s="33" t="str">
        <f t="shared" si="19"/>
        <v>not eligible</v>
      </c>
    </row>
    <row r="604" spans="1:10" x14ac:dyDescent="0.35">
      <c r="A604" s="31">
        <v>45214.703472222223</v>
      </c>
      <c r="B604" s="32">
        <v>0.56096064814814817</v>
      </c>
      <c r="C604" s="33" t="s">
        <v>8</v>
      </c>
      <c r="D604" s="33" t="s">
        <v>16</v>
      </c>
      <c r="E604" s="34">
        <v>71.959999999999994</v>
      </c>
      <c r="F604" s="33">
        <v>1</v>
      </c>
      <c r="G604" s="34">
        <v>71.959999999999994</v>
      </c>
      <c r="H604" s="33" t="s">
        <v>172</v>
      </c>
      <c r="I604" s="33" t="str">
        <f t="shared" si="18"/>
        <v>Low sales</v>
      </c>
      <c r="J604" s="33" t="str">
        <f t="shared" si="19"/>
        <v>not eligible</v>
      </c>
    </row>
    <row r="605" spans="1:10" x14ac:dyDescent="0.35">
      <c r="A605" s="31">
        <v>45342.630555555559</v>
      </c>
      <c r="B605" s="32">
        <v>0.43543981481481481</v>
      </c>
      <c r="C605" s="33" t="s">
        <v>8</v>
      </c>
      <c r="D605" s="33" t="s">
        <v>12</v>
      </c>
      <c r="E605" s="34">
        <v>231.25</v>
      </c>
      <c r="F605" s="33">
        <v>4</v>
      </c>
      <c r="G605" s="34">
        <v>925</v>
      </c>
      <c r="H605" s="33" t="s">
        <v>306</v>
      </c>
      <c r="I605" s="33" t="str">
        <f t="shared" si="18"/>
        <v>Medium sales</v>
      </c>
      <c r="J605" s="33" t="str">
        <f t="shared" si="19"/>
        <v>not eligible</v>
      </c>
    </row>
    <row r="606" spans="1:10" x14ac:dyDescent="0.35">
      <c r="A606" s="31">
        <v>45100.929861111108</v>
      </c>
      <c r="B606" s="32">
        <v>4.8622685185185179E-2</v>
      </c>
      <c r="C606" s="33" t="s">
        <v>8</v>
      </c>
      <c r="D606" s="33" t="s">
        <v>20</v>
      </c>
      <c r="E606" s="34">
        <v>138.4</v>
      </c>
      <c r="F606" s="33">
        <v>3</v>
      </c>
      <c r="G606" s="34">
        <v>415.2</v>
      </c>
      <c r="H606" s="33" t="s">
        <v>324</v>
      </c>
      <c r="I606" s="33" t="str">
        <f t="shared" si="18"/>
        <v>Low sales</v>
      </c>
      <c r="J606" s="33" t="str">
        <f t="shared" si="19"/>
        <v>not eligible</v>
      </c>
    </row>
    <row r="607" spans="1:10" x14ac:dyDescent="0.35">
      <c r="A607" s="31">
        <v>45116.992361111108</v>
      </c>
      <c r="B607" s="32">
        <v>0.88708333333333333</v>
      </c>
      <c r="C607" s="33" t="s">
        <v>11</v>
      </c>
      <c r="D607" s="33" t="s">
        <v>27</v>
      </c>
      <c r="E607" s="34">
        <v>227.95</v>
      </c>
      <c r="F607" s="33">
        <v>5</v>
      </c>
      <c r="G607" s="34">
        <v>1139.75</v>
      </c>
      <c r="H607" s="33" t="s">
        <v>148</v>
      </c>
      <c r="I607" s="33" t="str">
        <f t="shared" si="18"/>
        <v>Medium sales</v>
      </c>
      <c r="J607" s="33" t="str">
        <f t="shared" si="19"/>
        <v>eligible</v>
      </c>
    </row>
    <row r="608" spans="1:10" x14ac:dyDescent="0.35">
      <c r="A608" s="31">
        <v>45251.054166666669</v>
      </c>
      <c r="B608" s="32">
        <v>0.79612268518518514</v>
      </c>
      <c r="C608" s="33" t="s">
        <v>14</v>
      </c>
      <c r="D608" s="33" t="s">
        <v>12</v>
      </c>
      <c r="E608" s="34">
        <v>61.75</v>
      </c>
      <c r="F608" s="33">
        <v>4</v>
      </c>
      <c r="G608" s="34">
        <v>247</v>
      </c>
      <c r="H608" s="33" t="s">
        <v>185</v>
      </c>
      <c r="I608" s="33" t="str">
        <f t="shared" si="18"/>
        <v>Low sales</v>
      </c>
      <c r="J608" s="33" t="str">
        <f t="shared" si="19"/>
        <v>not eligible</v>
      </c>
    </row>
    <row r="609" spans="1:10" x14ac:dyDescent="0.35">
      <c r="A609" s="31">
        <v>45496.402777777781</v>
      </c>
      <c r="B609" s="32">
        <v>0.37324074074074076</v>
      </c>
      <c r="C609" s="33" t="s">
        <v>8</v>
      </c>
      <c r="D609" s="33" t="s">
        <v>9</v>
      </c>
      <c r="E609" s="34">
        <v>96.49</v>
      </c>
      <c r="F609" s="33">
        <v>4</v>
      </c>
      <c r="G609" s="34">
        <v>385.96</v>
      </c>
      <c r="H609" s="33" t="s">
        <v>133</v>
      </c>
      <c r="I609" s="33" t="str">
        <f t="shared" si="18"/>
        <v>Low sales</v>
      </c>
      <c r="J609" s="33" t="str">
        <f t="shared" si="19"/>
        <v>not eligible</v>
      </c>
    </row>
    <row r="610" spans="1:10" x14ac:dyDescent="0.35">
      <c r="A610" s="31">
        <v>45464.30972222222</v>
      </c>
      <c r="B610" s="32">
        <v>0.74018518518518517</v>
      </c>
      <c r="C610" s="33" t="s">
        <v>8</v>
      </c>
      <c r="D610" s="33" t="s">
        <v>9</v>
      </c>
      <c r="E610" s="34">
        <v>81.78</v>
      </c>
      <c r="F610" s="33">
        <v>3</v>
      </c>
      <c r="G610" s="34">
        <v>245.34</v>
      </c>
      <c r="H610" s="33" t="s">
        <v>123</v>
      </c>
      <c r="I610" s="33" t="str">
        <f t="shared" si="18"/>
        <v>Low sales</v>
      </c>
      <c r="J610" s="33" t="str">
        <f t="shared" si="19"/>
        <v>not eligible</v>
      </c>
    </row>
    <row r="611" spans="1:10" x14ac:dyDescent="0.35">
      <c r="A611" s="31">
        <v>45291.271527777775</v>
      </c>
      <c r="B611" s="32">
        <v>0.32069444444444445</v>
      </c>
      <c r="C611" s="33" t="s">
        <v>8</v>
      </c>
      <c r="D611" s="33" t="s">
        <v>16</v>
      </c>
      <c r="E611" s="34">
        <v>77.03</v>
      </c>
      <c r="F611" s="33">
        <v>3</v>
      </c>
      <c r="G611" s="34">
        <v>231.09</v>
      </c>
      <c r="H611" s="33" t="s">
        <v>150</v>
      </c>
      <c r="I611" s="33" t="str">
        <f t="shared" si="18"/>
        <v>Low sales</v>
      </c>
      <c r="J611" s="33" t="str">
        <f t="shared" si="19"/>
        <v>not eligible</v>
      </c>
    </row>
    <row r="612" spans="1:10" x14ac:dyDescent="0.35">
      <c r="A612" s="31">
        <v>45018.3125</v>
      </c>
      <c r="B612" s="32">
        <v>0.41395833333333337</v>
      </c>
      <c r="C612" s="33" t="s">
        <v>8</v>
      </c>
      <c r="D612" s="33" t="s">
        <v>16</v>
      </c>
      <c r="E612" s="34">
        <v>241.31</v>
      </c>
      <c r="F612" s="33">
        <v>5</v>
      </c>
      <c r="G612" s="34">
        <v>1206.55</v>
      </c>
      <c r="H612" s="33" t="s">
        <v>316</v>
      </c>
      <c r="I612" s="33" t="str">
        <f t="shared" si="18"/>
        <v>Medium sales</v>
      </c>
      <c r="J612" s="33" t="str">
        <f t="shared" si="19"/>
        <v>not eligible</v>
      </c>
    </row>
    <row r="613" spans="1:10" x14ac:dyDescent="0.35">
      <c r="A613" s="31">
        <v>45438.892361111109</v>
      </c>
      <c r="B613" s="32">
        <v>0.82498842592592592</v>
      </c>
      <c r="C613" s="33" t="s">
        <v>14</v>
      </c>
      <c r="D613" s="33" t="s">
        <v>9</v>
      </c>
      <c r="E613" s="34">
        <v>146.08000000000001</v>
      </c>
      <c r="F613" s="33">
        <v>4</v>
      </c>
      <c r="G613" s="34">
        <v>584.32000000000005</v>
      </c>
      <c r="H613" s="33" t="s">
        <v>325</v>
      </c>
      <c r="I613" s="33" t="str">
        <f t="shared" si="18"/>
        <v>Medium sales</v>
      </c>
      <c r="J613" s="33" t="str">
        <f t="shared" si="19"/>
        <v>not eligible</v>
      </c>
    </row>
    <row r="614" spans="1:10" x14ac:dyDescent="0.35">
      <c r="A614" s="31">
        <v>45308.396527777775</v>
      </c>
      <c r="B614" s="32">
        <v>0.31960648148148146</v>
      </c>
      <c r="C614" s="33" t="s">
        <v>8</v>
      </c>
      <c r="D614" s="33" t="s">
        <v>20</v>
      </c>
      <c r="E614" s="34">
        <v>460.66</v>
      </c>
      <c r="F614" s="33">
        <v>4</v>
      </c>
      <c r="G614" s="34">
        <v>1842.64</v>
      </c>
      <c r="H614" s="33" t="s">
        <v>13</v>
      </c>
      <c r="I614" s="33" t="str">
        <f t="shared" si="18"/>
        <v>High sales</v>
      </c>
      <c r="J614" s="33" t="str">
        <f t="shared" si="19"/>
        <v>not eligible</v>
      </c>
    </row>
    <row r="615" spans="1:10" x14ac:dyDescent="0.35">
      <c r="A615" s="31">
        <v>44975.19027777778</v>
      </c>
      <c r="B615" s="32">
        <v>0.99509259259259253</v>
      </c>
      <c r="C615" s="33" t="s">
        <v>8</v>
      </c>
      <c r="D615" s="33" t="s">
        <v>27</v>
      </c>
      <c r="E615" s="34">
        <v>459.88</v>
      </c>
      <c r="F615" s="33">
        <v>2</v>
      </c>
      <c r="G615" s="34">
        <v>919.76</v>
      </c>
      <c r="H615" s="33" t="s">
        <v>264</v>
      </c>
      <c r="I615" s="33" t="str">
        <f t="shared" si="18"/>
        <v>Medium sales</v>
      </c>
      <c r="J615" s="33" t="str">
        <f t="shared" si="19"/>
        <v>not eligible</v>
      </c>
    </row>
    <row r="616" spans="1:10" x14ac:dyDescent="0.35">
      <c r="A616" s="31">
        <v>45040.197916666664</v>
      </c>
      <c r="B616" s="32">
        <v>0.62108796296296298</v>
      </c>
      <c r="C616" s="33" t="s">
        <v>11</v>
      </c>
      <c r="D616" s="33" t="s">
        <v>9</v>
      </c>
      <c r="E616" s="34">
        <v>194.05</v>
      </c>
      <c r="F616" s="33">
        <v>1</v>
      </c>
      <c r="G616" s="34">
        <v>194.05</v>
      </c>
      <c r="H616" s="33" t="s">
        <v>151</v>
      </c>
      <c r="I616" s="33" t="str">
        <f t="shared" si="18"/>
        <v>Low sales</v>
      </c>
      <c r="J616" s="33" t="str">
        <f t="shared" si="19"/>
        <v>not eligible</v>
      </c>
    </row>
    <row r="617" spans="1:10" x14ac:dyDescent="0.35">
      <c r="A617" s="31">
        <v>45039.96875</v>
      </c>
      <c r="B617" s="32">
        <v>1.2106481481481482E-2</v>
      </c>
      <c r="C617" s="33" t="s">
        <v>14</v>
      </c>
      <c r="D617" s="33" t="s">
        <v>20</v>
      </c>
      <c r="E617" s="34">
        <v>251.27</v>
      </c>
      <c r="F617" s="33">
        <v>5</v>
      </c>
      <c r="G617" s="34">
        <v>1256.3499999999999</v>
      </c>
      <c r="H617" s="33" t="s">
        <v>245</v>
      </c>
      <c r="I617" s="33" t="str">
        <f t="shared" si="18"/>
        <v>Medium sales</v>
      </c>
      <c r="J617" s="33" t="str">
        <f t="shared" si="19"/>
        <v>not eligible</v>
      </c>
    </row>
    <row r="618" spans="1:10" x14ac:dyDescent="0.35">
      <c r="A618" s="31">
        <v>45418.34097222222</v>
      </c>
      <c r="B618" s="32">
        <v>0.39228009259259261</v>
      </c>
      <c r="C618" s="33" t="s">
        <v>11</v>
      </c>
      <c r="D618" s="33" t="s">
        <v>9</v>
      </c>
      <c r="E618" s="34">
        <v>482.01</v>
      </c>
      <c r="F618" s="33">
        <v>4</v>
      </c>
      <c r="G618" s="34">
        <v>1928.04</v>
      </c>
      <c r="H618" s="33" t="s">
        <v>17</v>
      </c>
      <c r="I618" s="33" t="str">
        <f t="shared" si="18"/>
        <v>High sales</v>
      </c>
      <c r="J618" s="33" t="str">
        <f t="shared" si="19"/>
        <v>eligible</v>
      </c>
    </row>
    <row r="619" spans="1:10" x14ac:dyDescent="0.35">
      <c r="A619" s="31">
        <v>45618.629166666666</v>
      </c>
      <c r="B619" s="32">
        <v>0.85164351851851849</v>
      </c>
      <c r="C619" s="33" t="s">
        <v>8</v>
      </c>
      <c r="D619" s="33" t="s">
        <v>20</v>
      </c>
      <c r="E619" s="34">
        <v>216.27</v>
      </c>
      <c r="F619" s="33">
        <v>3</v>
      </c>
      <c r="G619" s="34">
        <v>648.80999999999995</v>
      </c>
      <c r="H619" s="33" t="s">
        <v>26</v>
      </c>
      <c r="I619" s="33" t="str">
        <f t="shared" si="18"/>
        <v>Medium sales</v>
      </c>
      <c r="J619" s="33" t="str">
        <f t="shared" si="19"/>
        <v>not eligible</v>
      </c>
    </row>
    <row r="620" spans="1:10" x14ac:dyDescent="0.35">
      <c r="A620" s="31">
        <v>45166.387499999997</v>
      </c>
      <c r="B620" s="32">
        <v>0.60081018518518514</v>
      </c>
      <c r="C620" s="33" t="s">
        <v>11</v>
      </c>
      <c r="D620" s="33" t="s">
        <v>9</v>
      </c>
      <c r="E620" s="34">
        <v>487.75</v>
      </c>
      <c r="F620" s="33">
        <v>3</v>
      </c>
      <c r="G620" s="34">
        <v>1463.25</v>
      </c>
      <c r="H620" s="33" t="s">
        <v>237</v>
      </c>
      <c r="I620" s="33" t="str">
        <f t="shared" si="18"/>
        <v>Medium sales</v>
      </c>
      <c r="J620" s="33" t="str">
        <f t="shared" si="19"/>
        <v>eligible</v>
      </c>
    </row>
    <row r="621" spans="1:10" x14ac:dyDescent="0.35">
      <c r="A621" s="31">
        <v>45214.929861111108</v>
      </c>
      <c r="B621" s="32">
        <v>0.29287037037037039</v>
      </c>
      <c r="C621" s="33" t="s">
        <v>8</v>
      </c>
      <c r="D621" s="33" t="s">
        <v>20</v>
      </c>
      <c r="E621" s="34">
        <v>175.95</v>
      </c>
      <c r="F621" s="33">
        <v>1</v>
      </c>
      <c r="G621" s="34">
        <v>175.95</v>
      </c>
      <c r="H621" s="33" t="s">
        <v>64</v>
      </c>
      <c r="I621" s="33" t="str">
        <f t="shared" si="18"/>
        <v>Low sales</v>
      </c>
      <c r="J621" s="33" t="str">
        <f t="shared" si="19"/>
        <v>not eligible</v>
      </c>
    </row>
    <row r="622" spans="1:10" x14ac:dyDescent="0.35">
      <c r="A622" s="31">
        <v>45550.879861111112</v>
      </c>
      <c r="B622" s="32">
        <v>0.83768518518518509</v>
      </c>
      <c r="C622" s="33" t="s">
        <v>8</v>
      </c>
      <c r="D622" s="33" t="s">
        <v>27</v>
      </c>
      <c r="E622" s="34">
        <v>118.27</v>
      </c>
      <c r="F622" s="33">
        <v>1</v>
      </c>
      <c r="G622" s="34">
        <v>118.27</v>
      </c>
      <c r="H622" s="33" t="s">
        <v>127</v>
      </c>
      <c r="I622" s="33" t="str">
        <f t="shared" si="18"/>
        <v>Low sales</v>
      </c>
      <c r="J622" s="33" t="str">
        <f t="shared" si="19"/>
        <v>not eligible</v>
      </c>
    </row>
    <row r="623" spans="1:10" x14ac:dyDescent="0.35">
      <c r="A623" s="31">
        <v>45575.13958333333</v>
      </c>
      <c r="B623" s="32">
        <v>0.17545138888888889</v>
      </c>
      <c r="C623" s="33" t="s">
        <v>8</v>
      </c>
      <c r="D623" s="33" t="s">
        <v>9</v>
      </c>
      <c r="E623" s="34">
        <v>234.44</v>
      </c>
      <c r="F623" s="33">
        <v>4</v>
      </c>
      <c r="G623" s="34">
        <v>937.76</v>
      </c>
      <c r="H623" s="33" t="s">
        <v>162</v>
      </c>
      <c r="I623" s="33" t="str">
        <f t="shared" si="18"/>
        <v>Medium sales</v>
      </c>
      <c r="J623" s="33" t="str">
        <f t="shared" si="19"/>
        <v>not eligible</v>
      </c>
    </row>
    <row r="624" spans="1:10" x14ac:dyDescent="0.35">
      <c r="A624" s="31">
        <v>45617.884027777778</v>
      </c>
      <c r="B624" s="32">
        <v>0.64439814814814811</v>
      </c>
      <c r="C624" s="33" t="s">
        <v>8</v>
      </c>
      <c r="D624" s="33" t="s">
        <v>20</v>
      </c>
      <c r="E624" s="34">
        <v>203.83</v>
      </c>
      <c r="F624" s="33">
        <v>2</v>
      </c>
      <c r="G624" s="34">
        <v>407.66</v>
      </c>
      <c r="H624" s="33" t="s">
        <v>326</v>
      </c>
      <c r="I624" s="33" t="str">
        <f t="shared" si="18"/>
        <v>Low sales</v>
      </c>
      <c r="J624" s="33" t="str">
        <f t="shared" si="19"/>
        <v>not eligible</v>
      </c>
    </row>
    <row r="625" spans="1:10" x14ac:dyDescent="0.35">
      <c r="A625" s="31">
        <v>45322.033333333333</v>
      </c>
      <c r="B625" s="32">
        <v>0.23346064814814815</v>
      </c>
      <c r="C625" s="33" t="s">
        <v>11</v>
      </c>
      <c r="D625" s="33" t="s">
        <v>16</v>
      </c>
      <c r="E625" s="34">
        <v>437.23</v>
      </c>
      <c r="F625" s="33">
        <v>5</v>
      </c>
      <c r="G625" s="34">
        <v>2186.15</v>
      </c>
      <c r="H625" s="33" t="s">
        <v>58</v>
      </c>
      <c r="I625" s="33" t="str">
        <f t="shared" si="18"/>
        <v>High sales</v>
      </c>
      <c r="J625" s="33" t="str">
        <f t="shared" si="19"/>
        <v>eligible</v>
      </c>
    </row>
    <row r="626" spans="1:10" x14ac:dyDescent="0.35">
      <c r="A626" s="31">
        <v>45558.910416666666</v>
      </c>
      <c r="B626" s="32">
        <v>0.16163194444444443</v>
      </c>
      <c r="C626" s="33" t="s">
        <v>14</v>
      </c>
      <c r="D626" s="33" t="s">
        <v>27</v>
      </c>
      <c r="E626" s="34">
        <v>437.53</v>
      </c>
      <c r="F626" s="33">
        <v>3</v>
      </c>
      <c r="G626" s="34">
        <v>1312.59</v>
      </c>
      <c r="H626" s="33" t="s">
        <v>327</v>
      </c>
      <c r="I626" s="33" t="str">
        <f t="shared" si="18"/>
        <v>Medium sales</v>
      </c>
      <c r="J626" s="33" t="str">
        <f t="shared" si="19"/>
        <v>not eligible</v>
      </c>
    </row>
    <row r="627" spans="1:10" x14ac:dyDescent="0.35">
      <c r="A627" s="31">
        <v>45513.526388888888</v>
      </c>
      <c r="B627" s="32">
        <v>0.73940972222222223</v>
      </c>
      <c r="C627" s="33" t="s">
        <v>8</v>
      </c>
      <c r="D627" s="33" t="s">
        <v>20</v>
      </c>
      <c r="E627" s="34">
        <v>142.51</v>
      </c>
      <c r="F627" s="33">
        <v>5</v>
      </c>
      <c r="G627" s="34">
        <v>712.55</v>
      </c>
      <c r="H627" s="33" t="s">
        <v>153</v>
      </c>
      <c r="I627" s="33" t="str">
        <f t="shared" si="18"/>
        <v>Medium sales</v>
      </c>
      <c r="J627" s="33" t="str">
        <f t="shared" si="19"/>
        <v>not eligible</v>
      </c>
    </row>
    <row r="628" spans="1:10" x14ac:dyDescent="0.35">
      <c r="A628" s="31">
        <v>45059.317361111112</v>
      </c>
      <c r="B628" s="32">
        <v>0.68405092592592587</v>
      </c>
      <c r="C628" s="33" t="s">
        <v>11</v>
      </c>
      <c r="D628" s="33" t="s">
        <v>12</v>
      </c>
      <c r="E628" s="34">
        <v>389.28</v>
      </c>
      <c r="F628" s="33">
        <v>4</v>
      </c>
      <c r="G628" s="34">
        <v>1557.12</v>
      </c>
      <c r="H628" s="33" t="s">
        <v>277</v>
      </c>
      <c r="I628" s="33" t="str">
        <f t="shared" si="18"/>
        <v>High sales</v>
      </c>
      <c r="J628" s="33" t="str">
        <f t="shared" si="19"/>
        <v>eligible</v>
      </c>
    </row>
    <row r="629" spans="1:10" x14ac:dyDescent="0.35">
      <c r="A629" s="31">
        <v>45577.414583333331</v>
      </c>
      <c r="B629" s="32">
        <v>0.89440972222222215</v>
      </c>
      <c r="C629" s="33" t="s">
        <v>11</v>
      </c>
      <c r="D629" s="33" t="s">
        <v>20</v>
      </c>
      <c r="E629" s="34">
        <v>169.24</v>
      </c>
      <c r="F629" s="33">
        <v>1</v>
      </c>
      <c r="G629" s="34">
        <v>169.24</v>
      </c>
      <c r="H629" s="33" t="s">
        <v>308</v>
      </c>
      <c r="I629" s="33" t="str">
        <f t="shared" si="18"/>
        <v>Low sales</v>
      </c>
      <c r="J629" s="33" t="str">
        <f t="shared" si="19"/>
        <v>not eligible</v>
      </c>
    </row>
    <row r="630" spans="1:10" x14ac:dyDescent="0.35">
      <c r="A630" s="31">
        <v>45279.86041666667</v>
      </c>
      <c r="B630" s="32">
        <v>0.80931712962962965</v>
      </c>
      <c r="C630" s="33" t="s">
        <v>11</v>
      </c>
      <c r="D630" s="33" t="s">
        <v>12</v>
      </c>
      <c r="E630" s="34">
        <v>363.2</v>
      </c>
      <c r="F630" s="33">
        <v>3</v>
      </c>
      <c r="G630" s="34">
        <v>1089.5999999999999</v>
      </c>
      <c r="H630" s="33" t="s">
        <v>328</v>
      </c>
      <c r="I630" s="33" t="str">
        <f t="shared" si="18"/>
        <v>Medium sales</v>
      </c>
      <c r="J630" s="33" t="str">
        <f t="shared" si="19"/>
        <v>eligible</v>
      </c>
    </row>
    <row r="631" spans="1:10" x14ac:dyDescent="0.35">
      <c r="A631" s="31">
        <v>45044.707638888889</v>
      </c>
      <c r="B631" s="32">
        <v>0.79567129629629629</v>
      </c>
      <c r="C631" s="33" t="s">
        <v>14</v>
      </c>
      <c r="D631" s="33" t="s">
        <v>20</v>
      </c>
      <c r="E631" s="34">
        <v>312.08</v>
      </c>
      <c r="F631" s="33">
        <v>1</v>
      </c>
      <c r="G631" s="34">
        <v>312.08</v>
      </c>
      <c r="H631" s="33" t="s">
        <v>71</v>
      </c>
      <c r="I631" s="33" t="str">
        <f t="shared" si="18"/>
        <v>Low sales</v>
      </c>
      <c r="J631" s="33" t="str">
        <f t="shared" si="19"/>
        <v>not eligible</v>
      </c>
    </row>
    <row r="632" spans="1:10" x14ac:dyDescent="0.35">
      <c r="A632" s="31">
        <v>45344.896527777775</v>
      </c>
      <c r="B632" s="32">
        <v>0.68083333333333329</v>
      </c>
      <c r="C632" s="33" t="s">
        <v>8</v>
      </c>
      <c r="D632" s="33" t="s">
        <v>12</v>
      </c>
      <c r="E632" s="34">
        <v>239.31</v>
      </c>
      <c r="F632" s="33">
        <v>3</v>
      </c>
      <c r="G632" s="34">
        <v>717.93</v>
      </c>
      <c r="H632" s="33" t="s">
        <v>261</v>
      </c>
      <c r="I632" s="33" t="str">
        <f t="shared" si="18"/>
        <v>Medium sales</v>
      </c>
      <c r="J632" s="33" t="str">
        <f t="shared" si="19"/>
        <v>not eligible</v>
      </c>
    </row>
    <row r="633" spans="1:10" x14ac:dyDescent="0.35">
      <c r="A633" s="31">
        <v>45398.305555555555</v>
      </c>
      <c r="B633" s="32">
        <v>0.99104166666666671</v>
      </c>
      <c r="C633" s="33" t="s">
        <v>14</v>
      </c>
      <c r="D633" s="33" t="s">
        <v>9</v>
      </c>
      <c r="E633" s="34">
        <v>101.72</v>
      </c>
      <c r="F633" s="33">
        <v>5</v>
      </c>
      <c r="G633" s="34">
        <v>508.6</v>
      </c>
      <c r="H633" s="33" t="s">
        <v>329</v>
      </c>
      <c r="I633" s="33" t="str">
        <f t="shared" si="18"/>
        <v>Medium sales</v>
      </c>
      <c r="J633" s="33" t="str">
        <f t="shared" si="19"/>
        <v>not eligible</v>
      </c>
    </row>
    <row r="634" spans="1:10" x14ac:dyDescent="0.35">
      <c r="A634" s="31">
        <v>45031.425694444442</v>
      </c>
      <c r="B634" s="32">
        <v>7.2314814814814818E-2</v>
      </c>
      <c r="C634" s="33" t="s">
        <v>14</v>
      </c>
      <c r="D634" s="33" t="s">
        <v>9</v>
      </c>
      <c r="E634" s="34">
        <v>451.86</v>
      </c>
      <c r="F634" s="33">
        <v>5</v>
      </c>
      <c r="G634" s="34">
        <v>2259.3000000000002</v>
      </c>
      <c r="H634" s="33" t="s">
        <v>330</v>
      </c>
      <c r="I634" s="33" t="str">
        <f t="shared" si="18"/>
        <v>High sales</v>
      </c>
      <c r="J634" s="33" t="str">
        <f t="shared" si="19"/>
        <v>not eligible</v>
      </c>
    </row>
    <row r="635" spans="1:10" x14ac:dyDescent="0.35">
      <c r="A635" s="31">
        <v>45577.210416666669</v>
      </c>
      <c r="B635" s="32">
        <v>0.21078703703703705</v>
      </c>
      <c r="C635" s="33" t="s">
        <v>8</v>
      </c>
      <c r="D635" s="33" t="s">
        <v>27</v>
      </c>
      <c r="E635" s="34">
        <v>438.7</v>
      </c>
      <c r="F635" s="33">
        <v>5</v>
      </c>
      <c r="G635" s="34">
        <v>2193.5</v>
      </c>
      <c r="H635" s="33" t="s">
        <v>331</v>
      </c>
      <c r="I635" s="33" t="str">
        <f t="shared" si="18"/>
        <v>High sales</v>
      </c>
      <c r="J635" s="33" t="str">
        <f t="shared" si="19"/>
        <v>not eligible</v>
      </c>
    </row>
    <row r="636" spans="1:10" x14ac:dyDescent="0.35">
      <c r="A636" s="31">
        <v>45227.209027777775</v>
      </c>
      <c r="B636" s="32">
        <v>0.93718749999999995</v>
      </c>
      <c r="C636" s="33" t="s">
        <v>14</v>
      </c>
      <c r="D636" s="33" t="s">
        <v>20</v>
      </c>
      <c r="E636" s="34">
        <v>191.25</v>
      </c>
      <c r="F636" s="33">
        <v>2</v>
      </c>
      <c r="G636" s="34">
        <v>382.5</v>
      </c>
      <c r="H636" s="33" t="s">
        <v>64</v>
      </c>
      <c r="I636" s="33" t="str">
        <f t="shared" si="18"/>
        <v>Low sales</v>
      </c>
      <c r="J636" s="33" t="str">
        <f t="shared" si="19"/>
        <v>not eligible</v>
      </c>
    </row>
    <row r="637" spans="1:10" x14ac:dyDescent="0.35">
      <c r="A637" s="31">
        <v>45433.29791666667</v>
      </c>
      <c r="B637" s="32">
        <v>0.75633101851851858</v>
      </c>
      <c r="C637" s="33" t="s">
        <v>11</v>
      </c>
      <c r="D637" s="33" t="s">
        <v>9</v>
      </c>
      <c r="E637" s="34">
        <v>282.68</v>
      </c>
      <c r="F637" s="33">
        <v>1</v>
      </c>
      <c r="G637" s="34">
        <v>282.68</v>
      </c>
      <c r="H637" s="33" t="s">
        <v>259</v>
      </c>
      <c r="I637" s="33" t="str">
        <f t="shared" si="18"/>
        <v>Low sales</v>
      </c>
      <c r="J637" s="33" t="str">
        <f t="shared" si="19"/>
        <v>not eligible</v>
      </c>
    </row>
    <row r="638" spans="1:10" x14ac:dyDescent="0.35">
      <c r="A638" s="31">
        <v>45180.741666666669</v>
      </c>
      <c r="B638" s="32">
        <v>0.82738425925925929</v>
      </c>
      <c r="C638" s="33" t="s">
        <v>11</v>
      </c>
      <c r="D638" s="33" t="s">
        <v>27</v>
      </c>
      <c r="E638" s="34">
        <v>402.22</v>
      </c>
      <c r="F638" s="33">
        <v>4</v>
      </c>
      <c r="G638" s="34">
        <v>1608.88</v>
      </c>
      <c r="H638" s="33" t="s">
        <v>148</v>
      </c>
      <c r="I638" s="33" t="str">
        <f t="shared" si="18"/>
        <v>High sales</v>
      </c>
      <c r="J638" s="33" t="str">
        <f t="shared" si="19"/>
        <v>eligible</v>
      </c>
    </row>
    <row r="639" spans="1:10" x14ac:dyDescent="0.35">
      <c r="A639" s="31">
        <v>45512.407638888886</v>
      </c>
      <c r="B639" s="32">
        <v>0.40743055555555557</v>
      </c>
      <c r="C639" s="33" t="s">
        <v>11</v>
      </c>
      <c r="D639" s="33" t="s">
        <v>27</v>
      </c>
      <c r="E639" s="34">
        <v>195.14</v>
      </c>
      <c r="F639" s="33">
        <v>1</v>
      </c>
      <c r="G639" s="34">
        <v>195.14</v>
      </c>
      <c r="H639" s="33" t="s">
        <v>314</v>
      </c>
      <c r="I639" s="33" t="str">
        <f t="shared" si="18"/>
        <v>Low sales</v>
      </c>
      <c r="J639" s="33" t="str">
        <f t="shared" si="19"/>
        <v>not eligible</v>
      </c>
    </row>
    <row r="640" spans="1:10" x14ac:dyDescent="0.35">
      <c r="A640" s="31">
        <v>45014.146527777775</v>
      </c>
      <c r="B640" s="32">
        <v>0.38214120370370369</v>
      </c>
      <c r="C640" s="33" t="s">
        <v>11</v>
      </c>
      <c r="D640" s="33" t="s">
        <v>20</v>
      </c>
      <c r="E640" s="34">
        <v>293.7</v>
      </c>
      <c r="F640" s="33">
        <v>4</v>
      </c>
      <c r="G640" s="34">
        <v>1174.8</v>
      </c>
      <c r="H640" s="33" t="s">
        <v>258</v>
      </c>
      <c r="I640" s="33" t="str">
        <f t="shared" si="18"/>
        <v>Medium sales</v>
      </c>
      <c r="J640" s="33" t="str">
        <f t="shared" si="19"/>
        <v>eligible</v>
      </c>
    </row>
    <row r="641" spans="1:10" x14ac:dyDescent="0.35">
      <c r="A641" s="31">
        <v>45120.649305555555</v>
      </c>
      <c r="B641" s="32">
        <v>0.27021990740740742</v>
      </c>
      <c r="C641" s="33" t="s">
        <v>11</v>
      </c>
      <c r="D641" s="33" t="s">
        <v>20</v>
      </c>
      <c r="E641" s="34">
        <v>264.27</v>
      </c>
      <c r="F641" s="33">
        <v>3</v>
      </c>
      <c r="G641" s="34">
        <v>792.81</v>
      </c>
      <c r="H641" s="33" t="s">
        <v>249</v>
      </c>
      <c r="I641" s="33" t="str">
        <f t="shared" si="18"/>
        <v>Medium sales</v>
      </c>
      <c r="J641" s="33" t="str">
        <f t="shared" si="19"/>
        <v>not eligible</v>
      </c>
    </row>
    <row r="642" spans="1:10" x14ac:dyDescent="0.35">
      <c r="A642" s="31">
        <v>45624.624305555553</v>
      </c>
      <c r="B642" s="32">
        <v>0.90021990740740743</v>
      </c>
      <c r="C642" s="33" t="s">
        <v>14</v>
      </c>
      <c r="D642" s="33" t="s">
        <v>20</v>
      </c>
      <c r="E642" s="34">
        <v>211.8</v>
      </c>
      <c r="F642" s="33">
        <v>2</v>
      </c>
      <c r="G642" s="34">
        <v>423.6</v>
      </c>
      <c r="H642" s="33" t="s">
        <v>332</v>
      </c>
      <c r="I642" s="33" t="str">
        <f t="shared" si="18"/>
        <v>Low sales</v>
      </c>
      <c r="J642" s="33" t="str">
        <f t="shared" si="19"/>
        <v>not eligible</v>
      </c>
    </row>
    <row r="643" spans="1:10" x14ac:dyDescent="0.35">
      <c r="A643" s="31">
        <v>45623.383333333331</v>
      </c>
      <c r="B643" s="32">
        <v>0.99627314814814805</v>
      </c>
      <c r="C643" s="33" t="s">
        <v>8</v>
      </c>
      <c r="D643" s="33" t="s">
        <v>20</v>
      </c>
      <c r="E643" s="34">
        <v>47</v>
      </c>
      <c r="F643" s="33">
        <v>3</v>
      </c>
      <c r="G643" s="34">
        <v>141</v>
      </c>
      <c r="H643" s="33" t="s">
        <v>245</v>
      </c>
      <c r="I643" s="33" t="str">
        <f t="shared" ref="I643:I706" si="20">IF(G643&gt;1500,"High sales", IF(G643&gt;500,"Medium sales", "Low sales"))</f>
        <v>Low sales</v>
      </c>
      <c r="J643" s="33" t="str">
        <f t="shared" ref="J643:J706" si="21">IF(AND(G643&gt;1000,C643="Premium"), "eligible", "not eligible")</f>
        <v>not eligible</v>
      </c>
    </row>
    <row r="644" spans="1:10" x14ac:dyDescent="0.35">
      <c r="A644" s="31">
        <v>45395.154861111114</v>
      </c>
      <c r="B644" s="32">
        <v>0.90158564814814823</v>
      </c>
      <c r="C644" s="33" t="s">
        <v>11</v>
      </c>
      <c r="D644" s="33" t="s">
        <v>12</v>
      </c>
      <c r="E644" s="34">
        <v>254.83</v>
      </c>
      <c r="F644" s="33">
        <v>1</v>
      </c>
      <c r="G644" s="34">
        <v>254.83</v>
      </c>
      <c r="H644" s="33" t="s">
        <v>29</v>
      </c>
      <c r="I644" s="33" t="str">
        <f t="shared" si="20"/>
        <v>Low sales</v>
      </c>
      <c r="J644" s="33" t="str">
        <f t="shared" si="21"/>
        <v>not eligible</v>
      </c>
    </row>
    <row r="645" spans="1:10" x14ac:dyDescent="0.35">
      <c r="A645" s="31">
        <v>45071.870138888888</v>
      </c>
      <c r="B645" s="32">
        <v>0.84667824074074083</v>
      </c>
      <c r="C645" s="33" t="s">
        <v>8</v>
      </c>
      <c r="D645" s="33" t="s">
        <v>20</v>
      </c>
      <c r="E645" s="34">
        <v>242.41</v>
      </c>
      <c r="F645" s="33">
        <v>1</v>
      </c>
      <c r="G645" s="34">
        <v>242.41</v>
      </c>
      <c r="H645" s="33" t="s">
        <v>333</v>
      </c>
      <c r="I645" s="33" t="str">
        <f t="shared" si="20"/>
        <v>Low sales</v>
      </c>
      <c r="J645" s="33" t="str">
        <f t="shared" si="21"/>
        <v>not eligible</v>
      </c>
    </row>
    <row r="646" spans="1:10" x14ac:dyDescent="0.35">
      <c r="A646" s="31">
        <v>45449.37777777778</v>
      </c>
      <c r="B646" s="32">
        <v>0.20221064814814815</v>
      </c>
      <c r="C646" s="33" t="s">
        <v>14</v>
      </c>
      <c r="D646" s="33" t="s">
        <v>9</v>
      </c>
      <c r="E646" s="34">
        <v>52.15</v>
      </c>
      <c r="F646" s="33">
        <v>3</v>
      </c>
      <c r="G646" s="34">
        <v>156.44999999999999</v>
      </c>
      <c r="H646" s="33" t="s">
        <v>334</v>
      </c>
      <c r="I646" s="33" t="str">
        <f t="shared" si="20"/>
        <v>Low sales</v>
      </c>
      <c r="J646" s="33" t="str">
        <f t="shared" si="21"/>
        <v>not eligible</v>
      </c>
    </row>
    <row r="647" spans="1:10" x14ac:dyDescent="0.35">
      <c r="A647" s="31">
        <v>45498.234027777777</v>
      </c>
      <c r="B647" s="32">
        <v>0.90503472222222225</v>
      </c>
      <c r="C647" s="33" t="s">
        <v>8</v>
      </c>
      <c r="D647" s="33" t="s">
        <v>12</v>
      </c>
      <c r="E647" s="34">
        <v>324.51</v>
      </c>
      <c r="F647" s="33">
        <v>1</v>
      </c>
      <c r="G647" s="34">
        <v>324.51</v>
      </c>
      <c r="H647" s="33" t="s">
        <v>115</v>
      </c>
      <c r="I647" s="33" t="str">
        <f t="shared" si="20"/>
        <v>Low sales</v>
      </c>
      <c r="J647" s="33" t="str">
        <f t="shared" si="21"/>
        <v>not eligible</v>
      </c>
    </row>
    <row r="648" spans="1:10" x14ac:dyDescent="0.35">
      <c r="A648" s="31">
        <v>45407.724999999999</v>
      </c>
      <c r="B648" s="32">
        <v>0.79775462962962962</v>
      </c>
      <c r="C648" s="33" t="s">
        <v>14</v>
      </c>
      <c r="D648" s="33" t="s">
        <v>20</v>
      </c>
      <c r="E648" s="34">
        <v>389.13</v>
      </c>
      <c r="F648" s="33">
        <v>4</v>
      </c>
      <c r="G648" s="34">
        <v>1556.52</v>
      </c>
      <c r="H648" s="33" t="s">
        <v>168</v>
      </c>
      <c r="I648" s="33" t="str">
        <f t="shared" si="20"/>
        <v>High sales</v>
      </c>
      <c r="J648" s="33" t="str">
        <f t="shared" si="21"/>
        <v>not eligible</v>
      </c>
    </row>
    <row r="649" spans="1:10" x14ac:dyDescent="0.35">
      <c r="A649" s="31">
        <v>45394.8125</v>
      </c>
      <c r="B649" s="32">
        <v>0.64089120370370367</v>
      </c>
      <c r="C649" s="33" t="s">
        <v>14</v>
      </c>
      <c r="D649" s="33" t="s">
        <v>20</v>
      </c>
      <c r="E649" s="34">
        <v>123.88</v>
      </c>
      <c r="F649" s="33">
        <v>2</v>
      </c>
      <c r="G649" s="34">
        <v>247.76</v>
      </c>
      <c r="H649" s="33" t="s">
        <v>335</v>
      </c>
      <c r="I649" s="33" t="str">
        <f t="shared" si="20"/>
        <v>Low sales</v>
      </c>
      <c r="J649" s="33" t="str">
        <f t="shared" si="21"/>
        <v>not eligible</v>
      </c>
    </row>
    <row r="650" spans="1:10" x14ac:dyDescent="0.35">
      <c r="A650" s="31">
        <v>45208.542361111111</v>
      </c>
      <c r="B650" s="32">
        <v>6.2025462962962963E-2</v>
      </c>
      <c r="C650" s="33" t="s">
        <v>8</v>
      </c>
      <c r="D650" s="33" t="s">
        <v>12</v>
      </c>
      <c r="E650" s="34">
        <v>465.69</v>
      </c>
      <c r="F650" s="33">
        <v>3</v>
      </c>
      <c r="G650" s="34">
        <v>1397.07</v>
      </c>
      <c r="H650" s="33" t="s">
        <v>189</v>
      </c>
      <c r="I650" s="33" t="str">
        <f t="shared" si="20"/>
        <v>Medium sales</v>
      </c>
      <c r="J650" s="33" t="str">
        <f t="shared" si="21"/>
        <v>not eligible</v>
      </c>
    </row>
    <row r="651" spans="1:10" x14ac:dyDescent="0.35">
      <c r="A651" s="31">
        <v>45260.063888888886</v>
      </c>
      <c r="B651" s="32">
        <v>0.26403935185185184</v>
      </c>
      <c r="C651" s="33" t="s">
        <v>11</v>
      </c>
      <c r="D651" s="33" t="s">
        <v>20</v>
      </c>
      <c r="E651" s="34">
        <v>272.51</v>
      </c>
      <c r="F651" s="33">
        <v>3</v>
      </c>
      <c r="G651" s="34">
        <v>817.53</v>
      </c>
      <c r="H651" s="33" t="s">
        <v>172</v>
      </c>
      <c r="I651" s="33" t="str">
        <f t="shared" si="20"/>
        <v>Medium sales</v>
      </c>
      <c r="J651" s="33" t="str">
        <f t="shared" si="21"/>
        <v>not eligible</v>
      </c>
    </row>
    <row r="652" spans="1:10" x14ac:dyDescent="0.35">
      <c r="A652" s="31">
        <v>45086.917361111111</v>
      </c>
      <c r="B652" s="32">
        <v>0.2754861111111111</v>
      </c>
      <c r="C652" s="33" t="s">
        <v>14</v>
      </c>
      <c r="D652" s="33" t="s">
        <v>16</v>
      </c>
      <c r="E652" s="34">
        <v>88.24</v>
      </c>
      <c r="F652" s="33">
        <v>4</v>
      </c>
      <c r="G652" s="34">
        <v>352.96</v>
      </c>
      <c r="H652" s="33" t="s">
        <v>149</v>
      </c>
      <c r="I652" s="33" t="str">
        <f t="shared" si="20"/>
        <v>Low sales</v>
      </c>
      <c r="J652" s="33" t="str">
        <f t="shared" si="21"/>
        <v>not eligible</v>
      </c>
    </row>
    <row r="653" spans="1:10" x14ac:dyDescent="0.35">
      <c r="A653" s="31">
        <v>45220.602777777778</v>
      </c>
      <c r="B653" s="32">
        <v>0.31370370370370371</v>
      </c>
      <c r="C653" s="33" t="s">
        <v>11</v>
      </c>
      <c r="D653" s="33" t="s">
        <v>12</v>
      </c>
      <c r="E653" s="34">
        <v>242.07</v>
      </c>
      <c r="F653" s="33">
        <v>1</v>
      </c>
      <c r="G653" s="34">
        <v>242.07</v>
      </c>
      <c r="H653" s="33" t="s">
        <v>127</v>
      </c>
      <c r="I653" s="33" t="str">
        <f t="shared" si="20"/>
        <v>Low sales</v>
      </c>
      <c r="J653" s="33" t="str">
        <f t="shared" si="21"/>
        <v>not eligible</v>
      </c>
    </row>
    <row r="654" spans="1:10" x14ac:dyDescent="0.35">
      <c r="A654" s="31">
        <v>45316.472916666666</v>
      </c>
      <c r="B654" s="32">
        <v>0.38800925925925928</v>
      </c>
      <c r="C654" s="33" t="s">
        <v>14</v>
      </c>
      <c r="D654" s="33" t="s">
        <v>20</v>
      </c>
      <c r="E654" s="34">
        <v>454.36</v>
      </c>
      <c r="F654" s="33">
        <v>1</v>
      </c>
      <c r="G654" s="34">
        <v>454.36</v>
      </c>
      <c r="H654" s="33" t="s">
        <v>336</v>
      </c>
      <c r="I654" s="33" t="str">
        <f t="shared" si="20"/>
        <v>Low sales</v>
      </c>
      <c r="J654" s="33" t="str">
        <f t="shared" si="21"/>
        <v>not eligible</v>
      </c>
    </row>
    <row r="655" spans="1:10" x14ac:dyDescent="0.35">
      <c r="A655" s="31">
        <v>45433.137499999997</v>
      </c>
      <c r="B655" s="32">
        <v>0.77099537037037036</v>
      </c>
      <c r="C655" s="33" t="s">
        <v>14</v>
      </c>
      <c r="D655" s="33" t="s">
        <v>16</v>
      </c>
      <c r="E655" s="34">
        <v>472.87</v>
      </c>
      <c r="F655" s="33">
        <v>1</v>
      </c>
      <c r="G655" s="34">
        <v>472.87</v>
      </c>
      <c r="H655" s="33" t="s">
        <v>202</v>
      </c>
      <c r="I655" s="33" t="str">
        <f t="shared" si="20"/>
        <v>Low sales</v>
      </c>
      <c r="J655" s="33" t="str">
        <f t="shared" si="21"/>
        <v>not eligible</v>
      </c>
    </row>
    <row r="656" spans="1:10" x14ac:dyDescent="0.35">
      <c r="A656" s="31">
        <v>45177.677083333336</v>
      </c>
      <c r="B656" s="32">
        <v>0.2386574074074074</v>
      </c>
      <c r="C656" s="33" t="s">
        <v>8</v>
      </c>
      <c r="D656" s="33" t="s">
        <v>9</v>
      </c>
      <c r="E656" s="34">
        <v>36.020000000000003</v>
      </c>
      <c r="F656" s="33">
        <v>3</v>
      </c>
      <c r="G656" s="34">
        <v>108.06</v>
      </c>
      <c r="H656" s="33" t="s">
        <v>133</v>
      </c>
      <c r="I656" s="33" t="str">
        <f t="shared" si="20"/>
        <v>Low sales</v>
      </c>
      <c r="J656" s="33" t="str">
        <f t="shared" si="21"/>
        <v>not eligible</v>
      </c>
    </row>
    <row r="657" spans="1:10" x14ac:dyDescent="0.35">
      <c r="A657" s="31">
        <v>45448.626388888886</v>
      </c>
      <c r="B657" s="32">
        <v>0.72365740740740747</v>
      </c>
      <c r="C657" s="33" t="s">
        <v>14</v>
      </c>
      <c r="D657" s="33" t="s">
        <v>9</v>
      </c>
      <c r="E657" s="34">
        <v>198.45</v>
      </c>
      <c r="F657" s="33">
        <v>2</v>
      </c>
      <c r="G657" s="34">
        <v>396.9</v>
      </c>
      <c r="H657" s="33" t="s">
        <v>328</v>
      </c>
      <c r="I657" s="33" t="str">
        <f t="shared" si="20"/>
        <v>Low sales</v>
      </c>
      <c r="J657" s="33" t="str">
        <f t="shared" si="21"/>
        <v>not eligible</v>
      </c>
    </row>
    <row r="658" spans="1:10" x14ac:dyDescent="0.35">
      <c r="A658" s="31">
        <v>45631.556250000001</v>
      </c>
      <c r="B658" s="32">
        <v>0.28847222222222224</v>
      </c>
      <c r="C658" s="33" t="s">
        <v>14</v>
      </c>
      <c r="D658" s="33" t="s">
        <v>20</v>
      </c>
      <c r="E658" s="34">
        <v>143.44</v>
      </c>
      <c r="F658" s="33">
        <v>3</v>
      </c>
      <c r="G658" s="34">
        <v>430.32</v>
      </c>
      <c r="H658" s="33" t="s">
        <v>337</v>
      </c>
      <c r="I658" s="33" t="str">
        <f t="shared" si="20"/>
        <v>Low sales</v>
      </c>
      <c r="J658" s="33" t="str">
        <f t="shared" si="21"/>
        <v>not eligible</v>
      </c>
    </row>
    <row r="659" spans="1:10" x14ac:dyDescent="0.35">
      <c r="A659" s="31">
        <v>45077.938194444447</v>
      </c>
      <c r="B659" s="32">
        <v>0.6572337962962963</v>
      </c>
      <c r="C659" s="33" t="s">
        <v>14</v>
      </c>
      <c r="D659" s="33" t="s">
        <v>9</v>
      </c>
      <c r="E659" s="34">
        <v>104.44</v>
      </c>
      <c r="F659" s="33">
        <v>2</v>
      </c>
      <c r="G659" s="34">
        <v>208.88</v>
      </c>
      <c r="H659" s="33" t="s">
        <v>338</v>
      </c>
      <c r="I659" s="33" t="str">
        <f t="shared" si="20"/>
        <v>Low sales</v>
      </c>
      <c r="J659" s="33" t="str">
        <f t="shared" si="21"/>
        <v>not eligible</v>
      </c>
    </row>
    <row r="660" spans="1:10" x14ac:dyDescent="0.35">
      <c r="A660" s="31">
        <v>44992.14166666667</v>
      </c>
      <c r="B660" s="32">
        <v>0.90901620370370362</v>
      </c>
      <c r="C660" s="33" t="s">
        <v>11</v>
      </c>
      <c r="D660" s="33" t="s">
        <v>20</v>
      </c>
      <c r="E660" s="34">
        <v>81.48</v>
      </c>
      <c r="F660" s="33">
        <v>1</v>
      </c>
      <c r="G660" s="34">
        <v>81.48</v>
      </c>
      <c r="H660" s="33" t="s">
        <v>339</v>
      </c>
      <c r="I660" s="33" t="str">
        <f t="shared" si="20"/>
        <v>Low sales</v>
      </c>
      <c r="J660" s="33" t="str">
        <f t="shared" si="21"/>
        <v>not eligible</v>
      </c>
    </row>
    <row r="661" spans="1:10" x14ac:dyDescent="0.35">
      <c r="A661" s="31">
        <v>45240.76666666667</v>
      </c>
      <c r="B661" s="32">
        <v>0.82076388888888896</v>
      </c>
      <c r="C661" s="33" t="s">
        <v>14</v>
      </c>
      <c r="D661" s="33" t="s">
        <v>9</v>
      </c>
      <c r="E661" s="34">
        <v>69.63</v>
      </c>
      <c r="F661" s="33">
        <v>2</v>
      </c>
      <c r="G661" s="34">
        <v>139.26</v>
      </c>
      <c r="H661" s="33" t="s">
        <v>175</v>
      </c>
      <c r="I661" s="33" t="str">
        <f t="shared" si="20"/>
        <v>Low sales</v>
      </c>
      <c r="J661" s="33" t="str">
        <f t="shared" si="21"/>
        <v>not eligible</v>
      </c>
    </row>
    <row r="662" spans="1:10" x14ac:dyDescent="0.35">
      <c r="A662" s="31">
        <v>45286.367361111108</v>
      </c>
      <c r="B662" s="32">
        <v>0.60281249999999997</v>
      </c>
      <c r="C662" s="33" t="s">
        <v>14</v>
      </c>
      <c r="D662" s="33" t="s">
        <v>16</v>
      </c>
      <c r="E662" s="34">
        <v>63.08</v>
      </c>
      <c r="F662" s="33">
        <v>1</v>
      </c>
      <c r="G662" s="34">
        <v>63.08</v>
      </c>
      <c r="H662" s="33" t="s">
        <v>99</v>
      </c>
      <c r="I662" s="33" t="str">
        <f t="shared" si="20"/>
        <v>Low sales</v>
      </c>
      <c r="J662" s="33" t="str">
        <f t="shared" si="21"/>
        <v>not eligible</v>
      </c>
    </row>
    <row r="663" spans="1:10" x14ac:dyDescent="0.35">
      <c r="A663" s="31">
        <v>45116.927777777775</v>
      </c>
      <c r="B663" s="32">
        <v>0.25836805555555559</v>
      </c>
      <c r="C663" s="33" t="s">
        <v>8</v>
      </c>
      <c r="D663" s="33" t="s">
        <v>12</v>
      </c>
      <c r="E663" s="34">
        <v>375.96</v>
      </c>
      <c r="F663" s="33">
        <v>5</v>
      </c>
      <c r="G663" s="34">
        <v>1879.8</v>
      </c>
      <c r="H663" s="33" t="s">
        <v>250</v>
      </c>
      <c r="I663" s="33" t="str">
        <f t="shared" si="20"/>
        <v>High sales</v>
      </c>
      <c r="J663" s="33" t="str">
        <f t="shared" si="21"/>
        <v>not eligible</v>
      </c>
    </row>
    <row r="664" spans="1:10" x14ac:dyDescent="0.35">
      <c r="A664" s="31">
        <v>45364.194444444445</v>
      </c>
      <c r="B664" s="32">
        <v>0.9587268518518518</v>
      </c>
      <c r="C664" s="33" t="s">
        <v>8</v>
      </c>
      <c r="D664" s="33" t="s">
        <v>12</v>
      </c>
      <c r="E664" s="34">
        <v>284.87</v>
      </c>
      <c r="F664" s="33">
        <v>5</v>
      </c>
      <c r="G664" s="34">
        <v>1424.35</v>
      </c>
      <c r="H664" s="33" t="s">
        <v>13</v>
      </c>
      <c r="I664" s="33" t="str">
        <f t="shared" si="20"/>
        <v>Medium sales</v>
      </c>
      <c r="J664" s="33" t="str">
        <f t="shared" si="21"/>
        <v>not eligible</v>
      </c>
    </row>
    <row r="665" spans="1:10" x14ac:dyDescent="0.35">
      <c r="A665" s="31">
        <v>45092.149305555555</v>
      </c>
      <c r="B665" s="32">
        <v>0.54600694444444442</v>
      </c>
      <c r="C665" s="33" t="s">
        <v>8</v>
      </c>
      <c r="D665" s="33" t="s">
        <v>12</v>
      </c>
      <c r="E665" s="34">
        <v>233.72</v>
      </c>
      <c r="F665" s="33">
        <v>3</v>
      </c>
      <c r="G665" s="34">
        <v>701.16</v>
      </c>
      <c r="H665" s="33" t="s">
        <v>340</v>
      </c>
      <c r="I665" s="33" t="str">
        <f t="shared" si="20"/>
        <v>Medium sales</v>
      </c>
      <c r="J665" s="33" t="str">
        <f t="shared" si="21"/>
        <v>not eligible</v>
      </c>
    </row>
    <row r="666" spans="1:10" x14ac:dyDescent="0.35">
      <c r="A666" s="31">
        <v>45600.370138888888</v>
      </c>
      <c r="B666" s="32">
        <v>3.4016203703703708E-2</v>
      </c>
      <c r="C666" s="33" t="s">
        <v>14</v>
      </c>
      <c r="D666" s="33" t="s">
        <v>20</v>
      </c>
      <c r="E666" s="34">
        <v>292.74</v>
      </c>
      <c r="F666" s="33">
        <v>2</v>
      </c>
      <c r="G666" s="34">
        <v>585.48</v>
      </c>
      <c r="H666" s="33" t="s">
        <v>266</v>
      </c>
      <c r="I666" s="33" t="str">
        <f t="shared" si="20"/>
        <v>Medium sales</v>
      </c>
      <c r="J666" s="33" t="str">
        <f t="shared" si="21"/>
        <v>not eligible</v>
      </c>
    </row>
    <row r="667" spans="1:10" x14ac:dyDescent="0.35">
      <c r="A667" s="31">
        <v>45640.863194444442</v>
      </c>
      <c r="B667" s="32">
        <v>0.61031250000000004</v>
      </c>
      <c r="C667" s="33" t="s">
        <v>11</v>
      </c>
      <c r="D667" s="33" t="s">
        <v>20</v>
      </c>
      <c r="E667" s="34">
        <v>252.23</v>
      </c>
      <c r="F667" s="33">
        <v>4</v>
      </c>
      <c r="G667" s="34">
        <v>1008.92</v>
      </c>
      <c r="H667" s="33" t="s">
        <v>232</v>
      </c>
      <c r="I667" s="33" t="str">
        <f t="shared" si="20"/>
        <v>Medium sales</v>
      </c>
      <c r="J667" s="33" t="str">
        <f t="shared" si="21"/>
        <v>eligible</v>
      </c>
    </row>
    <row r="668" spans="1:10" x14ac:dyDescent="0.35">
      <c r="A668" s="31">
        <v>45624.236111111109</v>
      </c>
      <c r="B668" s="32">
        <v>0.54937500000000006</v>
      </c>
      <c r="C668" s="33" t="s">
        <v>11</v>
      </c>
      <c r="D668" s="33" t="s">
        <v>20</v>
      </c>
      <c r="E668" s="34">
        <v>161.62</v>
      </c>
      <c r="F668" s="33">
        <v>2</v>
      </c>
      <c r="G668" s="34">
        <v>323.24</v>
      </c>
      <c r="H668" s="33" t="s">
        <v>341</v>
      </c>
      <c r="I668" s="33" t="str">
        <f t="shared" si="20"/>
        <v>Low sales</v>
      </c>
      <c r="J668" s="33" t="str">
        <f t="shared" si="21"/>
        <v>not eligible</v>
      </c>
    </row>
    <row r="669" spans="1:10" x14ac:dyDescent="0.35">
      <c r="A669" s="31">
        <v>45485.080555555556</v>
      </c>
      <c r="B669" s="32">
        <v>0.25417824074074075</v>
      </c>
      <c r="C669" s="33" t="s">
        <v>14</v>
      </c>
      <c r="D669" s="33" t="s">
        <v>12</v>
      </c>
      <c r="E669" s="34">
        <v>261.41000000000003</v>
      </c>
      <c r="F669" s="33">
        <v>1</v>
      </c>
      <c r="G669" s="34">
        <v>261.41000000000003</v>
      </c>
      <c r="H669" s="33" t="s">
        <v>77</v>
      </c>
      <c r="I669" s="33" t="str">
        <f t="shared" si="20"/>
        <v>Low sales</v>
      </c>
      <c r="J669" s="33" t="str">
        <f t="shared" si="21"/>
        <v>not eligible</v>
      </c>
    </row>
    <row r="670" spans="1:10" x14ac:dyDescent="0.35">
      <c r="A670" s="31">
        <v>45527.018055555556</v>
      </c>
      <c r="B670" s="32">
        <v>9.6712962962962959E-2</v>
      </c>
      <c r="C670" s="33" t="s">
        <v>11</v>
      </c>
      <c r="D670" s="33" t="s">
        <v>27</v>
      </c>
      <c r="E670" s="34">
        <v>379.59</v>
      </c>
      <c r="F670" s="33">
        <v>3</v>
      </c>
      <c r="G670" s="34">
        <v>1138.77</v>
      </c>
      <c r="H670" s="33" t="s">
        <v>21</v>
      </c>
      <c r="I670" s="33" t="str">
        <f t="shared" si="20"/>
        <v>Medium sales</v>
      </c>
      <c r="J670" s="33" t="str">
        <f t="shared" si="21"/>
        <v>eligible</v>
      </c>
    </row>
    <row r="671" spans="1:10" x14ac:dyDescent="0.35">
      <c r="A671" s="31">
        <v>45162.707638888889</v>
      </c>
      <c r="B671" s="32">
        <v>0.24708333333333332</v>
      </c>
      <c r="C671" s="33" t="s">
        <v>14</v>
      </c>
      <c r="D671" s="33" t="s">
        <v>9</v>
      </c>
      <c r="E671" s="34">
        <v>426.94</v>
      </c>
      <c r="F671" s="33">
        <v>2</v>
      </c>
      <c r="G671" s="34">
        <v>853.88</v>
      </c>
      <c r="H671" s="33" t="s">
        <v>187</v>
      </c>
      <c r="I671" s="33" t="str">
        <f t="shared" si="20"/>
        <v>Medium sales</v>
      </c>
      <c r="J671" s="33" t="str">
        <f t="shared" si="21"/>
        <v>not eligible</v>
      </c>
    </row>
    <row r="672" spans="1:10" x14ac:dyDescent="0.35">
      <c r="A672" s="31">
        <v>45248.538194444445</v>
      </c>
      <c r="B672" s="32">
        <v>0.28733796296296293</v>
      </c>
      <c r="C672" s="33" t="s">
        <v>8</v>
      </c>
      <c r="D672" s="33" t="s">
        <v>20</v>
      </c>
      <c r="E672" s="34">
        <v>393.95</v>
      </c>
      <c r="F672" s="33">
        <v>3</v>
      </c>
      <c r="G672" s="34">
        <v>1181.8499999999999</v>
      </c>
      <c r="H672" s="33" t="s">
        <v>204</v>
      </c>
      <c r="I672" s="33" t="str">
        <f t="shared" si="20"/>
        <v>Medium sales</v>
      </c>
      <c r="J672" s="33" t="str">
        <f t="shared" si="21"/>
        <v>not eligible</v>
      </c>
    </row>
    <row r="673" spans="1:10" x14ac:dyDescent="0.35">
      <c r="A673" s="31">
        <v>45188.180555555555</v>
      </c>
      <c r="B673" s="32">
        <v>0.61265046296296299</v>
      </c>
      <c r="C673" s="33" t="s">
        <v>11</v>
      </c>
      <c r="D673" s="33" t="s">
        <v>16</v>
      </c>
      <c r="E673" s="34">
        <v>111.91</v>
      </c>
      <c r="F673" s="33">
        <v>2</v>
      </c>
      <c r="G673" s="34">
        <v>223.82</v>
      </c>
      <c r="H673" s="33" t="s">
        <v>342</v>
      </c>
      <c r="I673" s="33" t="str">
        <f t="shared" si="20"/>
        <v>Low sales</v>
      </c>
      <c r="J673" s="33" t="str">
        <f t="shared" si="21"/>
        <v>not eligible</v>
      </c>
    </row>
    <row r="674" spans="1:10" x14ac:dyDescent="0.35">
      <c r="A674" s="31">
        <v>45502.663194444445</v>
      </c>
      <c r="B674" s="32">
        <v>0.16754629629629628</v>
      </c>
      <c r="C674" s="33" t="s">
        <v>14</v>
      </c>
      <c r="D674" s="33" t="s">
        <v>12</v>
      </c>
      <c r="E674" s="34">
        <v>429.23</v>
      </c>
      <c r="F674" s="33">
        <v>2</v>
      </c>
      <c r="G674" s="34">
        <v>858.46</v>
      </c>
      <c r="H674" s="33" t="s">
        <v>182</v>
      </c>
      <c r="I674" s="33" t="str">
        <f t="shared" si="20"/>
        <v>Medium sales</v>
      </c>
      <c r="J674" s="33" t="str">
        <f t="shared" si="21"/>
        <v>not eligible</v>
      </c>
    </row>
    <row r="675" spans="1:10" x14ac:dyDescent="0.35">
      <c r="A675" s="31">
        <v>45218.652777777781</v>
      </c>
      <c r="B675" s="32">
        <v>2.3217592592592592E-2</v>
      </c>
      <c r="C675" s="33" t="s">
        <v>8</v>
      </c>
      <c r="D675" s="33" t="s">
        <v>20</v>
      </c>
      <c r="E675" s="34">
        <v>361.29</v>
      </c>
      <c r="F675" s="33">
        <v>1</v>
      </c>
      <c r="G675" s="34">
        <v>361.29</v>
      </c>
      <c r="H675" s="33" t="s">
        <v>159</v>
      </c>
      <c r="I675" s="33" t="str">
        <f t="shared" si="20"/>
        <v>Low sales</v>
      </c>
      <c r="J675" s="33" t="str">
        <f t="shared" si="21"/>
        <v>not eligible</v>
      </c>
    </row>
    <row r="676" spans="1:10" x14ac:dyDescent="0.35">
      <c r="A676" s="31">
        <v>45598.214583333334</v>
      </c>
      <c r="B676" s="32">
        <v>0.27295138888888887</v>
      </c>
      <c r="C676" s="33" t="s">
        <v>8</v>
      </c>
      <c r="D676" s="33" t="s">
        <v>27</v>
      </c>
      <c r="E676" s="34">
        <v>259.98</v>
      </c>
      <c r="F676" s="33">
        <v>1</v>
      </c>
      <c r="G676" s="34">
        <v>259.98</v>
      </c>
      <c r="H676" s="33" t="s">
        <v>343</v>
      </c>
      <c r="I676" s="33" t="str">
        <f t="shared" si="20"/>
        <v>Low sales</v>
      </c>
      <c r="J676" s="33" t="str">
        <f t="shared" si="21"/>
        <v>not eligible</v>
      </c>
    </row>
    <row r="677" spans="1:10" x14ac:dyDescent="0.35">
      <c r="A677" s="31">
        <v>45432.030555555553</v>
      </c>
      <c r="B677" s="32">
        <v>0.48864583333333328</v>
      </c>
      <c r="C677" s="33" t="s">
        <v>14</v>
      </c>
      <c r="D677" s="33" t="s">
        <v>12</v>
      </c>
      <c r="E677" s="34">
        <v>304.49</v>
      </c>
      <c r="F677" s="33">
        <v>2</v>
      </c>
      <c r="G677" s="34">
        <v>608.98</v>
      </c>
      <c r="H677" s="33" t="s">
        <v>344</v>
      </c>
      <c r="I677" s="33" t="str">
        <f t="shared" si="20"/>
        <v>Medium sales</v>
      </c>
      <c r="J677" s="33" t="str">
        <f t="shared" si="21"/>
        <v>not eligible</v>
      </c>
    </row>
    <row r="678" spans="1:10" x14ac:dyDescent="0.35">
      <c r="A678" s="31">
        <v>45388.126388888886</v>
      </c>
      <c r="B678" s="32">
        <v>0.42456018518518518</v>
      </c>
      <c r="C678" s="33" t="s">
        <v>14</v>
      </c>
      <c r="D678" s="33" t="s">
        <v>12</v>
      </c>
      <c r="E678" s="34">
        <v>418.78</v>
      </c>
      <c r="F678" s="33">
        <v>3</v>
      </c>
      <c r="G678" s="34">
        <v>1256.3399999999999</v>
      </c>
      <c r="H678" s="33" t="s">
        <v>88</v>
      </c>
      <c r="I678" s="33" t="str">
        <f t="shared" si="20"/>
        <v>Medium sales</v>
      </c>
      <c r="J678" s="33" t="str">
        <f t="shared" si="21"/>
        <v>not eligible</v>
      </c>
    </row>
    <row r="679" spans="1:10" x14ac:dyDescent="0.35">
      <c r="A679" s="31">
        <v>45629.375</v>
      </c>
      <c r="B679" s="32">
        <v>0.51111111111111118</v>
      </c>
      <c r="C679" s="33" t="s">
        <v>14</v>
      </c>
      <c r="D679" s="33" t="s">
        <v>12</v>
      </c>
      <c r="E679" s="34">
        <v>370.17</v>
      </c>
      <c r="F679" s="33">
        <v>2</v>
      </c>
      <c r="G679" s="34">
        <v>740.34</v>
      </c>
      <c r="H679" s="33" t="s">
        <v>120</v>
      </c>
      <c r="I679" s="33" t="str">
        <f t="shared" si="20"/>
        <v>Medium sales</v>
      </c>
      <c r="J679" s="33" t="str">
        <f t="shared" si="21"/>
        <v>not eligible</v>
      </c>
    </row>
    <row r="680" spans="1:10" x14ac:dyDescent="0.35">
      <c r="A680" s="31">
        <v>45592.356944444444</v>
      </c>
      <c r="B680" s="32">
        <v>0.4371990740740741</v>
      </c>
      <c r="C680" s="33" t="s">
        <v>14</v>
      </c>
      <c r="D680" s="33" t="s">
        <v>12</v>
      </c>
      <c r="E680" s="34">
        <v>385.66</v>
      </c>
      <c r="F680" s="33">
        <v>3</v>
      </c>
      <c r="G680" s="34">
        <v>1156.98</v>
      </c>
      <c r="H680" s="33" t="s">
        <v>277</v>
      </c>
      <c r="I680" s="33" t="str">
        <f t="shared" si="20"/>
        <v>Medium sales</v>
      </c>
      <c r="J680" s="33" t="str">
        <f t="shared" si="21"/>
        <v>not eligible</v>
      </c>
    </row>
    <row r="681" spans="1:10" x14ac:dyDescent="0.35">
      <c r="A681" s="31">
        <v>45064.673611111109</v>
      </c>
      <c r="B681" s="32">
        <v>0.26856481481481481</v>
      </c>
      <c r="C681" s="33" t="s">
        <v>11</v>
      </c>
      <c r="D681" s="33" t="s">
        <v>27</v>
      </c>
      <c r="E681" s="34">
        <v>265.07</v>
      </c>
      <c r="F681" s="33">
        <v>3</v>
      </c>
      <c r="G681" s="34">
        <v>795.21</v>
      </c>
      <c r="H681" s="33" t="s">
        <v>333</v>
      </c>
      <c r="I681" s="33" t="str">
        <f t="shared" si="20"/>
        <v>Medium sales</v>
      </c>
      <c r="J681" s="33" t="str">
        <f t="shared" si="21"/>
        <v>not eligible</v>
      </c>
    </row>
    <row r="682" spans="1:10" x14ac:dyDescent="0.35">
      <c r="A682" s="31">
        <v>45281.691666666666</v>
      </c>
      <c r="B682" s="32">
        <v>0.77804398148148157</v>
      </c>
      <c r="C682" s="33" t="s">
        <v>14</v>
      </c>
      <c r="D682" s="33" t="s">
        <v>20</v>
      </c>
      <c r="E682" s="34">
        <v>68.23</v>
      </c>
      <c r="F682" s="33">
        <v>1</v>
      </c>
      <c r="G682" s="34">
        <v>68.23</v>
      </c>
      <c r="H682" s="33" t="s">
        <v>345</v>
      </c>
      <c r="I682" s="33" t="str">
        <f t="shared" si="20"/>
        <v>Low sales</v>
      </c>
      <c r="J682" s="33" t="str">
        <f t="shared" si="21"/>
        <v>not eligible</v>
      </c>
    </row>
    <row r="683" spans="1:10" x14ac:dyDescent="0.35">
      <c r="A683" s="31">
        <v>45640.996527777781</v>
      </c>
      <c r="B683" s="32">
        <v>0.6877199074074074</v>
      </c>
      <c r="C683" s="33" t="s">
        <v>8</v>
      </c>
      <c r="D683" s="33" t="s">
        <v>27</v>
      </c>
      <c r="E683" s="34">
        <v>466.87</v>
      </c>
      <c r="F683" s="33">
        <v>1</v>
      </c>
      <c r="G683" s="34">
        <v>466.87</v>
      </c>
      <c r="H683" s="33" t="s">
        <v>154</v>
      </c>
      <c r="I683" s="33" t="str">
        <f t="shared" si="20"/>
        <v>Low sales</v>
      </c>
      <c r="J683" s="33" t="str">
        <f t="shared" si="21"/>
        <v>not eligible</v>
      </c>
    </row>
    <row r="684" spans="1:10" x14ac:dyDescent="0.35">
      <c r="A684" s="31">
        <v>45425.425694444442</v>
      </c>
      <c r="B684" s="32">
        <v>0.52917824074074071</v>
      </c>
      <c r="C684" s="33" t="s">
        <v>14</v>
      </c>
      <c r="D684" s="33" t="s">
        <v>9</v>
      </c>
      <c r="E684" s="34">
        <v>69.849999999999994</v>
      </c>
      <c r="F684" s="33">
        <v>3</v>
      </c>
      <c r="G684" s="34">
        <v>209.55</v>
      </c>
      <c r="H684" s="33" t="s">
        <v>346</v>
      </c>
      <c r="I684" s="33" t="str">
        <f t="shared" si="20"/>
        <v>Low sales</v>
      </c>
      <c r="J684" s="33" t="str">
        <f t="shared" si="21"/>
        <v>not eligible</v>
      </c>
    </row>
    <row r="685" spans="1:10" x14ac:dyDescent="0.35">
      <c r="A685" s="31">
        <v>45422.004166666666</v>
      </c>
      <c r="B685" s="32">
        <v>0.80082175925925936</v>
      </c>
      <c r="C685" s="33" t="s">
        <v>14</v>
      </c>
      <c r="D685" s="33" t="s">
        <v>16</v>
      </c>
      <c r="E685" s="34">
        <v>18.98</v>
      </c>
      <c r="F685" s="33">
        <v>1</v>
      </c>
      <c r="G685" s="34">
        <v>18.98</v>
      </c>
      <c r="H685" s="33" t="s">
        <v>347</v>
      </c>
      <c r="I685" s="33" t="str">
        <f t="shared" si="20"/>
        <v>Low sales</v>
      </c>
      <c r="J685" s="33" t="str">
        <f t="shared" si="21"/>
        <v>not eligible</v>
      </c>
    </row>
    <row r="686" spans="1:10" x14ac:dyDescent="0.35">
      <c r="A686" s="31">
        <v>45302.363194444442</v>
      </c>
      <c r="B686" s="32">
        <v>0.34105324074074073</v>
      </c>
      <c r="C686" s="33" t="s">
        <v>8</v>
      </c>
      <c r="D686" s="33" t="s">
        <v>16</v>
      </c>
      <c r="E686" s="34">
        <v>468.21</v>
      </c>
      <c r="F686" s="33">
        <v>2</v>
      </c>
      <c r="G686" s="34">
        <v>936.42</v>
      </c>
      <c r="H686" s="33" t="s">
        <v>294</v>
      </c>
      <c r="I686" s="33" t="str">
        <f t="shared" si="20"/>
        <v>Medium sales</v>
      </c>
      <c r="J686" s="33" t="str">
        <f t="shared" si="21"/>
        <v>not eligible</v>
      </c>
    </row>
    <row r="687" spans="1:10" x14ac:dyDescent="0.35">
      <c r="A687" s="31">
        <v>45122.146527777775</v>
      </c>
      <c r="B687" s="32">
        <v>1.247685185185185E-2</v>
      </c>
      <c r="C687" s="33" t="s">
        <v>8</v>
      </c>
      <c r="D687" s="33" t="s">
        <v>27</v>
      </c>
      <c r="E687" s="34">
        <v>249.95</v>
      </c>
      <c r="F687" s="33">
        <v>1</v>
      </c>
      <c r="G687" s="34">
        <v>249.95</v>
      </c>
      <c r="H687" s="33" t="s">
        <v>348</v>
      </c>
      <c r="I687" s="33" t="str">
        <f t="shared" si="20"/>
        <v>Low sales</v>
      </c>
      <c r="J687" s="33" t="str">
        <f t="shared" si="21"/>
        <v>not eligible</v>
      </c>
    </row>
    <row r="688" spans="1:10" x14ac:dyDescent="0.35">
      <c r="A688" s="31">
        <v>44941.21875</v>
      </c>
      <c r="B688" s="32">
        <v>4.7511574074074074E-2</v>
      </c>
      <c r="C688" s="33" t="s">
        <v>14</v>
      </c>
      <c r="D688" s="33" t="s">
        <v>16</v>
      </c>
      <c r="E688" s="34">
        <v>493.51</v>
      </c>
      <c r="F688" s="33">
        <v>2</v>
      </c>
      <c r="G688" s="34">
        <v>987.02</v>
      </c>
      <c r="H688" s="33" t="s">
        <v>106</v>
      </c>
      <c r="I688" s="33" t="str">
        <f t="shared" si="20"/>
        <v>Medium sales</v>
      </c>
      <c r="J688" s="33" t="str">
        <f t="shared" si="21"/>
        <v>not eligible</v>
      </c>
    </row>
    <row r="689" spans="1:10" x14ac:dyDescent="0.35">
      <c r="A689" s="31">
        <v>45199.517361111109</v>
      </c>
      <c r="B689" s="32">
        <v>0.34013888888888894</v>
      </c>
      <c r="C689" s="33" t="s">
        <v>14</v>
      </c>
      <c r="D689" s="33" t="s">
        <v>27</v>
      </c>
      <c r="E689" s="34">
        <v>337.44</v>
      </c>
      <c r="F689" s="33">
        <v>4</v>
      </c>
      <c r="G689" s="34">
        <v>1349.76</v>
      </c>
      <c r="H689" s="33" t="s">
        <v>108</v>
      </c>
      <c r="I689" s="33" t="str">
        <f t="shared" si="20"/>
        <v>Medium sales</v>
      </c>
      <c r="J689" s="33" t="str">
        <f t="shared" si="21"/>
        <v>not eligible</v>
      </c>
    </row>
    <row r="690" spans="1:10" x14ac:dyDescent="0.35">
      <c r="A690" s="31">
        <v>45661.630555555559</v>
      </c>
      <c r="B690" s="32">
        <v>0.51438657407407407</v>
      </c>
      <c r="C690" s="33" t="s">
        <v>11</v>
      </c>
      <c r="D690" s="33" t="s">
        <v>12</v>
      </c>
      <c r="E690" s="34">
        <v>23.89</v>
      </c>
      <c r="F690" s="33">
        <v>2</v>
      </c>
      <c r="G690" s="34">
        <v>47.78</v>
      </c>
      <c r="H690" s="33" t="s">
        <v>349</v>
      </c>
      <c r="I690" s="33" t="str">
        <f t="shared" si="20"/>
        <v>Low sales</v>
      </c>
      <c r="J690" s="33" t="str">
        <f t="shared" si="21"/>
        <v>not eligible</v>
      </c>
    </row>
    <row r="691" spans="1:10" x14ac:dyDescent="0.35">
      <c r="A691" s="31">
        <v>45333.065972222219</v>
      </c>
      <c r="B691" s="32">
        <v>0.45418981481481485</v>
      </c>
      <c r="C691" s="33" t="s">
        <v>8</v>
      </c>
      <c r="D691" s="33" t="s">
        <v>16</v>
      </c>
      <c r="E691" s="34">
        <v>355.03</v>
      </c>
      <c r="F691" s="33">
        <v>1</v>
      </c>
      <c r="G691" s="34">
        <v>355.03</v>
      </c>
      <c r="H691" s="33" t="s">
        <v>89</v>
      </c>
      <c r="I691" s="33" t="str">
        <f t="shared" si="20"/>
        <v>Low sales</v>
      </c>
      <c r="J691" s="33" t="str">
        <f t="shared" si="21"/>
        <v>not eligible</v>
      </c>
    </row>
    <row r="692" spans="1:10" x14ac:dyDescent="0.35">
      <c r="A692" s="31">
        <v>45424.970138888886</v>
      </c>
      <c r="B692" s="32">
        <v>0.83075231481481471</v>
      </c>
      <c r="C692" s="33" t="s">
        <v>14</v>
      </c>
      <c r="D692" s="33" t="s">
        <v>16</v>
      </c>
      <c r="E692" s="34">
        <v>485.24</v>
      </c>
      <c r="F692" s="33">
        <v>1</v>
      </c>
      <c r="G692" s="34">
        <v>485.24</v>
      </c>
      <c r="H692" s="33" t="s">
        <v>241</v>
      </c>
      <c r="I692" s="33" t="str">
        <f t="shared" si="20"/>
        <v>Low sales</v>
      </c>
      <c r="J692" s="33" t="str">
        <f t="shared" si="21"/>
        <v>not eligible</v>
      </c>
    </row>
    <row r="693" spans="1:10" x14ac:dyDescent="0.35">
      <c r="A693" s="31">
        <v>45082.407638888886</v>
      </c>
      <c r="B693" s="32">
        <v>0.88597222222222216</v>
      </c>
      <c r="C693" s="33" t="s">
        <v>14</v>
      </c>
      <c r="D693" s="33" t="s">
        <v>20</v>
      </c>
      <c r="E693" s="34">
        <v>428.23</v>
      </c>
      <c r="F693" s="33">
        <v>4</v>
      </c>
      <c r="G693" s="34">
        <v>1712.92</v>
      </c>
      <c r="H693" s="33" t="s">
        <v>94</v>
      </c>
      <c r="I693" s="33" t="str">
        <f t="shared" si="20"/>
        <v>High sales</v>
      </c>
      <c r="J693" s="33" t="str">
        <f t="shared" si="21"/>
        <v>not eligible</v>
      </c>
    </row>
    <row r="694" spans="1:10" x14ac:dyDescent="0.35">
      <c r="A694" s="31">
        <v>45401.999305555553</v>
      </c>
      <c r="B694" s="32">
        <v>0.33621527777777777</v>
      </c>
      <c r="C694" s="33" t="s">
        <v>14</v>
      </c>
      <c r="D694" s="33" t="s">
        <v>27</v>
      </c>
      <c r="E694" s="34">
        <v>43.52</v>
      </c>
      <c r="F694" s="33">
        <v>3</v>
      </c>
      <c r="G694" s="34">
        <v>130.56</v>
      </c>
      <c r="H694" s="33" t="s">
        <v>149</v>
      </c>
      <c r="I694" s="33" t="str">
        <f t="shared" si="20"/>
        <v>Low sales</v>
      </c>
      <c r="J694" s="33" t="str">
        <f t="shared" si="21"/>
        <v>not eligible</v>
      </c>
    </row>
    <row r="695" spans="1:10" x14ac:dyDescent="0.35">
      <c r="A695" s="31">
        <v>45429.756944444445</v>
      </c>
      <c r="B695" s="32">
        <v>0.79268518518518516</v>
      </c>
      <c r="C695" s="33" t="s">
        <v>11</v>
      </c>
      <c r="D695" s="33" t="s">
        <v>20</v>
      </c>
      <c r="E695" s="34">
        <v>266.54000000000002</v>
      </c>
      <c r="F695" s="33">
        <v>2</v>
      </c>
      <c r="G695" s="34">
        <v>533.08000000000004</v>
      </c>
      <c r="H695" s="33" t="s">
        <v>157</v>
      </c>
      <c r="I695" s="33" t="str">
        <f t="shared" si="20"/>
        <v>Medium sales</v>
      </c>
      <c r="J695" s="33" t="str">
        <f t="shared" si="21"/>
        <v>not eligible</v>
      </c>
    </row>
    <row r="696" spans="1:10" x14ac:dyDescent="0.35">
      <c r="A696" s="31">
        <v>44943.900694444441</v>
      </c>
      <c r="B696" s="32">
        <v>0.75090277777777781</v>
      </c>
      <c r="C696" s="33" t="s">
        <v>11</v>
      </c>
      <c r="D696" s="33" t="s">
        <v>12</v>
      </c>
      <c r="E696" s="34">
        <v>324.5</v>
      </c>
      <c r="F696" s="33">
        <v>4</v>
      </c>
      <c r="G696" s="34">
        <v>1298</v>
      </c>
      <c r="H696" s="33" t="s">
        <v>330</v>
      </c>
      <c r="I696" s="33" t="str">
        <f t="shared" si="20"/>
        <v>Medium sales</v>
      </c>
      <c r="J696" s="33" t="str">
        <f t="shared" si="21"/>
        <v>eligible</v>
      </c>
    </row>
    <row r="697" spans="1:10" x14ac:dyDescent="0.35">
      <c r="A697" s="31">
        <v>45061.196527777778</v>
      </c>
      <c r="B697" s="32">
        <v>0.59045138888888882</v>
      </c>
      <c r="C697" s="33" t="s">
        <v>14</v>
      </c>
      <c r="D697" s="33" t="s">
        <v>27</v>
      </c>
      <c r="E697" s="34">
        <v>22.08</v>
      </c>
      <c r="F697" s="33">
        <v>1</v>
      </c>
      <c r="G697" s="34">
        <v>22.08</v>
      </c>
      <c r="H697" s="33" t="s">
        <v>245</v>
      </c>
      <c r="I697" s="33" t="str">
        <f t="shared" si="20"/>
        <v>Low sales</v>
      </c>
      <c r="J697" s="33" t="str">
        <f t="shared" si="21"/>
        <v>not eligible</v>
      </c>
    </row>
    <row r="698" spans="1:10" x14ac:dyDescent="0.35">
      <c r="A698" s="31">
        <v>45647.313194444447</v>
      </c>
      <c r="B698" s="32">
        <v>0.85819444444444448</v>
      </c>
      <c r="C698" s="33" t="s">
        <v>11</v>
      </c>
      <c r="D698" s="33" t="s">
        <v>12</v>
      </c>
      <c r="E698" s="34">
        <v>401.61</v>
      </c>
      <c r="F698" s="33">
        <v>1</v>
      </c>
      <c r="G698" s="34">
        <v>401.61</v>
      </c>
      <c r="H698" s="33" t="s">
        <v>350</v>
      </c>
      <c r="I698" s="33" t="str">
        <f t="shared" si="20"/>
        <v>Low sales</v>
      </c>
      <c r="J698" s="33" t="str">
        <f t="shared" si="21"/>
        <v>not eligible</v>
      </c>
    </row>
    <row r="699" spans="1:10" x14ac:dyDescent="0.35">
      <c r="A699" s="31">
        <v>45259.743750000001</v>
      </c>
      <c r="B699" s="32">
        <v>0.78098379629629633</v>
      </c>
      <c r="C699" s="33" t="s">
        <v>14</v>
      </c>
      <c r="D699" s="33" t="s">
        <v>20</v>
      </c>
      <c r="E699" s="34">
        <v>98.76</v>
      </c>
      <c r="F699" s="33">
        <v>3</v>
      </c>
      <c r="G699" s="34">
        <v>296.27999999999997</v>
      </c>
      <c r="H699" s="33" t="s">
        <v>337</v>
      </c>
      <c r="I699" s="33" t="str">
        <f t="shared" si="20"/>
        <v>Low sales</v>
      </c>
      <c r="J699" s="33" t="str">
        <f t="shared" si="21"/>
        <v>not eligible</v>
      </c>
    </row>
    <row r="700" spans="1:10" x14ac:dyDescent="0.35">
      <c r="A700" s="31">
        <v>45126.103472222225</v>
      </c>
      <c r="B700" s="32">
        <v>0.11084490740740742</v>
      </c>
      <c r="C700" s="33" t="s">
        <v>14</v>
      </c>
      <c r="D700" s="33" t="s">
        <v>12</v>
      </c>
      <c r="E700" s="34">
        <v>435.13</v>
      </c>
      <c r="F700" s="33">
        <v>2</v>
      </c>
      <c r="G700" s="34">
        <v>870.26</v>
      </c>
      <c r="H700" s="33" t="s">
        <v>92</v>
      </c>
      <c r="I700" s="33" t="str">
        <f t="shared" si="20"/>
        <v>Medium sales</v>
      </c>
      <c r="J700" s="33" t="str">
        <f t="shared" si="21"/>
        <v>not eligible</v>
      </c>
    </row>
    <row r="701" spans="1:10" x14ac:dyDescent="0.35">
      <c r="A701" s="31">
        <v>45304.629861111112</v>
      </c>
      <c r="B701" s="32">
        <v>0.53483796296296293</v>
      </c>
      <c r="C701" s="33" t="s">
        <v>8</v>
      </c>
      <c r="D701" s="33" t="s">
        <v>27</v>
      </c>
      <c r="E701" s="34">
        <v>356.85</v>
      </c>
      <c r="F701" s="33">
        <v>2</v>
      </c>
      <c r="G701" s="34">
        <v>713.7</v>
      </c>
      <c r="H701" s="33" t="s">
        <v>49</v>
      </c>
      <c r="I701" s="33" t="str">
        <f t="shared" si="20"/>
        <v>Medium sales</v>
      </c>
      <c r="J701" s="33" t="str">
        <f t="shared" si="21"/>
        <v>not eligible</v>
      </c>
    </row>
    <row r="702" spans="1:10" x14ac:dyDescent="0.35">
      <c r="A702" s="31">
        <v>45506.243750000001</v>
      </c>
      <c r="B702" s="32">
        <v>0.59523148148148153</v>
      </c>
      <c r="C702" s="33" t="s">
        <v>11</v>
      </c>
      <c r="D702" s="33" t="s">
        <v>16</v>
      </c>
      <c r="E702" s="34">
        <v>483.47</v>
      </c>
      <c r="F702" s="33">
        <v>5</v>
      </c>
      <c r="G702" s="34">
        <v>2417.35</v>
      </c>
      <c r="H702" s="33" t="s">
        <v>61</v>
      </c>
      <c r="I702" s="33" t="str">
        <f t="shared" si="20"/>
        <v>High sales</v>
      </c>
      <c r="J702" s="33" t="str">
        <f t="shared" si="21"/>
        <v>eligible</v>
      </c>
    </row>
    <row r="703" spans="1:10" x14ac:dyDescent="0.35">
      <c r="A703" s="31">
        <v>45035.724305555559</v>
      </c>
      <c r="B703" s="32">
        <v>0.6177083333333333</v>
      </c>
      <c r="C703" s="33" t="s">
        <v>11</v>
      </c>
      <c r="D703" s="33" t="s">
        <v>16</v>
      </c>
      <c r="E703" s="34">
        <v>191.16</v>
      </c>
      <c r="F703" s="33">
        <v>3</v>
      </c>
      <c r="G703" s="34">
        <v>573.48</v>
      </c>
      <c r="H703" s="33" t="s">
        <v>236</v>
      </c>
      <c r="I703" s="33" t="str">
        <f t="shared" si="20"/>
        <v>Medium sales</v>
      </c>
      <c r="J703" s="33" t="str">
        <f t="shared" si="21"/>
        <v>not eligible</v>
      </c>
    </row>
    <row r="704" spans="1:10" x14ac:dyDescent="0.35">
      <c r="A704" s="31">
        <v>45304.234722222223</v>
      </c>
      <c r="B704" s="32">
        <v>0.79388888888888898</v>
      </c>
      <c r="C704" s="33" t="s">
        <v>11</v>
      </c>
      <c r="D704" s="33" t="s">
        <v>27</v>
      </c>
      <c r="E704" s="34">
        <v>410.28</v>
      </c>
      <c r="F704" s="33">
        <v>5</v>
      </c>
      <c r="G704" s="34">
        <v>2051.4</v>
      </c>
      <c r="H704" s="33" t="s">
        <v>177</v>
      </c>
      <c r="I704" s="33" t="str">
        <f t="shared" si="20"/>
        <v>High sales</v>
      </c>
      <c r="J704" s="33" t="str">
        <f t="shared" si="21"/>
        <v>eligible</v>
      </c>
    </row>
    <row r="705" spans="1:10" x14ac:dyDescent="0.35">
      <c r="A705" s="31">
        <v>45659.022916666669</v>
      </c>
      <c r="B705" s="32">
        <v>0.28777777777777774</v>
      </c>
      <c r="C705" s="33" t="s">
        <v>8</v>
      </c>
      <c r="D705" s="33" t="s">
        <v>12</v>
      </c>
      <c r="E705" s="34">
        <v>408.6</v>
      </c>
      <c r="F705" s="33">
        <v>4</v>
      </c>
      <c r="G705" s="34">
        <v>1634.4</v>
      </c>
      <c r="H705" s="33" t="s">
        <v>63</v>
      </c>
      <c r="I705" s="33" t="str">
        <f t="shared" si="20"/>
        <v>High sales</v>
      </c>
      <c r="J705" s="33" t="str">
        <f t="shared" si="21"/>
        <v>not eligible</v>
      </c>
    </row>
    <row r="706" spans="1:10" x14ac:dyDescent="0.35">
      <c r="A706" s="31">
        <v>45358.192361111112</v>
      </c>
      <c r="B706" s="32">
        <v>0.11180555555555556</v>
      </c>
      <c r="C706" s="33" t="s">
        <v>8</v>
      </c>
      <c r="D706" s="33" t="s">
        <v>16</v>
      </c>
      <c r="E706" s="34">
        <v>453.3</v>
      </c>
      <c r="F706" s="33">
        <v>4</v>
      </c>
      <c r="G706" s="34">
        <v>1813.2</v>
      </c>
      <c r="H706" s="33" t="s">
        <v>130</v>
      </c>
      <c r="I706" s="33" t="str">
        <f t="shared" si="20"/>
        <v>High sales</v>
      </c>
      <c r="J706" s="33" t="str">
        <f t="shared" si="21"/>
        <v>not eligible</v>
      </c>
    </row>
    <row r="707" spans="1:10" x14ac:dyDescent="0.35">
      <c r="A707" s="31">
        <v>45304.582638888889</v>
      </c>
      <c r="B707" s="32">
        <v>0.18087962962962964</v>
      </c>
      <c r="C707" s="33" t="s">
        <v>8</v>
      </c>
      <c r="D707" s="33" t="s">
        <v>20</v>
      </c>
      <c r="E707" s="34">
        <v>264.44</v>
      </c>
      <c r="F707" s="33">
        <v>4</v>
      </c>
      <c r="G707" s="34">
        <v>1057.76</v>
      </c>
      <c r="H707" s="33" t="s">
        <v>85</v>
      </c>
      <c r="I707" s="33" t="str">
        <f t="shared" ref="I707:I770" si="22">IF(G707&gt;1500,"High sales", IF(G707&gt;500,"Medium sales", "Low sales"))</f>
        <v>Medium sales</v>
      </c>
      <c r="J707" s="33" t="str">
        <f t="shared" ref="J707:J770" si="23">IF(AND(G707&gt;1000,C707="Premium"), "eligible", "not eligible")</f>
        <v>not eligible</v>
      </c>
    </row>
    <row r="708" spans="1:10" x14ac:dyDescent="0.35">
      <c r="A708" s="31">
        <v>44986.708333333336</v>
      </c>
      <c r="B708" s="32">
        <v>0.7868750000000001</v>
      </c>
      <c r="C708" s="33" t="s">
        <v>14</v>
      </c>
      <c r="D708" s="33" t="s">
        <v>9</v>
      </c>
      <c r="E708" s="34">
        <v>85.33</v>
      </c>
      <c r="F708" s="33">
        <v>3</v>
      </c>
      <c r="G708" s="34">
        <v>255.99</v>
      </c>
      <c r="H708" s="33" t="s">
        <v>315</v>
      </c>
      <c r="I708" s="33" t="str">
        <f t="shared" si="22"/>
        <v>Low sales</v>
      </c>
      <c r="J708" s="33" t="str">
        <f t="shared" si="23"/>
        <v>not eligible</v>
      </c>
    </row>
    <row r="709" spans="1:10" x14ac:dyDescent="0.35">
      <c r="A709" s="31">
        <v>45449.76666666667</v>
      </c>
      <c r="B709" s="32">
        <v>0.78271990740740749</v>
      </c>
      <c r="C709" s="33" t="s">
        <v>8</v>
      </c>
      <c r="D709" s="33" t="s">
        <v>20</v>
      </c>
      <c r="E709" s="34">
        <v>40.15</v>
      </c>
      <c r="F709" s="33">
        <v>3</v>
      </c>
      <c r="G709" s="34">
        <v>120.45</v>
      </c>
      <c r="H709" s="33" t="s">
        <v>337</v>
      </c>
      <c r="I709" s="33" t="str">
        <f t="shared" si="22"/>
        <v>Low sales</v>
      </c>
      <c r="J709" s="33" t="str">
        <f t="shared" si="23"/>
        <v>not eligible</v>
      </c>
    </row>
    <row r="710" spans="1:10" x14ac:dyDescent="0.35">
      <c r="A710" s="31">
        <v>45087.684027777781</v>
      </c>
      <c r="B710" s="32">
        <v>0.25074074074074076</v>
      </c>
      <c r="C710" s="33" t="s">
        <v>8</v>
      </c>
      <c r="D710" s="33" t="s">
        <v>20</v>
      </c>
      <c r="E710" s="34">
        <v>183.27</v>
      </c>
      <c r="F710" s="33">
        <v>5</v>
      </c>
      <c r="G710" s="34">
        <v>916.35</v>
      </c>
      <c r="H710" s="33" t="s">
        <v>86</v>
      </c>
      <c r="I710" s="33" t="str">
        <f t="shared" si="22"/>
        <v>Medium sales</v>
      </c>
      <c r="J710" s="33" t="str">
        <f t="shared" si="23"/>
        <v>not eligible</v>
      </c>
    </row>
    <row r="711" spans="1:10" x14ac:dyDescent="0.35">
      <c r="A711" s="31">
        <v>45489.881944444445</v>
      </c>
      <c r="B711" s="32">
        <v>0.47625000000000001</v>
      </c>
      <c r="C711" s="33" t="s">
        <v>14</v>
      </c>
      <c r="D711" s="33" t="s">
        <v>16</v>
      </c>
      <c r="E711" s="34">
        <v>457.9</v>
      </c>
      <c r="F711" s="33">
        <v>2</v>
      </c>
      <c r="G711" s="34">
        <v>915.8</v>
      </c>
      <c r="H711" s="33" t="s">
        <v>118</v>
      </c>
      <c r="I711" s="33" t="str">
        <f t="shared" si="22"/>
        <v>Medium sales</v>
      </c>
      <c r="J711" s="33" t="str">
        <f t="shared" si="23"/>
        <v>not eligible</v>
      </c>
    </row>
    <row r="712" spans="1:10" x14ac:dyDescent="0.35">
      <c r="A712" s="31">
        <v>44931.318749999999</v>
      </c>
      <c r="B712" s="32">
        <v>0.20175925925925928</v>
      </c>
      <c r="C712" s="33" t="s">
        <v>14</v>
      </c>
      <c r="D712" s="33" t="s">
        <v>20</v>
      </c>
      <c r="E712" s="34">
        <v>364.89</v>
      </c>
      <c r="F712" s="33">
        <v>3</v>
      </c>
      <c r="G712" s="34">
        <v>1094.67</v>
      </c>
      <c r="H712" s="33" t="s">
        <v>210</v>
      </c>
      <c r="I712" s="33" t="str">
        <f t="shared" si="22"/>
        <v>Medium sales</v>
      </c>
      <c r="J712" s="33" t="str">
        <f t="shared" si="23"/>
        <v>not eligible</v>
      </c>
    </row>
    <row r="713" spans="1:10" x14ac:dyDescent="0.35">
      <c r="A713" s="31">
        <v>45121.310416666667</v>
      </c>
      <c r="B713" s="32">
        <v>0.20680555555555555</v>
      </c>
      <c r="C713" s="33" t="s">
        <v>14</v>
      </c>
      <c r="D713" s="33" t="s">
        <v>12</v>
      </c>
      <c r="E713" s="34">
        <v>386.18</v>
      </c>
      <c r="F713" s="33">
        <v>5</v>
      </c>
      <c r="G713" s="34">
        <v>1930.9</v>
      </c>
      <c r="H713" s="33" t="s">
        <v>284</v>
      </c>
      <c r="I713" s="33" t="str">
        <f t="shared" si="22"/>
        <v>High sales</v>
      </c>
      <c r="J713" s="33" t="str">
        <f t="shared" si="23"/>
        <v>not eligible</v>
      </c>
    </row>
    <row r="714" spans="1:10" x14ac:dyDescent="0.35">
      <c r="A714" s="31">
        <v>45207.09375</v>
      </c>
      <c r="B714" s="32">
        <v>0.28129629629629632</v>
      </c>
      <c r="C714" s="33" t="s">
        <v>11</v>
      </c>
      <c r="D714" s="33" t="s">
        <v>12</v>
      </c>
      <c r="E714" s="34">
        <v>241.74</v>
      </c>
      <c r="F714" s="33">
        <v>1</v>
      </c>
      <c r="G714" s="34">
        <v>241.74</v>
      </c>
      <c r="H714" s="33" t="s">
        <v>230</v>
      </c>
      <c r="I714" s="33" t="str">
        <f t="shared" si="22"/>
        <v>Low sales</v>
      </c>
      <c r="J714" s="33" t="str">
        <f t="shared" si="23"/>
        <v>not eligible</v>
      </c>
    </row>
    <row r="715" spans="1:10" x14ac:dyDescent="0.35">
      <c r="A715" s="31">
        <v>44987.811111111114</v>
      </c>
      <c r="B715" s="32">
        <v>0.47109953703703705</v>
      </c>
      <c r="C715" s="33" t="s">
        <v>8</v>
      </c>
      <c r="D715" s="33" t="s">
        <v>16</v>
      </c>
      <c r="E715" s="34">
        <v>313.36</v>
      </c>
      <c r="F715" s="33">
        <v>5</v>
      </c>
      <c r="G715" s="34">
        <v>1566.8</v>
      </c>
      <c r="H715" s="33" t="s">
        <v>15</v>
      </c>
      <c r="I715" s="33" t="str">
        <f t="shared" si="22"/>
        <v>High sales</v>
      </c>
      <c r="J715" s="33" t="str">
        <f t="shared" si="23"/>
        <v>not eligible</v>
      </c>
    </row>
    <row r="716" spans="1:10" x14ac:dyDescent="0.35">
      <c r="A716" s="31">
        <v>45604.892361111109</v>
      </c>
      <c r="B716" s="32">
        <v>0.47738425925925926</v>
      </c>
      <c r="C716" s="33" t="s">
        <v>11</v>
      </c>
      <c r="D716" s="33" t="s">
        <v>27</v>
      </c>
      <c r="E716" s="34">
        <v>497.08</v>
      </c>
      <c r="F716" s="33">
        <v>2</v>
      </c>
      <c r="G716" s="34">
        <v>994.16</v>
      </c>
      <c r="H716" s="33" t="s">
        <v>183</v>
      </c>
      <c r="I716" s="33" t="str">
        <f t="shared" si="22"/>
        <v>Medium sales</v>
      </c>
      <c r="J716" s="33" t="str">
        <f t="shared" si="23"/>
        <v>not eligible</v>
      </c>
    </row>
    <row r="717" spans="1:10" x14ac:dyDescent="0.35">
      <c r="A717" s="31">
        <v>45009.616666666669</v>
      </c>
      <c r="B717" s="32">
        <v>0.88817129629629632</v>
      </c>
      <c r="C717" s="33" t="s">
        <v>14</v>
      </c>
      <c r="D717" s="33" t="s">
        <v>12</v>
      </c>
      <c r="E717" s="34">
        <v>441.1</v>
      </c>
      <c r="F717" s="33">
        <v>4</v>
      </c>
      <c r="G717" s="34">
        <v>1764.4</v>
      </c>
      <c r="H717" s="33" t="s">
        <v>184</v>
      </c>
      <c r="I717" s="33" t="str">
        <f t="shared" si="22"/>
        <v>High sales</v>
      </c>
      <c r="J717" s="33" t="str">
        <f t="shared" si="23"/>
        <v>not eligible</v>
      </c>
    </row>
    <row r="718" spans="1:10" x14ac:dyDescent="0.35">
      <c r="A718" s="31">
        <v>45505.388888888891</v>
      </c>
      <c r="B718" s="32">
        <v>5.9259259259259256E-3</v>
      </c>
      <c r="C718" s="33" t="s">
        <v>8</v>
      </c>
      <c r="D718" s="33" t="s">
        <v>12</v>
      </c>
      <c r="E718" s="34">
        <v>381.8</v>
      </c>
      <c r="F718" s="33">
        <v>2</v>
      </c>
      <c r="G718" s="34">
        <v>763.6</v>
      </c>
      <c r="H718" s="33" t="s">
        <v>42</v>
      </c>
      <c r="I718" s="33" t="str">
        <f t="shared" si="22"/>
        <v>Medium sales</v>
      </c>
      <c r="J718" s="33" t="str">
        <f t="shared" si="23"/>
        <v>not eligible</v>
      </c>
    </row>
    <row r="719" spans="1:10" x14ac:dyDescent="0.35">
      <c r="A719" s="31">
        <v>45190.265972222223</v>
      </c>
      <c r="B719" s="32">
        <v>0.97262731481481479</v>
      </c>
      <c r="C719" s="33" t="s">
        <v>8</v>
      </c>
      <c r="D719" s="33" t="s">
        <v>9</v>
      </c>
      <c r="E719" s="34">
        <v>355.36</v>
      </c>
      <c r="F719" s="33">
        <v>1</v>
      </c>
      <c r="G719" s="34">
        <v>355.36</v>
      </c>
      <c r="H719" s="33" t="s">
        <v>155</v>
      </c>
      <c r="I719" s="33" t="str">
        <f t="shared" si="22"/>
        <v>Low sales</v>
      </c>
      <c r="J719" s="33" t="str">
        <f t="shared" si="23"/>
        <v>not eligible</v>
      </c>
    </row>
    <row r="720" spans="1:10" x14ac:dyDescent="0.35">
      <c r="A720" s="31">
        <v>45601.878472222219</v>
      </c>
      <c r="B720" s="32">
        <v>0.97112268518518519</v>
      </c>
      <c r="C720" s="33" t="s">
        <v>11</v>
      </c>
      <c r="D720" s="33" t="s">
        <v>20</v>
      </c>
      <c r="E720" s="34">
        <v>11.31</v>
      </c>
      <c r="F720" s="33">
        <v>1</v>
      </c>
      <c r="G720" s="34">
        <v>11.31</v>
      </c>
      <c r="H720" s="33" t="s">
        <v>349</v>
      </c>
      <c r="I720" s="33" t="str">
        <f t="shared" si="22"/>
        <v>Low sales</v>
      </c>
      <c r="J720" s="33" t="str">
        <f t="shared" si="23"/>
        <v>not eligible</v>
      </c>
    </row>
    <row r="721" spans="1:10" x14ac:dyDescent="0.35">
      <c r="A721" s="31">
        <v>45612.279166666667</v>
      </c>
      <c r="B721" s="32">
        <v>0.84829861111111116</v>
      </c>
      <c r="C721" s="33" t="s">
        <v>8</v>
      </c>
      <c r="D721" s="33" t="s">
        <v>12</v>
      </c>
      <c r="E721" s="34">
        <v>18.920000000000002</v>
      </c>
      <c r="F721" s="33">
        <v>5</v>
      </c>
      <c r="G721" s="34">
        <v>94.6</v>
      </c>
      <c r="H721" s="33" t="s">
        <v>203</v>
      </c>
      <c r="I721" s="33" t="str">
        <f t="shared" si="22"/>
        <v>Low sales</v>
      </c>
      <c r="J721" s="33" t="str">
        <f t="shared" si="23"/>
        <v>not eligible</v>
      </c>
    </row>
    <row r="722" spans="1:10" x14ac:dyDescent="0.35">
      <c r="A722" s="31">
        <v>45238.136111111111</v>
      </c>
      <c r="B722" s="32">
        <v>6.5636574074074069E-2</v>
      </c>
      <c r="C722" s="33" t="s">
        <v>14</v>
      </c>
      <c r="D722" s="33" t="s">
        <v>16</v>
      </c>
      <c r="E722" s="34">
        <v>43.76</v>
      </c>
      <c r="F722" s="33">
        <v>1</v>
      </c>
      <c r="G722" s="34">
        <v>43.76</v>
      </c>
      <c r="H722" s="33" t="s">
        <v>351</v>
      </c>
      <c r="I722" s="33" t="str">
        <f t="shared" si="22"/>
        <v>Low sales</v>
      </c>
      <c r="J722" s="33" t="str">
        <f t="shared" si="23"/>
        <v>not eligible</v>
      </c>
    </row>
    <row r="723" spans="1:10" x14ac:dyDescent="0.35">
      <c r="A723" s="31">
        <v>45272.915972222225</v>
      </c>
      <c r="B723" s="32">
        <v>0.34434027777777776</v>
      </c>
      <c r="C723" s="33" t="s">
        <v>8</v>
      </c>
      <c r="D723" s="33" t="s">
        <v>9</v>
      </c>
      <c r="E723" s="34">
        <v>78.83</v>
      </c>
      <c r="F723" s="33">
        <v>5</v>
      </c>
      <c r="G723" s="34">
        <v>394.15</v>
      </c>
      <c r="H723" s="33" t="s">
        <v>121</v>
      </c>
      <c r="I723" s="33" t="str">
        <f t="shared" si="22"/>
        <v>Low sales</v>
      </c>
      <c r="J723" s="33" t="str">
        <f t="shared" si="23"/>
        <v>not eligible</v>
      </c>
    </row>
    <row r="724" spans="1:10" x14ac:dyDescent="0.35">
      <c r="A724" s="31">
        <v>45544.887499999997</v>
      </c>
      <c r="B724" s="32">
        <v>0.27730324074074075</v>
      </c>
      <c r="C724" s="33" t="s">
        <v>14</v>
      </c>
      <c r="D724" s="33" t="s">
        <v>20</v>
      </c>
      <c r="E724" s="34">
        <v>179.09</v>
      </c>
      <c r="F724" s="33">
        <v>1</v>
      </c>
      <c r="G724" s="34">
        <v>179.09</v>
      </c>
      <c r="H724" s="33" t="s">
        <v>352</v>
      </c>
      <c r="I724" s="33" t="str">
        <f t="shared" si="22"/>
        <v>Low sales</v>
      </c>
      <c r="J724" s="33" t="str">
        <f t="shared" si="23"/>
        <v>not eligible</v>
      </c>
    </row>
    <row r="725" spans="1:10" x14ac:dyDescent="0.35">
      <c r="A725" s="31">
        <v>45561.886111111111</v>
      </c>
      <c r="B725" s="32">
        <v>0.68234953703703705</v>
      </c>
      <c r="C725" s="33" t="s">
        <v>14</v>
      </c>
      <c r="D725" s="33" t="s">
        <v>12</v>
      </c>
      <c r="E725" s="34">
        <v>33.479999999999997</v>
      </c>
      <c r="F725" s="33">
        <v>1</v>
      </c>
      <c r="G725" s="34">
        <v>33.479999999999997</v>
      </c>
      <c r="H725" s="33" t="s">
        <v>48</v>
      </c>
      <c r="I725" s="33" t="str">
        <f t="shared" si="22"/>
        <v>Low sales</v>
      </c>
      <c r="J725" s="33" t="str">
        <f t="shared" si="23"/>
        <v>not eligible</v>
      </c>
    </row>
    <row r="726" spans="1:10" x14ac:dyDescent="0.35">
      <c r="A726" s="31">
        <v>45125.941666666666</v>
      </c>
      <c r="B726" s="32">
        <v>0.32333333333333331</v>
      </c>
      <c r="C726" s="33" t="s">
        <v>8</v>
      </c>
      <c r="D726" s="33" t="s">
        <v>9</v>
      </c>
      <c r="E726" s="34">
        <v>281.77</v>
      </c>
      <c r="F726" s="33">
        <v>3</v>
      </c>
      <c r="G726" s="34">
        <v>845.31</v>
      </c>
      <c r="H726" s="33" t="s">
        <v>219</v>
      </c>
      <c r="I726" s="33" t="str">
        <f t="shared" si="22"/>
        <v>Medium sales</v>
      </c>
      <c r="J726" s="33" t="str">
        <f t="shared" si="23"/>
        <v>not eligible</v>
      </c>
    </row>
    <row r="727" spans="1:10" x14ac:dyDescent="0.35">
      <c r="A727" s="31">
        <v>45603.564583333333</v>
      </c>
      <c r="B727" s="32">
        <v>0.60128472222222229</v>
      </c>
      <c r="C727" s="33" t="s">
        <v>8</v>
      </c>
      <c r="D727" s="33" t="s">
        <v>9</v>
      </c>
      <c r="E727" s="34">
        <v>282.72000000000003</v>
      </c>
      <c r="F727" s="33">
        <v>2</v>
      </c>
      <c r="G727" s="34">
        <v>565.44000000000005</v>
      </c>
      <c r="H727" s="33" t="s">
        <v>319</v>
      </c>
      <c r="I727" s="33" t="str">
        <f t="shared" si="22"/>
        <v>Medium sales</v>
      </c>
      <c r="J727" s="33" t="str">
        <f t="shared" si="23"/>
        <v>not eligible</v>
      </c>
    </row>
    <row r="728" spans="1:10" x14ac:dyDescent="0.35">
      <c r="A728" s="31">
        <v>45360.464583333334</v>
      </c>
      <c r="B728" s="32">
        <v>0.57900462962962962</v>
      </c>
      <c r="C728" s="33" t="s">
        <v>8</v>
      </c>
      <c r="D728" s="33" t="s">
        <v>12</v>
      </c>
      <c r="E728" s="34">
        <v>207.56</v>
      </c>
      <c r="F728" s="33">
        <v>3</v>
      </c>
      <c r="G728" s="34">
        <v>622.67999999999995</v>
      </c>
      <c r="H728" s="33" t="s">
        <v>242</v>
      </c>
      <c r="I728" s="33" t="str">
        <f t="shared" si="22"/>
        <v>Medium sales</v>
      </c>
      <c r="J728" s="33" t="str">
        <f t="shared" si="23"/>
        <v>not eligible</v>
      </c>
    </row>
    <row r="729" spans="1:10" x14ac:dyDescent="0.35">
      <c r="A729" s="31">
        <v>45480.039583333331</v>
      </c>
      <c r="B729" s="32">
        <v>0.39740740740740743</v>
      </c>
      <c r="C729" s="33" t="s">
        <v>11</v>
      </c>
      <c r="D729" s="33" t="s">
        <v>20</v>
      </c>
      <c r="E729" s="34">
        <v>36.21</v>
      </c>
      <c r="F729" s="33">
        <v>5</v>
      </c>
      <c r="G729" s="34">
        <v>181.05</v>
      </c>
      <c r="H729" s="33" t="s">
        <v>353</v>
      </c>
      <c r="I729" s="33" t="str">
        <f t="shared" si="22"/>
        <v>Low sales</v>
      </c>
      <c r="J729" s="33" t="str">
        <f t="shared" si="23"/>
        <v>not eligible</v>
      </c>
    </row>
    <row r="730" spans="1:10" x14ac:dyDescent="0.35">
      <c r="A730" s="31">
        <v>45249.85833333333</v>
      </c>
      <c r="B730" s="32">
        <v>0.47105324074074079</v>
      </c>
      <c r="C730" s="33" t="s">
        <v>11</v>
      </c>
      <c r="D730" s="33" t="s">
        <v>20</v>
      </c>
      <c r="E730" s="34">
        <v>459.77</v>
      </c>
      <c r="F730" s="33">
        <v>3</v>
      </c>
      <c r="G730" s="34">
        <v>1379.31</v>
      </c>
      <c r="H730" s="33" t="s">
        <v>222</v>
      </c>
      <c r="I730" s="33" t="str">
        <f t="shared" si="22"/>
        <v>Medium sales</v>
      </c>
      <c r="J730" s="33" t="str">
        <f t="shared" si="23"/>
        <v>eligible</v>
      </c>
    </row>
    <row r="731" spans="1:10" x14ac:dyDescent="0.35">
      <c r="A731" s="31">
        <v>45335.644444444442</v>
      </c>
      <c r="B731" s="32">
        <v>0.89556712962962959</v>
      </c>
      <c r="C731" s="33" t="s">
        <v>11</v>
      </c>
      <c r="D731" s="33" t="s">
        <v>12</v>
      </c>
      <c r="E731" s="34">
        <v>137.57</v>
      </c>
      <c r="F731" s="33">
        <v>5</v>
      </c>
      <c r="G731" s="34">
        <v>687.85</v>
      </c>
      <c r="H731" s="33" t="s">
        <v>54</v>
      </c>
      <c r="I731" s="33" t="str">
        <f t="shared" si="22"/>
        <v>Medium sales</v>
      </c>
      <c r="J731" s="33" t="str">
        <f t="shared" si="23"/>
        <v>not eligible</v>
      </c>
    </row>
    <row r="732" spans="1:10" x14ac:dyDescent="0.35">
      <c r="A732" s="31">
        <v>45102.067361111112</v>
      </c>
      <c r="B732" s="32">
        <v>4.53587962962963E-2</v>
      </c>
      <c r="C732" s="33" t="s">
        <v>11</v>
      </c>
      <c r="D732" s="33" t="s">
        <v>9</v>
      </c>
      <c r="E732" s="34">
        <v>350.86</v>
      </c>
      <c r="F732" s="33">
        <v>1</v>
      </c>
      <c r="G732" s="34">
        <v>350.86</v>
      </c>
      <c r="H732" s="33" t="s">
        <v>305</v>
      </c>
      <c r="I732" s="33" t="str">
        <f t="shared" si="22"/>
        <v>Low sales</v>
      </c>
      <c r="J732" s="33" t="str">
        <f t="shared" si="23"/>
        <v>not eligible</v>
      </c>
    </row>
    <row r="733" spans="1:10" x14ac:dyDescent="0.35">
      <c r="A733" s="31">
        <v>45468.038194444445</v>
      </c>
      <c r="B733" s="32">
        <v>0.50693287037037038</v>
      </c>
      <c r="C733" s="33" t="s">
        <v>8</v>
      </c>
      <c r="D733" s="33" t="s">
        <v>12</v>
      </c>
      <c r="E733" s="34">
        <v>279.36</v>
      </c>
      <c r="F733" s="33">
        <v>2</v>
      </c>
      <c r="G733" s="34">
        <v>558.72</v>
      </c>
      <c r="H733" s="33" t="s">
        <v>354</v>
      </c>
      <c r="I733" s="33" t="str">
        <f t="shared" si="22"/>
        <v>Medium sales</v>
      </c>
      <c r="J733" s="33" t="str">
        <f t="shared" si="23"/>
        <v>not eligible</v>
      </c>
    </row>
    <row r="734" spans="1:10" x14ac:dyDescent="0.35">
      <c r="A734" s="31">
        <v>45586.405555555553</v>
      </c>
      <c r="B734" s="32">
        <v>0.26185185185185184</v>
      </c>
      <c r="C734" s="33" t="s">
        <v>11</v>
      </c>
      <c r="D734" s="33" t="s">
        <v>12</v>
      </c>
      <c r="E734" s="34">
        <v>72.89</v>
      </c>
      <c r="F734" s="33">
        <v>3</v>
      </c>
      <c r="G734" s="34">
        <v>218.67</v>
      </c>
      <c r="H734" s="33" t="s">
        <v>257</v>
      </c>
      <c r="I734" s="33" t="str">
        <f t="shared" si="22"/>
        <v>Low sales</v>
      </c>
      <c r="J734" s="33" t="str">
        <f t="shared" si="23"/>
        <v>not eligible</v>
      </c>
    </row>
    <row r="735" spans="1:10" x14ac:dyDescent="0.35">
      <c r="A735" s="31">
        <v>45266.267361111109</v>
      </c>
      <c r="B735" s="32">
        <v>0.38593749999999999</v>
      </c>
      <c r="C735" s="33" t="s">
        <v>14</v>
      </c>
      <c r="D735" s="33" t="s">
        <v>27</v>
      </c>
      <c r="E735" s="34">
        <v>58.54</v>
      </c>
      <c r="F735" s="33">
        <v>1</v>
      </c>
      <c r="G735" s="34">
        <v>58.54</v>
      </c>
      <c r="H735" s="33" t="s">
        <v>355</v>
      </c>
      <c r="I735" s="33" t="str">
        <f t="shared" si="22"/>
        <v>Low sales</v>
      </c>
      <c r="J735" s="33" t="str">
        <f t="shared" si="23"/>
        <v>not eligible</v>
      </c>
    </row>
    <row r="736" spans="1:10" x14ac:dyDescent="0.35">
      <c r="A736" s="31">
        <v>45004.616666666669</v>
      </c>
      <c r="B736" s="32">
        <v>0.95806712962962959</v>
      </c>
      <c r="C736" s="33" t="s">
        <v>8</v>
      </c>
      <c r="D736" s="33" t="s">
        <v>16</v>
      </c>
      <c r="E736" s="34">
        <v>165.05</v>
      </c>
      <c r="F736" s="33">
        <v>2</v>
      </c>
      <c r="G736" s="34">
        <v>330.1</v>
      </c>
      <c r="H736" s="33" t="s">
        <v>192</v>
      </c>
      <c r="I736" s="33" t="str">
        <f t="shared" si="22"/>
        <v>Low sales</v>
      </c>
      <c r="J736" s="33" t="str">
        <f t="shared" si="23"/>
        <v>not eligible</v>
      </c>
    </row>
    <row r="737" spans="1:10" x14ac:dyDescent="0.35">
      <c r="A737" s="31">
        <v>45540.651388888888</v>
      </c>
      <c r="B737" s="32">
        <v>0.18033564814814815</v>
      </c>
      <c r="C737" s="33" t="s">
        <v>8</v>
      </c>
      <c r="D737" s="33" t="s">
        <v>12</v>
      </c>
      <c r="E737" s="34">
        <v>19.75</v>
      </c>
      <c r="F737" s="33">
        <v>2</v>
      </c>
      <c r="G737" s="34">
        <v>39.5</v>
      </c>
      <c r="H737" s="33" t="s">
        <v>128</v>
      </c>
      <c r="I737" s="33" t="str">
        <f t="shared" si="22"/>
        <v>Low sales</v>
      </c>
      <c r="J737" s="33" t="str">
        <f t="shared" si="23"/>
        <v>not eligible</v>
      </c>
    </row>
    <row r="738" spans="1:10" x14ac:dyDescent="0.35">
      <c r="A738" s="31">
        <v>44981.932638888888</v>
      </c>
      <c r="B738" s="32">
        <v>0.51472222222222219</v>
      </c>
      <c r="C738" s="33" t="s">
        <v>8</v>
      </c>
      <c r="D738" s="33" t="s">
        <v>9</v>
      </c>
      <c r="E738" s="34">
        <v>228.52</v>
      </c>
      <c r="F738" s="33">
        <v>3</v>
      </c>
      <c r="G738" s="34">
        <v>685.56</v>
      </c>
      <c r="H738" s="33" t="s">
        <v>118</v>
      </c>
      <c r="I738" s="33" t="str">
        <f t="shared" si="22"/>
        <v>Medium sales</v>
      </c>
      <c r="J738" s="33" t="str">
        <f t="shared" si="23"/>
        <v>not eligible</v>
      </c>
    </row>
    <row r="739" spans="1:10" x14ac:dyDescent="0.35">
      <c r="A739" s="31">
        <v>45038.123611111114</v>
      </c>
      <c r="B739" s="32">
        <v>0.58077546296296301</v>
      </c>
      <c r="C739" s="33" t="s">
        <v>11</v>
      </c>
      <c r="D739" s="33" t="s">
        <v>20</v>
      </c>
      <c r="E739" s="34">
        <v>491.8</v>
      </c>
      <c r="F739" s="33">
        <v>5</v>
      </c>
      <c r="G739" s="34">
        <v>2459</v>
      </c>
      <c r="H739" s="33" t="s">
        <v>356</v>
      </c>
      <c r="I739" s="33" t="str">
        <f t="shared" si="22"/>
        <v>High sales</v>
      </c>
      <c r="J739" s="33" t="str">
        <f t="shared" si="23"/>
        <v>eligible</v>
      </c>
    </row>
    <row r="740" spans="1:10" x14ac:dyDescent="0.35">
      <c r="A740" s="31">
        <v>45261.949305555558</v>
      </c>
      <c r="B740" s="32">
        <v>0.29337962962962966</v>
      </c>
      <c r="C740" s="33" t="s">
        <v>14</v>
      </c>
      <c r="D740" s="33" t="s">
        <v>9</v>
      </c>
      <c r="E740" s="34">
        <v>116.61</v>
      </c>
      <c r="F740" s="33">
        <v>5</v>
      </c>
      <c r="G740" s="34">
        <v>583.04999999999995</v>
      </c>
      <c r="H740" s="33" t="s">
        <v>254</v>
      </c>
      <c r="I740" s="33" t="str">
        <f t="shared" si="22"/>
        <v>Medium sales</v>
      </c>
      <c r="J740" s="33" t="str">
        <f t="shared" si="23"/>
        <v>not eligible</v>
      </c>
    </row>
    <row r="741" spans="1:10" x14ac:dyDescent="0.35">
      <c r="A741" s="31">
        <v>45119.027083333334</v>
      </c>
      <c r="B741" s="32">
        <v>0.4808796296296296</v>
      </c>
      <c r="C741" s="33" t="s">
        <v>11</v>
      </c>
      <c r="D741" s="33" t="s">
        <v>12</v>
      </c>
      <c r="E741" s="34">
        <v>216.06</v>
      </c>
      <c r="F741" s="33">
        <v>2</v>
      </c>
      <c r="G741" s="34">
        <v>432.12</v>
      </c>
      <c r="H741" s="33" t="s">
        <v>184</v>
      </c>
      <c r="I741" s="33" t="str">
        <f t="shared" si="22"/>
        <v>Low sales</v>
      </c>
      <c r="J741" s="33" t="str">
        <f t="shared" si="23"/>
        <v>not eligible</v>
      </c>
    </row>
    <row r="742" spans="1:10" x14ac:dyDescent="0.35">
      <c r="A742" s="31">
        <v>45425.574305555558</v>
      </c>
      <c r="B742" s="32">
        <v>0.23468750000000002</v>
      </c>
      <c r="C742" s="33" t="s">
        <v>8</v>
      </c>
      <c r="D742" s="33" t="s">
        <v>16</v>
      </c>
      <c r="E742" s="34">
        <v>313.99</v>
      </c>
      <c r="F742" s="33">
        <v>5</v>
      </c>
      <c r="G742" s="34">
        <v>1569.95</v>
      </c>
      <c r="H742" s="33" t="s">
        <v>111</v>
      </c>
      <c r="I742" s="33" t="str">
        <f t="shared" si="22"/>
        <v>High sales</v>
      </c>
      <c r="J742" s="33" t="str">
        <f t="shared" si="23"/>
        <v>not eligible</v>
      </c>
    </row>
    <row r="743" spans="1:10" x14ac:dyDescent="0.35">
      <c r="A743" s="31">
        <v>44945.306944444441</v>
      </c>
      <c r="B743" s="32">
        <v>0.30981481481481482</v>
      </c>
      <c r="C743" s="33" t="s">
        <v>8</v>
      </c>
      <c r="D743" s="33" t="s">
        <v>27</v>
      </c>
      <c r="E743" s="34">
        <v>303.17</v>
      </c>
      <c r="F743" s="33">
        <v>1</v>
      </c>
      <c r="G743" s="34">
        <v>303.17</v>
      </c>
      <c r="H743" s="33" t="s">
        <v>139</v>
      </c>
      <c r="I743" s="33" t="str">
        <f t="shared" si="22"/>
        <v>Low sales</v>
      </c>
      <c r="J743" s="33" t="str">
        <f t="shared" si="23"/>
        <v>not eligible</v>
      </c>
    </row>
    <row r="744" spans="1:10" x14ac:dyDescent="0.35">
      <c r="A744" s="31">
        <v>45361.995138888888</v>
      </c>
      <c r="B744" s="32">
        <v>0.2895138888888889</v>
      </c>
      <c r="C744" s="33" t="s">
        <v>14</v>
      </c>
      <c r="D744" s="33" t="s">
        <v>12</v>
      </c>
      <c r="E744" s="34">
        <v>445.23</v>
      </c>
      <c r="F744" s="33">
        <v>5</v>
      </c>
      <c r="G744" s="34">
        <v>2226.15</v>
      </c>
      <c r="H744" s="33" t="s">
        <v>254</v>
      </c>
      <c r="I744" s="33" t="str">
        <f t="shared" si="22"/>
        <v>High sales</v>
      </c>
      <c r="J744" s="33" t="str">
        <f t="shared" si="23"/>
        <v>not eligible</v>
      </c>
    </row>
    <row r="745" spans="1:10" x14ac:dyDescent="0.35">
      <c r="A745" s="31">
        <v>45594.383333333331</v>
      </c>
      <c r="B745" s="32">
        <v>0.29995370370370372</v>
      </c>
      <c r="C745" s="33" t="s">
        <v>14</v>
      </c>
      <c r="D745" s="33" t="s">
        <v>27</v>
      </c>
      <c r="E745" s="34">
        <v>485.66</v>
      </c>
      <c r="F745" s="33">
        <v>1</v>
      </c>
      <c r="G745" s="34">
        <v>485.66</v>
      </c>
      <c r="H745" s="33" t="s">
        <v>204</v>
      </c>
      <c r="I745" s="33" t="str">
        <f t="shared" si="22"/>
        <v>Low sales</v>
      </c>
      <c r="J745" s="33" t="str">
        <f t="shared" si="23"/>
        <v>not eligible</v>
      </c>
    </row>
    <row r="746" spans="1:10" x14ac:dyDescent="0.35">
      <c r="A746" s="31">
        <v>45644.156944444447</v>
      </c>
      <c r="B746" s="32">
        <v>0.96440972222222221</v>
      </c>
      <c r="C746" s="33" t="s">
        <v>14</v>
      </c>
      <c r="D746" s="33" t="s">
        <v>16</v>
      </c>
      <c r="E746" s="34">
        <v>307.27999999999997</v>
      </c>
      <c r="F746" s="33">
        <v>3</v>
      </c>
      <c r="G746" s="34">
        <v>921.84</v>
      </c>
      <c r="H746" s="33" t="s">
        <v>31</v>
      </c>
      <c r="I746" s="33" t="str">
        <f t="shared" si="22"/>
        <v>Medium sales</v>
      </c>
      <c r="J746" s="33" t="str">
        <f t="shared" si="23"/>
        <v>not eligible</v>
      </c>
    </row>
    <row r="747" spans="1:10" x14ac:dyDescent="0.35">
      <c r="A747" s="31">
        <v>45603.852777777778</v>
      </c>
      <c r="B747" s="32">
        <v>0.6489583333333333</v>
      </c>
      <c r="C747" s="33" t="s">
        <v>8</v>
      </c>
      <c r="D747" s="33" t="s">
        <v>16</v>
      </c>
      <c r="E747" s="34">
        <v>315.58</v>
      </c>
      <c r="F747" s="33">
        <v>4</v>
      </c>
      <c r="G747" s="34">
        <v>1262.32</v>
      </c>
      <c r="H747" s="33" t="s">
        <v>357</v>
      </c>
      <c r="I747" s="33" t="str">
        <f t="shared" si="22"/>
        <v>Medium sales</v>
      </c>
      <c r="J747" s="33" t="str">
        <f t="shared" si="23"/>
        <v>not eligible</v>
      </c>
    </row>
    <row r="748" spans="1:10" x14ac:dyDescent="0.35">
      <c r="A748" s="31">
        <v>45368.001388888886</v>
      </c>
      <c r="B748" s="32">
        <v>7.9143518518518516E-2</v>
      </c>
      <c r="C748" s="33" t="s">
        <v>14</v>
      </c>
      <c r="D748" s="33" t="s">
        <v>20</v>
      </c>
      <c r="E748" s="34">
        <v>328.62</v>
      </c>
      <c r="F748" s="33">
        <v>2</v>
      </c>
      <c r="G748" s="34">
        <v>657.24</v>
      </c>
      <c r="H748" s="33" t="s">
        <v>354</v>
      </c>
      <c r="I748" s="33" t="str">
        <f t="shared" si="22"/>
        <v>Medium sales</v>
      </c>
      <c r="J748" s="33" t="str">
        <f t="shared" si="23"/>
        <v>not eligible</v>
      </c>
    </row>
    <row r="749" spans="1:10" x14ac:dyDescent="0.35">
      <c r="A749" s="31">
        <v>45553.668749999997</v>
      </c>
      <c r="B749" s="32">
        <v>0.61657407407407405</v>
      </c>
      <c r="C749" s="33" t="s">
        <v>14</v>
      </c>
      <c r="D749" s="33" t="s">
        <v>20</v>
      </c>
      <c r="E749" s="34">
        <v>229.94</v>
      </c>
      <c r="F749" s="33">
        <v>3</v>
      </c>
      <c r="G749" s="34">
        <v>689.82</v>
      </c>
      <c r="H749" s="33" t="s">
        <v>34</v>
      </c>
      <c r="I749" s="33" t="str">
        <f t="shared" si="22"/>
        <v>Medium sales</v>
      </c>
      <c r="J749" s="33" t="str">
        <f t="shared" si="23"/>
        <v>not eligible</v>
      </c>
    </row>
    <row r="750" spans="1:10" x14ac:dyDescent="0.35">
      <c r="A750" s="31">
        <v>45215.401388888888</v>
      </c>
      <c r="B750" s="32">
        <v>0.53282407407407406</v>
      </c>
      <c r="C750" s="33" t="s">
        <v>14</v>
      </c>
      <c r="D750" s="33" t="s">
        <v>27</v>
      </c>
      <c r="E750" s="34">
        <v>404.95</v>
      </c>
      <c r="F750" s="33">
        <v>4</v>
      </c>
      <c r="G750" s="34">
        <v>1619.8</v>
      </c>
      <c r="H750" s="33" t="s">
        <v>103</v>
      </c>
      <c r="I750" s="33" t="str">
        <f t="shared" si="22"/>
        <v>High sales</v>
      </c>
      <c r="J750" s="33" t="str">
        <f t="shared" si="23"/>
        <v>not eligible</v>
      </c>
    </row>
    <row r="751" spans="1:10" x14ac:dyDescent="0.35">
      <c r="A751" s="31">
        <v>45341.322222222225</v>
      </c>
      <c r="B751" s="32">
        <v>0.69840277777777782</v>
      </c>
      <c r="C751" s="33" t="s">
        <v>14</v>
      </c>
      <c r="D751" s="33" t="s">
        <v>27</v>
      </c>
      <c r="E751" s="34">
        <v>341.05</v>
      </c>
      <c r="F751" s="33">
        <v>5</v>
      </c>
      <c r="G751" s="34">
        <v>1705.25</v>
      </c>
      <c r="H751" s="33" t="s">
        <v>283</v>
      </c>
      <c r="I751" s="33" t="str">
        <f t="shared" si="22"/>
        <v>High sales</v>
      </c>
      <c r="J751" s="33" t="str">
        <f t="shared" si="23"/>
        <v>not eligible</v>
      </c>
    </row>
    <row r="752" spans="1:10" x14ac:dyDescent="0.35">
      <c r="A752" s="31">
        <v>45058.718055555553</v>
      </c>
      <c r="B752" s="32">
        <v>0.13082175925925926</v>
      </c>
      <c r="C752" s="33" t="s">
        <v>8</v>
      </c>
      <c r="D752" s="33" t="s">
        <v>20</v>
      </c>
      <c r="E752" s="34">
        <v>53.49</v>
      </c>
      <c r="F752" s="33">
        <v>5</v>
      </c>
      <c r="G752" s="34">
        <v>267.45</v>
      </c>
      <c r="H752" s="33" t="s">
        <v>316</v>
      </c>
      <c r="I752" s="33" t="str">
        <f t="shared" si="22"/>
        <v>Low sales</v>
      </c>
      <c r="J752" s="33" t="str">
        <f t="shared" si="23"/>
        <v>not eligible</v>
      </c>
    </row>
    <row r="753" spans="1:10" x14ac:dyDescent="0.35">
      <c r="A753" s="31">
        <v>45273.495138888888</v>
      </c>
      <c r="B753" s="32">
        <v>0.1404050925925926</v>
      </c>
      <c r="C753" s="33" t="s">
        <v>8</v>
      </c>
      <c r="D753" s="33" t="s">
        <v>9</v>
      </c>
      <c r="E753" s="34">
        <v>13.15</v>
      </c>
      <c r="F753" s="33">
        <v>5</v>
      </c>
      <c r="G753" s="34">
        <v>65.75</v>
      </c>
      <c r="H753" s="33" t="s">
        <v>169</v>
      </c>
      <c r="I753" s="33" t="str">
        <f t="shared" si="22"/>
        <v>Low sales</v>
      </c>
      <c r="J753" s="33" t="str">
        <f t="shared" si="23"/>
        <v>not eligible</v>
      </c>
    </row>
    <row r="754" spans="1:10" x14ac:dyDescent="0.35">
      <c r="A754" s="31">
        <v>45248.356249999997</v>
      </c>
      <c r="B754" s="32">
        <v>0.3278935185185185</v>
      </c>
      <c r="C754" s="33" t="s">
        <v>11</v>
      </c>
      <c r="D754" s="33" t="s">
        <v>20</v>
      </c>
      <c r="E754" s="34">
        <v>21.05</v>
      </c>
      <c r="F754" s="33">
        <v>5</v>
      </c>
      <c r="G754" s="34">
        <v>105.25</v>
      </c>
      <c r="H754" s="33" t="s">
        <v>143</v>
      </c>
      <c r="I754" s="33" t="str">
        <f t="shared" si="22"/>
        <v>Low sales</v>
      </c>
      <c r="J754" s="33" t="str">
        <f t="shared" si="23"/>
        <v>not eligible</v>
      </c>
    </row>
    <row r="755" spans="1:10" x14ac:dyDescent="0.35">
      <c r="A755" s="31">
        <v>45576.576388888891</v>
      </c>
      <c r="B755" s="32">
        <v>0.89181712962962967</v>
      </c>
      <c r="C755" s="33" t="s">
        <v>8</v>
      </c>
      <c r="D755" s="33" t="s">
        <v>9</v>
      </c>
      <c r="E755" s="34">
        <v>222.55</v>
      </c>
      <c r="F755" s="33">
        <v>5</v>
      </c>
      <c r="G755" s="34">
        <v>1112.75</v>
      </c>
      <c r="H755" s="33" t="s">
        <v>186</v>
      </c>
      <c r="I755" s="33" t="str">
        <f t="shared" si="22"/>
        <v>Medium sales</v>
      </c>
      <c r="J755" s="33" t="str">
        <f t="shared" si="23"/>
        <v>not eligible</v>
      </c>
    </row>
    <row r="756" spans="1:10" x14ac:dyDescent="0.35">
      <c r="A756" s="31">
        <v>45414.955555555556</v>
      </c>
      <c r="B756" s="32">
        <v>0.67104166666666665</v>
      </c>
      <c r="C756" s="33" t="s">
        <v>8</v>
      </c>
      <c r="D756" s="33" t="s">
        <v>12</v>
      </c>
      <c r="E756" s="34">
        <v>237.35</v>
      </c>
      <c r="F756" s="33">
        <v>3</v>
      </c>
      <c r="G756" s="34">
        <v>712.05</v>
      </c>
      <c r="H756" s="33" t="s">
        <v>358</v>
      </c>
      <c r="I756" s="33" t="str">
        <f t="shared" si="22"/>
        <v>Medium sales</v>
      </c>
      <c r="J756" s="33" t="str">
        <f t="shared" si="23"/>
        <v>not eligible</v>
      </c>
    </row>
    <row r="757" spans="1:10" x14ac:dyDescent="0.35">
      <c r="A757" s="31">
        <v>45288.147222222222</v>
      </c>
      <c r="B757" s="32">
        <v>0.18238425925925927</v>
      </c>
      <c r="C757" s="33" t="s">
        <v>8</v>
      </c>
      <c r="D757" s="33" t="s">
        <v>27</v>
      </c>
      <c r="E757" s="34">
        <v>191.68</v>
      </c>
      <c r="F757" s="33">
        <v>3</v>
      </c>
      <c r="G757" s="34">
        <v>575.04</v>
      </c>
      <c r="H757" s="33" t="s">
        <v>314</v>
      </c>
      <c r="I757" s="33" t="str">
        <f t="shared" si="22"/>
        <v>Medium sales</v>
      </c>
      <c r="J757" s="33" t="str">
        <f t="shared" si="23"/>
        <v>not eligible</v>
      </c>
    </row>
    <row r="758" spans="1:10" x14ac:dyDescent="0.35">
      <c r="A758" s="31">
        <v>45586.338888888888</v>
      </c>
      <c r="B758" s="32">
        <v>0.55136574074074074</v>
      </c>
      <c r="C758" s="33" t="s">
        <v>14</v>
      </c>
      <c r="D758" s="33" t="s">
        <v>27</v>
      </c>
      <c r="E758" s="34">
        <v>285.05</v>
      </c>
      <c r="F758" s="33">
        <v>1</v>
      </c>
      <c r="G758" s="34">
        <v>285.05</v>
      </c>
      <c r="H758" s="33" t="s">
        <v>303</v>
      </c>
      <c r="I758" s="33" t="str">
        <f t="shared" si="22"/>
        <v>Low sales</v>
      </c>
      <c r="J758" s="33" t="str">
        <f t="shared" si="23"/>
        <v>not eligible</v>
      </c>
    </row>
    <row r="759" spans="1:10" x14ac:dyDescent="0.35">
      <c r="A759" s="31">
        <v>45381.811805555553</v>
      </c>
      <c r="B759" s="32">
        <v>0.15792824074074074</v>
      </c>
      <c r="C759" s="33" t="s">
        <v>11</v>
      </c>
      <c r="D759" s="33" t="s">
        <v>12</v>
      </c>
      <c r="E759" s="34">
        <v>245.42</v>
      </c>
      <c r="F759" s="33">
        <v>3</v>
      </c>
      <c r="G759" s="34">
        <v>736.26</v>
      </c>
      <c r="H759" s="33" t="s">
        <v>359</v>
      </c>
      <c r="I759" s="33" t="str">
        <f t="shared" si="22"/>
        <v>Medium sales</v>
      </c>
      <c r="J759" s="33" t="str">
        <f t="shared" si="23"/>
        <v>not eligible</v>
      </c>
    </row>
    <row r="760" spans="1:10" x14ac:dyDescent="0.35">
      <c r="A760" s="31">
        <v>45287.835416666669</v>
      </c>
      <c r="B760" s="32">
        <v>0.93907407407407406</v>
      </c>
      <c r="C760" s="33" t="s">
        <v>11</v>
      </c>
      <c r="D760" s="33" t="s">
        <v>20</v>
      </c>
      <c r="E760" s="34">
        <v>94.6</v>
      </c>
      <c r="F760" s="33">
        <v>3</v>
      </c>
      <c r="G760" s="34">
        <v>283.8</v>
      </c>
      <c r="H760" s="33" t="s">
        <v>92</v>
      </c>
      <c r="I760" s="33" t="str">
        <f t="shared" si="22"/>
        <v>Low sales</v>
      </c>
      <c r="J760" s="33" t="str">
        <f t="shared" si="23"/>
        <v>not eligible</v>
      </c>
    </row>
    <row r="761" spans="1:10" x14ac:dyDescent="0.35">
      <c r="A761" s="31">
        <v>44954.543055555558</v>
      </c>
      <c r="B761" s="32">
        <v>0.6381944444444444</v>
      </c>
      <c r="C761" s="33" t="s">
        <v>14</v>
      </c>
      <c r="D761" s="33" t="s">
        <v>9</v>
      </c>
      <c r="E761" s="34">
        <v>380.85</v>
      </c>
      <c r="F761" s="33">
        <v>3</v>
      </c>
      <c r="G761" s="34">
        <v>1142.55</v>
      </c>
      <c r="H761" s="33" t="s">
        <v>360</v>
      </c>
      <c r="I761" s="33" t="str">
        <f t="shared" si="22"/>
        <v>Medium sales</v>
      </c>
      <c r="J761" s="33" t="str">
        <f t="shared" si="23"/>
        <v>not eligible</v>
      </c>
    </row>
    <row r="762" spans="1:10" x14ac:dyDescent="0.35">
      <c r="A762" s="31">
        <v>44993.415972222225</v>
      </c>
      <c r="B762" s="32">
        <v>0.80159722222222218</v>
      </c>
      <c r="C762" s="33" t="s">
        <v>11</v>
      </c>
      <c r="D762" s="33" t="s">
        <v>27</v>
      </c>
      <c r="E762" s="34">
        <v>183.57</v>
      </c>
      <c r="F762" s="33">
        <v>4</v>
      </c>
      <c r="G762" s="34">
        <v>734.28</v>
      </c>
      <c r="H762" s="33" t="s">
        <v>168</v>
      </c>
      <c r="I762" s="33" t="str">
        <f t="shared" si="22"/>
        <v>Medium sales</v>
      </c>
      <c r="J762" s="33" t="str">
        <f t="shared" si="23"/>
        <v>not eligible</v>
      </c>
    </row>
    <row r="763" spans="1:10" x14ac:dyDescent="0.35">
      <c r="A763" s="31">
        <v>45385.675694444442</v>
      </c>
      <c r="B763" s="32">
        <v>6.2754629629629632E-2</v>
      </c>
      <c r="C763" s="33" t="s">
        <v>11</v>
      </c>
      <c r="D763" s="33" t="s">
        <v>27</v>
      </c>
      <c r="E763" s="34">
        <v>466.88</v>
      </c>
      <c r="F763" s="33">
        <v>5</v>
      </c>
      <c r="G763" s="34">
        <v>2334.4</v>
      </c>
      <c r="H763" s="33" t="s">
        <v>216</v>
      </c>
      <c r="I763" s="33" t="str">
        <f t="shared" si="22"/>
        <v>High sales</v>
      </c>
      <c r="J763" s="33" t="str">
        <f t="shared" si="23"/>
        <v>eligible</v>
      </c>
    </row>
    <row r="764" spans="1:10" x14ac:dyDescent="0.35">
      <c r="A764" s="31">
        <v>45595.588194444441</v>
      </c>
      <c r="B764" s="32">
        <v>1.6932870370370369E-2</v>
      </c>
      <c r="C764" s="33" t="s">
        <v>11</v>
      </c>
      <c r="D764" s="33" t="s">
        <v>27</v>
      </c>
      <c r="E764" s="34">
        <v>241.3</v>
      </c>
      <c r="F764" s="33">
        <v>3</v>
      </c>
      <c r="G764" s="34">
        <v>723.9</v>
      </c>
      <c r="H764" s="33" t="s">
        <v>132</v>
      </c>
      <c r="I764" s="33" t="str">
        <f t="shared" si="22"/>
        <v>Medium sales</v>
      </c>
      <c r="J764" s="33" t="str">
        <f t="shared" si="23"/>
        <v>not eligible</v>
      </c>
    </row>
    <row r="765" spans="1:10" x14ac:dyDescent="0.35">
      <c r="A765" s="31">
        <v>45189.55972222222</v>
      </c>
      <c r="B765" s="32">
        <v>0.36212962962962963</v>
      </c>
      <c r="C765" s="33" t="s">
        <v>8</v>
      </c>
      <c r="D765" s="33" t="s">
        <v>12</v>
      </c>
      <c r="E765" s="34">
        <v>374.38</v>
      </c>
      <c r="F765" s="33">
        <v>2</v>
      </c>
      <c r="G765" s="34">
        <v>748.76</v>
      </c>
      <c r="H765" s="33" t="s">
        <v>208</v>
      </c>
      <c r="I765" s="33" t="str">
        <f t="shared" si="22"/>
        <v>Medium sales</v>
      </c>
      <c r="J765" s="33" t="str">
        <f t="shared" si="23"/>
        <v>not eligible</v>
      </c>
    </row>
    <row r="766" spans="1:10" x14ac:dyDescent="0.35">
      <c r="A766" s="31">
        <v>45213.404861111114</v>
      </c>
      <c r="B766" s="32">
        <v>0.95734953703703696</v>
      </c>
      <c r="C766" s="33" t="s">
        <v>14</v>
      </c>
      <c r="D766" s="33" t="s">
        <v>20</v>
      </c>
      <c r="E766" s="34">
        <v>444.15</v>
      </c>
      <c r="F766" s="33">
        <v>1</v>
      </c>
      <c r="G766" s="34">
        <v>444.15</v>
      </c>
      <c r="H766" s="33" t="s">
        <v>255</v>
      </c>
      <c r="I766" s="33" t="str">
        <f t="shared" si="22"/>
        <v>Low sales</v>
      </c>
      <c r="J766" s="33" t="str">
        <f t="shared" si="23"/>
        <v>not eligible</v>
      </c>
    </row>
    <row r="767" spans="1:10" x14ac:dyDescent="0.35">
      <c r="A767" s="31">
        <v>45309.302777777775</v>
      </c>
      <c r="B767" s="32">
        <v>0.44692129629629629</v>
      </c>
      <c r="C767" s="33" t="s">
        <v>14</v>
      </c>
      <c r="D767" s="33" t="s">
        <v>27</v>
      </c>
      <c r="E767" s="34">
        <v>72.27</v>
      </c>
      <c r="F767" s="33">
        <v>4</v>
      </c>
      <c r="G767" s="34">
        <v>289.08</v>
      </c>
      <c r="H767" s="33" t="s">
        <v>250</v>
      </c>
      <c r="I767" s="33" t="str">
        <f t="shared" si="22"/>
        <v>Low sales</v>
      </c>
      <c r="J767" s="33" t="str">
        <f t="shared" si="23"/>
        <v>not eligible</v>
      </c>
    </row>
    <row r="768" spans="1:10" x14ac:dyDescent="0.35">
      <c r="A768" s="31">
        <v>45634.853472222225</v>
      </c>
      <c r="B768" s="32">
        <v>0.23115740740740742</v>
      </c>
      <c r="C768" s="33" t="s">
        <v>8</v>
      </c>
      <c r="D768" s="33" t="s">
        <v>12</v>
      </c>
      <c r="E768" s="34">
        <v>69.7</v>
      </c>
      <c r="F768" s="33">
        <v>5</v>
      </c>
      <c r="G768" s="34">
        <v>348.5</v>
      </c>
      <c r="H768" s="33" t="s">
        <v>273</v>
      </c>
      <c r="I768" s="33" t="str">
        <f t="shared" si="22"/>
        <v>Low sales</v>
      </c>
      <c r="J768" s="33" t="str">
        <f t="shared" si="23"/>
        <v>not eligible</v>
      </c>
    </row>
    <row r="769" spans="1:10" x14ac:dyDescent="0.35">
      <c r="A769" s="31">
        <v>45082.606249999997</v>
      </c>
      <c r="B769" s="32">
        <v>0.28394675925925927</v>
      </c>
      <c r="C769" s="33" t="s">
        <v>8</v>
      </c>
      <c r="D769" s="33" t="s">
        <v>16</v>
      </c>
      <c r="E769" s="34">
        <v>334.63</v>
      </c>
      <c r="F769" s="33">
        <v>5</v>
      </c>
      <c r="G769" s="34">
        <v>1673.15</v>
      </c>
      <c r="H769" s="33" t="s">
        <v>129</v>
      </c>
      <c r="I769" s="33" t="str">
        <f t="shared" si="22"/>
        <v>High sales</v>
      </c>
      <c r="J769" s="33" t="str">
        <f t="shared" si="23"/>
        <v>not eligible</v>
      </c>
    </row>
    <row r="770" spans="1:10" x14ac:dyDescent="0.35">
      <c r="A770" s="31">
        <v>45411.163194444445</v>
      </c>
      <c r="B770" s="32">
        <v>0.92431712962962964</v>
      </c>
      <c r="C770" s="33" t="s">
        <v>8</v>
      </c>
      <c r="D770" s="33" t="s">
        <v>20</v>
      </c>
      <c r="E770" s="34">
        <v>430.95</v>
      </c>
      <c r="F770" s="33">
        <v>1</v>
      </c>
      <c r="G770" s="34">
        <v>430.95</v>
      </c>
      <c r="H770" s="33" t="s">
        <v>68</v>
      </c>
      <c r="I770" s="33" t="str">
        <f t="shared" si="22"/>
        <v>Low sales</v>
      </c>
      <c r="J770" s="33" t="str">
        <f t="shared" si="23"/>
        <v>not eligible</v>
      </c>
    </row>
    <row r="771" spans="1:10" x14ac:dyDescent="0.35">
      <c r="A771" s="31">
        <v>45535.570138888892</v>
      </c>
      <c r="B771" s="32">
        <v>0.34332175925925923</v>
      </c>
      <c r="C771" s="33" t="s">
        <v>8</v>
      </c>
      <c r="D771" s="33" t="s">
        <v>20</v>
      </c>
      <c r="E771" s="34">
        <v>255.81</v>
      </c>
      <c r="F771" s="33">
        <v>5</v>
      </c>
      <c r="G771" s="34">
        <v>1279.05</v>
      </c>
      <c r="H771" s="33" t="s">
        <v>361</v>
      </c>
      <c r="I771" s="33" t="str">
        <f t="shared" ref="I771:I834" si="24">IF(G771&gt;1500,"High sales", IF(G771&gt;500,"Medium sales", "Low sales"))</f>
        <v>Medium sales</v>
      </c>
      <c r="J771" s="33" t="str">
        <f t="shared" ref="J771:J834" si="25">IF(AND(G771&gt;1000,C771="Premium"), "eligible", "not eligible")</f>
        <v>not eligible</v>
      </c>
    </row>
    <row r="772" spans="1:10" x14ac:dyDescent="0.35">
      <c r="A772" s="31">
        <v>45543.681250000001</v>
      </c>
      <c r="B772" s="32">
        <v>0.98136574074074068</v>
      </c>
      <c r="C772" s="33" t="s">
        <v>8</v>
      </c>
      <c r="D772" s="33" t="s">
        <v>27</v>
      </c>
      <c r="E772" s="34">
        <v>167.66</v>
      </c>
      <c r="F772" s="33">
        <v>3</v>
      </c>
      <c r="G772" s="34">
        <v>502.98</v>
      </c>
      <c r="H772" s="33" t="s">
        <v>53</v>
      </c>
      <c r="I772" s="33" t="str">
        <f t="shared" si="24"/>
        <v>Medium sales</v>
      </c>
      <c r="J772" s="33" t="str">
        <f t="shared" si="25"/>
        <v>not eligible</v>
      </c>
    </row>
    <row r="773" spans="1:10" x14ac:dyDescent="0.35">
      <c r="A773" s="31">
        <v>45192.368750000001</v>
      </c>
      <c r="B773" s="32">
        <v>0.27228009259259262</v>
      </c>
      <c r="C773" s="33" t="s">
        <v>14</v>
      </c>
      <c r="D773" s="33" t="s">
        <v>9</v>
      </c>
      <c r="E773" s="34">
        <v>61.98</v>
      </c>
      <c r="F773" s="33">
        <v>5</v>
      </c>
      <c r="G773" s="34">
        <v>309.89999999999998</v>
      </c>
      <c r="H773" s="33" t="s">
        <v>243</v>
      </c>
      <c r="I773" s="33" t="str">
        <f t="shared" si="24"/>
        <v>Low sales</v>
      </c>
      <c r="J773" s="33" t="str">
        <f t="shared" si="25"/>
        <v>not eligible</v>
      </c>
    </row>
    <row r="774" spans="1:10" x14ac:dyDescent="0.35">
      <c r="A774" s="31">
        <v>45182.411805555559</v>
      </c>
      <c r="B774" s="32">
        <v>0.92657407407407411</v>
      </c>
      <c r="C774" s="33" t="s">
        <v>11</v>
      </c>
      <c r="D774" s="33" t="s">
        <v>12</v>
      </c>
      <c r="E774" s="34">
        <v>458.97</v>
      </c>
      <c r="F774" s="33">
        <v>1</v>
      </c>
      <c r="G774" s="34">
        <v>458.97</v>
      </c>
      <c r="H774" s="33" t="s">
        <v>49</v>
      </c>
      <c r="I774" s="33" t="str">
        <f t="shared" si="24"/>
        <v>Low sales</v>
      </c>
      <c r="J774" s="33" t="str">
        <f t="shared" si="25"/>
        <v>not eligible</v>
      </c>
    </row>
    <row r="775" spans="1:10" x14ac:dyDescent="0.35">
      <c r="A775" s="31">
        <v>45129.773611111108</v>
      </c>
      <c r="B775" s="32">
        <v>0.89776620370370364</v>
      </c>
      <c r="C775" s="33" t="s">
        <v>8</v>
      </c>
      <c r="D775" s="33" t="s">
        <v>9</v>
      </c>
      <c r="E775" s="34">
        <v>499.47</v>
      </c>
      <c r="F775" s="33">
        <v>1</v>
      </c>
      <c r="G775" s="34">
        <v>499.47</v>
      </c>
      <c r="H775" s="33" t="s">
        <v>270</v>
      </c>
      <c r="I775" s="33" t="str">
        <f t="shared" si="24"/>
        <v>Low sales</v>
      </c>
      <c r="J775" s="33" t="str">
        <f t="shared" si="25"/>
        <v>not eligible</v>
      </c>
    </row>
    <row r="776" spans="1:10" x14ac:dyDescent="0.35">
      <c r="A776" s="31">
        <v>45257.293749999997</v>
      </c>
      <c r="B776" s="32">
        <v>0.3351851851851852</v>
      </c>
      <c r="C776" s="33" t="s">
        <v>8</v>
      </c>
      <c r="D776" s="33" t="s">
        <v>27</v>
      </c>
      <c r="E776" s="34">
        <v>161.97</v>
      </c>
      <c r="F776" s="33">
        <v>4</v>
      </c>
      <c r="G776" s="34">
        <v>647.88</v>
      </c>
      <c r="H776" s="33" t="s">
        <v>261</v>
      </c>
      <c r="I776" s="33" t="str">
        <f t="shared" si="24"/>
        <v>Medium sales</v>
      </c>
      <c r="J776" s="33" t="str">
        <f t="shared" si="25"/>
        <v>not eligible</v>
      </c>
    </row>
    <row r="777" spans="1:10" x14ac:dyDescent="0.35">
      <c r="A777" s="31">
        <v>45497.438888888886</v>
      </c>
      <c r="B777" s="32">
        <v>0.86914351851851857</v>
      </c>
      <c r="C777" s="33" t="s">
        <v>11</v>
      </c>
      <c r="D777" s="33" t="s">
        <v>16</v>
      </c>
      <c r="E777" s="34">
        <v>459.6</v>
      </c>
      <c r="F777" s="33">
        <v>5</v>
      </c>
      <c r="G777" s="34">
        <v>2298</v>
      </c>
      <c r="H777" s="33" t="s">
        <v>337</v>
      </c>
      <c r="I777" s="33" t="str">
        <f t="shared" si="24"/>
        <v>High sales</v>
      </c>
      <c r="J777" s="33" t="str">
        <f t="shared" si="25"/>
        <v>eligible</v>
      </c>
    </row>
    <row r="778" spans="1:10" x14ac:dyDescent="0.35">
      <c r="A778" s="31">
        <v>45318.021527777775</v>
      </c>
      <c r="B778" s="32">
        <v>0.61245370370370367</v>
      </c>
      <c r="C778" s="33" t="s">
        <v>14</v>
      </c>
      <c r="D778" s="33" t="s">
        <v>27</v>
      </c>
      <c r="E778" s="34">
        <v>14.42</v>
      </c>
      <c r="F778" s="33">
        <v>2</v>
      </c>
      <c r="G778" s="34">
        <v>28.84</v>
      </c>
      <c r="H778" s="33" t="s">
        <v>250</v>
      </c>
      <c r="I778" s="33" t="str">
        <f t="shared" si="24"/>
        <v>Low sales</v>
      </c>
      <c r="J778" s="33" t="str">
        <f t="shared" si="25"/>
        <v>not eligible</v>
      </c>
    </row>
    <row r="779" spans="1:10" x14ac:dyDescent="0.35">
      <c r="A779" s="31">
        <v>45303.279861111114</v>
      </c>
      <c r="B779" s="32">
        <v>0.68185185185185182</v>
      </c>
      <c r="C779" s="33" t="s">
        <v>11</v>
      </c>
      <c r="D779" s="33" t="s">
        <v>16</v>
      </c>
      <c r="E779" s="34">
        <v>215.99</v>
      </c>
      <c r="F779" s="33">
        <v>2</v>
      </c>
      <c r="G779" s="34">
        <v>431.98</v>
      </c>
      <c r="H779" s="33" t="s">
        <v>305</v>
      </c>
      <c r="I779" s="33" t="str">
        <f t="shared" si="24"/>
        <v>Low sales</v>
      </c>
      <c r="J779" s="33" t="str">
        <f t="shared" si="25"/>
        <v>not eligible</v>
      </c>
    </row>
    <row r="780" spans="1:10" x14ac:dyDescent="0.35">
      <c r="A780" s="31">
        <v>45389.574999999997</v>
      </c>
      <c r="B780" s="32">
        <v>0.75373842592592588</v>
      </c>
      <c r="C780" s="33" t="s">
        <v>8</v>
      </c>
      <c r="D780" s="33" t="s">
        <v>12</v>
      </c>
      <c r="E780" s="34">
        <v>164.07</v>
      </c>
      <c r="F780" s="33">
        <v>3</v>
      </c>
      <c r="G780" s="34">
        <v>492.21</v>
      </c>
      <c r="H780" s="33" t="s">
        <v>67</v>
      </c>
      <c r="I780" s="33" t="str">
        <f t="shared" si="24"/>
        <v>Low sales</v>
      </c>
      <c r="J780" s="33" t="str">
        <f t="shared" si="25"/>
        <v>not eligible</v>
      </c>
    </row>
    <row r="781" spans="1:10" x14ac:dyDescent="0.35">
      <c r="A781" s="31">
        <v>45143.667361111111</v>
      </c>
      <c r="B781" s="32">
        <v>0.56983796296296296</v>
      </c>
      <c r="C781" s="33" t="s">
        <v>11</v>
      </c>
      <c r="D781" s="33" t="s">
        <v>27</v>
      </c>
      <c r="E781" s="34">
        <v>338.16</v>
      </c>
      <c r="F781" s="33">
        <v>1</v>
      </c>
      <c r="G781" s="34">
        <v>338.16</v>
      </c>
      <c r="H781" s="33" t="s">
        <v>102</v>
      </c>
      <c r="I781" s="33" t="str">
        <f t="shared" si="24"/>
        <v>Low sales</v>
      </c>
      <c r="J781" s="33" t="str">
        <f t="shared" si="25"/>
        <v>not eligible</v>
      </c>
    </row>
    <row r="782" spans="1:10" x14ac:dyDescent="0.35">
      <c r="A782" s="31">
        <v>45147.96597222222</v>
      </c>
      <c r="B782" s="32">
        <v>0.16300925925925927</v>
      </c>
      <c r="C782" s="33" t="s">
        <v>14</v>
      </c>
      <c r="D782" s="33" t="s">
        <v>12</v>
      </c>
      <c r="E782" s="34">
        <v>315.38</v>
      </c>
      <c r="F782" s="33">
        <v>2</v>
      </c>
      <c r="G782" s="34">
        <v>630.76</v>
      </c>
      <c r="H782" s="33" t="s">
        <v>224</v>
      </c>
      <c r="I782" s="33" t="str">
        <f t="shared" si="24"/>
        <v>Medium sales</v>
      </c>
      <c r="J782" s="33" t="str">
        <f t="shared" si="25"/>
        <v>not eligible</v>
      </c>
    </row>
    <row r="783" spans="1:10" x14ac:dyDescent="0.35">
      <c r="A783" s="31">
        <v>45291.029861111114</v>
      </c>
      <c r="B783" s="32">
        <v>0.40751157407407407</v>
      </c>
      <c r="C783" s="33" t="s">
        <v>11</v>
      </c>
      <c r="D783" s="33" t="s">
        <v>27</v>
      </c>
      <c r="E783" s="34">
        <v>318.8</v>
      </c>
      <c r="F783" s="33">
        <v>1</v>
      </c>
      <c r="G783" s="34">
        <v>318.8</v>
      </c>
      <c r="H783" s="33" t="s">
        <v>362</v>
      </c>
      <c r="I783" s="33" t="str">
        <f t="shared" si="24"/>
        <v>Low sales</v>
      </c>
      <c r="J783" s="33" t="str">
        <f t="shared" si="25"/>
        <v>not eligible</v>
      </c>
    </row>
    <row r="784" spans="1:10" x14ac:dyDescent="0.35">
      <c r="A784" s="31">
        <v>45582.659722222219</v>
      </c>
      <c r="B784" s="32">
        <v>3.3136574074074075E-2</v>
      </c>
      <c r="C784" s="33" t="s">
        <v>11</v>
      </c>
      <c r="D784" s="33" t="s">
        <v>27</v>
      </c>
      <c r="E784" s="34">
        <v>325.87</v>
      </c>
      <c r="F784" s="33">
        <v>3</v>
      </c>
      <c r="G784" s="34">
        <v>977.61</v>
      </c>
      <c r="H784" s="33" t="s">
        <v>105</v>
      </c>
      <c r="I784" s="33" t="str">
        <f t="shared" si="24"/>
        <v>Medium sales</v>
      </c>
      <c r="J784" s="33" t="str">
        <f t="shared" si="25"/>
        <v>not eligible</v>
      </c>
    </row>
    <row r="785" spans="1:10" x14ac:dyDescent="0.35">
      <c r="A785" s="31">
        <v>45664.065972222219</v>
      </c>
      <c r="B785" s="32">
        <v>0.47736111111111112</v>
      </c>
      <c r="C785" s="33" t="s">
        <v>14</v>
      </c>
      <c r="D785" s="33" t="s">
        <v>20</v>
      </c>
      <c r="E785" s="34">
        <v>319.22000000000003</v>
      </c>
      <c r="F785" s="33">
        <v>4</v>
      </c>
      <c r="G785" s="34">
        <v>1276.8800000000001</v>
      </c>
      <c r="H785" s="33" t="s">
        <v>270</v>
      </c>
      <c r="I785" s="33" t="str">
        <f t="shared" si="24"/>
        <v>Medium sales</v>
      </c>
      <c r="J785" s="33" t="str">
        <f t="shared" si="25"/>
        <v>not eligible</v>
      </c>
    </row>
    <row r="786" spans="1:10" x14ac:dyDescent="0.35">
      <c r="A786" s="31">
        <v>45416.54583333333</v>
      </c>
      <c r="B786" s="32">
        <v>0.99980324074074067</v>
      </c>
      <c r="C786" s="33" t="s">
        <v>14</v>
      </c>
      <c r="D786" s="33" t="s">
        <v>27</v>
      </c>
      <c r="E786" s="34">
        <v>213.62</v>
      </c>
      <c r="F786" s="33">
        <v>4</v>
      </c>
      <c r="G786" s="34">
        <v>854.48</v>
      </c>
      <c r="H786" s="33" t="s">
        <v>62</v>
      </c>
      <c r="I786" s="33" t="str">
        <f t="shared" si="24"/>
        <v>Medium sales</v>
      </c>
      <c r="J786" s="33" t="str">
        <f t="shared" si="25"/>
        <v>not eligible</v>
      </c>
    </row>
    <row r="787" spans="1:10" x14ac:dyDescent="0.35">
      <c r="A787" s="31">
        <v>45239.925000000003</v>
      </c>
      <c r="B787" s="32">
        <v>0.20774305555555558</v>
      </c>
      <c r="C787" s="33" t="s">
        <v>11</v>
      </c>
      <c r="D787" s="33" t="s">
        <v>16</v>
      </c>
      <c r="E787" s="34">
        <v>495.19</v>
      </c>
      <c r="F787" s="33">
        <v>4</v>
      </c>
      <c r="G787" s="34">
        <v>1980.76</v>
      </c>
      <c r="H787" s="33" t="s">
        <v>342</v>
      </c>
      <c r="I787" s="33" t="str">
        <f t="shared" si="24"/>
        <v>High sales</v>
      </c>
      <c r="J787" s="33" t="str">
        <f t="shared" si="25"/>
        <v>eligible</v>
      </c>
    </row>
    <row r="788" spans="1:10" x14ac:dyDescent="0.35">
      <c r="A788" s="31">
        <v>45426.236111111109</v>
      </c>
      <c r="B788" s="32">
        <v>0.66327546296296302</v>
      </c>
      <c r="C788" s="33" t="s">
        <v>14</v>
      </c>
      <c r="D788" s="33" t="s">
        <v>16</v>
      </c>
      <c r="E788" s="34">
        <v>49.72</v>
      </c>
      <c r="F788" s="33">
        <v>5</v>
      </c>
      <c r="G788" s="34">
        <v>248.6</v>
      </c>
      <c r="H788" s="33" t="s">
        <v>289</v>
      </c>
      <c r="I788" s="33" t="str">
        <f t="shared" si="24"/>
        <v>Low sales</v>
      </c>
      <c r="J788" s="33" t="str">
        <f t="shared" si="25"/>
        <v>not eligible</v>
      </c>
    </row>
    <row r="789" spans="1:10" x14ac:dyDescent="0.35">
      <c r="A789" s="31">
        <v>44941.395833333336</v>
      </c>
      <c r="B789" s="32">
        <v>0.66037037037037039</v>
      </c>
      <c r="C789" s="33" t="s">
        <v>14</v>
      </c>
      <c r="D789" s="33" t="s">
        <v>20</v>
      </c>
      <c r="E789" s="34">
        <v>473.01</v>
      </c>
      <c r="F789" s="33">
        <v>4</v>
      </c>
      <c r="G789" s="34">
        <v>1892.04</v>
      </c>
      <c r="H789" s="33" t="s">
        <v>254</v>
      </c>
      <c r="I789" s="33" t="str">
        <f t="shared" si="24"/>
        <v>High sales</v>
      </c>
      <c r="J789" s="33" t="str">
        <f t="shared" si="25"/>
        <v>not eligible</v>
      </c>
    </row>
    <row r="790" spans="1:10" x14ac:dyDescent="0.35">
      <c r="A790" s="31">
        <v>45040.870833333334</v>
      </c>
      <c r="B790" s="32">
        <v>0.41357638888888887</v>
      </c>
      <c r="C790" s="33" t="s">
        <v>11</v>
      </c>
      <c r="D790" s="33" t="s">
        <v>27</v>
      </c>
      <c r="E790" s="34">
        <v>379.26</v>
      </c>
      <c r="F790" s="33">
        <v>5</v>
      </c>
      <c r="G790" s="34">
        <v>1896.3</v>
      </c>
      <c r="H790" s="33" t="s">
        <v>158</v>
      </c>
      <c r="I790" s="33" t="str">
        <f t="shared" si="24"/>
        <v>High sales</v>
      </c>
      <c r="J790" s="33" t="str">
        <f t="shared" si="25"/>
        <v>eligible</v>
      </c>
    </row>
    <row r="791" spans="1:10" x14ac:dyDescent="0.35">
      <c r="A791" s="31">
        <v>45090.881249999999</v>
      </c>
      <c r="B791" s="32">
        <v>0.20372685185185188</v>
      </c>
      <c r="C791" s="33" t="s">
        <v>14</v>
      </c>
      <c r="D791" s="33" t="s">
        <v>12</v>
      </c>
      <c r="E791" s="34">
        <v>300.25</v>
      </c>
      <c r="F791" s="33">
        <v>1</v>
      </c>
      <c r="G791" s="34">
        <v>300.25</v>
      </c>
      <c r="H791" s="33" t="s">
        <v>167</v>
      </c>
      <c r="I791" s="33" t="str">
        <f t="shared" si="24"/>
        <v>Low sales</v>
      </c>
      <c r="J791" s="33" t="str">
        <f t="shared" si="25"/>
        <v>not eligible</v>
      </c>
    </row>
    <row r="792" spans="1:10" x14ac:dyDescent="0.35">
      <c r="A792" s="31">
        <v>45064.477083333331</v>
      </c>
      <c r="B792" s="32">
        <v>0.4370486111111111</v>
      </c>
      <c r="C792" s="33" t="s">
        <v>14</v>
      </c>
      <c r="D792" s="33" t="s">
        <v>16</v>
      </c>
      <c r="E792" s="34">
        <v>494.55</v>
      </c>
      <c r="F792" s="33">
        <v>2</v>
      </c>
      <c r="G792" s="34">
        <v>989.1</v>
      </c>
      <c r="H792" s="33" t="s">
        <v>234</v>
      </c>
      <c r="I792" s="33" t="str">
        <f t="shared" si="24"/>
        <v>Medium sales</v>
      </c>
      <c r="J792" s="33" t="str">
        <f t="shared" si="25"/>
        <v>not eligible</v>
      </c>
    </row>
    <row r="793" spans="1:10" x14ac:dyDescent="0.35">
      <c r="A793" s="31">
        <v>44978.489583333336</v>
      </c>
      <c r="B793" s="32">
        <v>0.20196759259259259</v>
      </c>
      <c r="C793" s="33" t="s">
        <v>8</v>
      </c>
      <c r="D793" s="33" t="s">
        <v>9</v>
      </c>
      <c r="E793" s="34">
        <v>477.3</v>
      </c>
      <c r="F793" s="33">
        <v>3</v>
      </c>
      <c r="G793" s="34">
        <v>1431.9</v>
      </c>
      <c r="H793" s="33" t="s">
        <v>226</v>
      </c>
      <c r="I793" s="33" t="str">
        <f t="shared" si="24"/>
        <v>Medium sales</v>
      </c>
      <c r="J793" s="33" t="str">
        <f t="shared" si="25"/>
        <v>not eligible</v>
      </c>
    </row>
    <row r="794" spans="1:10" x14ac:dyDescent="0.35">
      <c r="A794" s="31">
        <v>45561.836805555555</v>
      </c>
      <c r="B794" s="32">
        <v>0.62207175925925928</v>
      </c>
      <c r="C794" s="33" t="s">
        <v>8</v>
      </c>
      <c r="D794" s="33" t="s">
        <v>27</v>
      </c>
      <c r="E794" s="34">
        <v>342.78</v>
      </c>
      <c r="F794" s="33">
        <v>2</v>
      </c>
      <c r="G794" s="34">
        <v>685.56</v>
      </c>
      <c r="H794" s="33" t="s">
        <v>49</v>
      </c>
      <c r="I794" s="33" t="str">
        <f t="shared" si="24"/>
        <v>Medium sales</v>
      </c>
      <c r="J794" s="33" t="str">
        <f t="shared" si="25"/>
        <v>not eligible</v>
      </c>
    </row>
    <row r="795" spans="1:10" x14ac:dyDescent="0.35">
      <c r="A795" s="31">
        <v>45412.284722222219</v>
      </c>
      <c r="B795" s="32">
        <v>0.52630787037037041</v>
      </c>
      <c r="C795" s="33" t="s">
        <v>14</v>
      </c>
      <c r="D795" s="33" t="s">
        <v>9</v>
      </c>
      <c r="E795" s="34">
        <v>487.94</v>
      </c>
      <c r="F795" s="33">
        <v>5</v>
      </c>
      <c r="G795" s="34">
        <v>2439.6999999999998</v>
      </c>
      <c r="H795" s="33" t="s">
        <v>363</v>
      </c>
      <c r="I795" s="33" t="str">
        <f t="shared" si="24"/>
        <v>High sales</v>
      </c>
      <c r="J795" s="33" t="str">
        <f t="shared" si="25"/>
        <v>not eligible</v>
      </c>
    </row>
    <row r="796" spans="1:10" x14ac:dyDescent="0.35">
      <c r="A796" s="31">
        <v>45209.336805555555</v>
      </c>
      <c r="B796" s="32">
        <v>0.6424305555555555</v>
      </c>
      <c r="C796" s="33" t="s">
        <v>11</v>
      </c>
      <c r="D796" s="33" t="s">
        <v>27</v>
      </c>
      <c r="E796" s="34">
        <v>48.32</v>
      </c>
      <c r="F796" s="33">
        <v>2</v>
      </c>
      <c r="G796" s="34">
        <v>96.64</v>
      </c>
      <c r="H796" s="33" t="s">
        <v>91</v>
      </c>
      <c r="I796" s="33" t="str">
        <f t="shared" si="24"/>
        <v>Low sales</v>
      </c>
      <c r="J796" s="33" t="str">
        <f t="shared" si="25"/>
        <v>not eligible</v>
      </c>
    </row>
    <row r="797" spans="1:10" x14ac:dyDescent="0.35">
      <c r="A797" s="31">
        <v>45373.936111111114</v>
      </c>
      <c r="B797" s="32">
        <v>0.19576388888888888</v>
      </c>
      <c r="C797" s="33" t="s">
        <v>11</v>
      </c>
      <c r="D797" s="33" t="s">
        <v>12</v>
      </c>
      <c r="E797" s="34">
        <v>343.57</v>
      </c>
      <c r="F797" s="33">
        <v>1</v>
      </c>
      <c r="G797" s="34">
        <v>343.57</v>
      </c>
      <c r="H797" s="33" t="s">
        <v>211</v>
      </c>
      <c r="I797" s="33" t="str">
        <f t="shared" si="24"/>
        <v>Low sales</v>
      </c>
      <c r="J797" s="33" t="str">
        <f t="shared" si="25"/>
        <v>not eligible</v>
      </c>
    </row>
    <row r="798" spans="1:10" x14ac:dyDescent="0.35">
      <c r="A798" s="31">
        <v>45015.547222222223</v>
      </c>
      <c r="B798" s="32">
        <v>0.16387731481481482</v>
      </c>
      <c r="C798" s="33" t="s">
        <v>8</v>
      </c>
      <c r="D798" s="33" t="s">
        <v>9</v>
      </c>
      <c r="E798" s="34">
        <v>288.99</v>
      </c>
      <c r="F798" s="33">
        <v>3</v>
      </c>
      <c r="G798" s="34">
        <v>866.97</v>
      </c>
      <c r="H798" s="33" t="s">
        <v>85</v>
      </c>
      <c r="I798" s="33" t="str">
        <f t="shared" si="24"/>
        <v>Medium sales</v>
      </c>
      <c r="J798" s="33" t="str">
        <f t="shared" si="25"/>
        <v>not eligible</v>
      </c>
    </row>
    <row r="799" spans="1:10" x14ac:dyDescent="0.35">
      <c r="A799" s="31">
        <v>45610.902777777781</v>
      </c>
      <c r="B799" s="32">
        <v>0.28452546296296294</v>
      </c>
      <c r="C799" s="33" t="s">
        <v>14</v>
      </c>
      <c r="D799" s="33" t="s">
        <v>9</v>
      </c>
      <c r="E799" s="34">
        <v>73.95</v>
      </c>
      <c r="F799" s="33">
        <v>4</v>
      </c>
      <c r="G799" s="34">
        <v>295.8</v>
      </c>
      <c r="H799" s="33" t="s">
        <v>225</v>
      </c>
      <c r="I799" s="33" t="str">
        <f t="shared" si="24"/>
        <v>Low sales</v>
      </c>
      <c r="J799" s="33" t="str">
        <f t="shared" si="25"/>
        <v>not eligible</v>
      </c>
    </row>
    <row r="800" spans="1:10" x14ac:dyDescent="0.35">
      <c r="A800" s="31">
        <v>44960.040277777778</v>
      </c>
      <c r="B800" s="32">
        <v>0.15922453703703704</v>
      </c>
      <c r="C800" s="33" t="s">
        <v>11</v>
      </c>
      <c r="D800" s="33" t="s">
        <v>27</v>
      </c>
      <c r="E800" s="34">
        <v>242.78</v>
      </c>
      <c r="F800" s="33">
        <v>2</v>
      </c>
      <c r="G800" s="34">
        <v>485.56</v>
      </c>
      <c r="H800" s="33" t="s">
        <v>247</v>
      </c>
      <c r="I800" s="33" t="str">
        <f t="shared" si="24"/>
        <v>Low sales</v>
      </c>
      <c r="J800" s="33" t="str">
        <f t="shared" si="25"/>
        <v>not eligible</v>
      </c>
    </row>
    <row r="801" spans="1:10" x14ac:dyDescent="0.35">
      <c r="A801" s="31">
        <v>45174.491666666669</v>
      </c>
      <c r="B801" s="32">
        <v>5.6527777777777781E-2</v>
      </c>
      <c r="C801" s="33" t="s">
        <v>8</v>
      </c>
      <c r="D801" s="33" t="s">
        <v>12</v>
      </c>
      <c r="E801" s="34">
        <v>426.37</v>
      </c>
      <c r="F801" s="33">
        <v>5</v>
      </c>
      <c r="G801" s="34">
        <v>2131.85</v>
      </c>
      <c r="H801" s="33" t="s">
        <v>106</v>
      </c>
      <c r="I801" s="33" t="str">
        <f t="shared" si="24"/>
        <v>High sales</v>
      </c>
      <c r="J801" s="33" t="str">
        <f t="shared" si="25"/>
        <v>not eligible</v>
      </c>
    </row>
    <row r="802" spans="1:10" x14ac:dyDescent="0.35">
      <c r="A802" s="31">
        <v>45399.655555555553</v>
      </c>
      <c r="B802" s="32">
        <v>0.39890046296296294</v>
      </c>
      <c r="C802" s="33" t="s">
        <v>8</v>
      </c>
      <c r="D802" s="33" t="s">
        <v>12</v>
      </c>
      <c r="E802" s="34">
        <v>233.07</v>
      </c>
      <c r="F802" s="33">
        <v>3</v>
      </c>
      <c r="G802" s="34">
        <v>699.21</v>
      </c>
      <c r="H802" s="33" t="s">
        <v>46</v>
      </c>
      <c r="I802" s="33" t="str">
        <f t="shared" si="24"/>
        <v>Medium sales</v>
      </c>
      <c r="J802" s="33" t="str">
        <f t="shared" si="25"/>
        <v>not eligible</v>
      </c>
    </row>
    <row r="803" spans="1:10" x14ac:dyDescent="0.35">
      <c r="A803" s="31">
        <v>44970.804166666669</v>
      </c>
      <c r="B803" s="32">
        <v>9.3993055555555552E-2</v>
      </c>
      <c r="C803" s="33" t="s">
        <v>14</v>
      </c>
      <c r="D803" s="33" t="s">
        <v>27</v>
      </c>
      <c r="E803" s="34">
        <v>123.83</v>
      </c>
      <c r="F803" s="33">
        <v>5</v>
      </c>
      <c r="G803" s="34">
        <v>619.15</v>
      </c>
      <c r="H803" s="33" t="s">
        <v>364</v>
      </c>
      <c r="I803" s="33" t="str">
        <f t="shared" si="24"/>
        <v>Medium sales</v>
      </c>
      <c r="J803" s="33" t="str">
        <f t="shared" si="25"/>
        <v>not eligible</v>
      </c>
    </row>
    <row r="804" spans="1:10" x14ac:dyDescent="0.35">
      <c r="A804" s="31">
        <v>45112.467361111114</v>
      </c>
      <c r="B804" s="32">
        <v>0.58234953703703707</v>
      </c>
      <c r="C804" s="33" t="s">
        <v>8</v>
      </c>
      <c r="D804" s="33" t="s">
        <v>9</v>
      </c>
      <c r="E804" s="34">
        <v>361.65</v>
      </c>
      <c r="F804" s="33">
        <v>3</v>
      </c>
      <c r="G804" s="34">
        <v>1084.95</v>
      </c>
      <c r="H804" s="33" t="s">
        <v>195</v>
      </c>
      <c r="I804" s="33" t="str">
        <f t="shared" si="24"/>
        <v>Medium sales</v>
      </c>
      <c r="J804" s="33" t="str">
        <f t="shared" si="25"/>
        <v>not eligible</v>
      </c>
    </row>
    <row r="805" spans="1:10" x14ac:dyDescent="0.35">
      <c r="A805" s="31">
        <v>45583.583333333336</v>
      </c>
      <c r="B805" s="32">
        <v>0.66180555555555554</v>
      </c>
      <c r="C805" s="33" t="s">
        <v>8</v>
      </c>
      <c r="D805" s="33" t="s">
        <v>20</v>
      </c>
      <c r="E805" s="34">
        <v>253.75</v>
      </c>
      <c r="F805" s="33">
        <v>5</v>
      </c>
      <c r="G805" s="34">
        <v>1268.75</v>
      </c>
      <c r="H805" s="33" t="s">
        <v>315</v>
      </c>
      <c r="I805" s="33" t="str">
        <f t="shared" si="24"/>
        <v>Medium sales</v>
      </c>
      <c r="J805" s="33" t="str">
        <f t="shared" si="25"/>
        <v>not eligible</v>
      </c>
    </row>
    <row r="806" spans="1:10" x14ac:dyDescent="0.35">
      <c r="A806" s="31">
        <v>45201.53125</v>
      </c>
      <c r="B806" s="32">
        <v>0.47814814814814816</v>
      </c>
      <c r="C806" s="33" t="s">
        <v>11</v>
      </c>
      <c r="D806" s="33" t="s">
        <v>12</v>
      </c>
      <c r="E806" s="34">
        <v>312.13</v>
      </c>
      <c r="F806" s="33">
        <v>4</v>
      </c>
      <c r="G806" s="34">
        <v>1248.52</v>
      </c>
      <c r="H806" s="33" t="s">
        <v>215</v>
      </c>
      <c r="I806" s="33" t="str">
        <f t="shared" si="24"/>
        <v>Medium sales</v>
      </c>
      <c r="J806" s="33" t="str">
        <f t="shared" si="25"/>
        <v>eligible</v>
      </c>
    </row>
    <row r="807" spans="1:10" x14ac:dyDescent="0.35">
      <c r="A807" s="31">
        <v>45129.977777777778</v>
      </c>
      <c r="B807" s="32">
        <v>0.34606481481481483</v>
      </c>
      <c r="C807" s="33" t="s">
        <v>14</v>
      </c>
      <c r="D807" s="33" t="s">
        <v>16</v>
      </c>
      <c r="E807" s="34">
        <v>445.91</v>
      </c>
      <c r="F807" s="33">
        <v>2</v>
      </c>
      <c r="G807" s="34">
        <v>891.82</v>
      </c>
      <c r="H807" s="33" t="s">
        <v>114</v>
      </c>
      <c r="I807" s="33" t="str">
        <f t="shared" si="24"/>
        <v>Medium sales</v>
      </c>
      <c r="J807" s="33" t="str">
        <f t="shared" si="25"/>
        <v>not eligible</v>
      </c>
    </row>
    <row r="808" spans="1:10" x14ac:dyDescent="0.35">
      <c r="A808" s="31">
        <v>45068.515972222223</v>
      </c>
      <c r="B808" s="32">
        <v>0.64403935185185179</v>
      </c>
      <c r="C808" s="33" t="s">
        <v>11</v>
      </c>
      <c r="D808" s="33" t="s">
        <v>20</v>
      </c>
      <c r="E808" s="34">
        <v>41.22</v>
      </c>
      <c r="F808" s="33">
        <v>4</v>
      </c>
      <c r="G808" s="34">
        <v>164.88</v>
      </c>
      <c r="H808" s="33" t="s">
        <v>35</v>
      </c>
      <c r="I808" s="33" t="str">
        <f t="shared" si="24"/>
        <v>Low sales</v>
      </c>
      <c r="J808" s="33" t="str">
        <f t="shared" si="25"/>
        <v>not eligible</v>
      </c>
    </row>
    <row r="809" spans="1:10" x14ac:dyDescent="0.35">
      <c r="A809" s="31">
        <v>45547.844444444447</v>
      </c>
      <c r="B809" s="32">
        <v>0.24849537037037037</v>
      </c>
      <c r="C809" s="33" t="s">
        <v>14</v>
      </c>
      <c r="D809" s="33" t="s">
        <v>12</v>
      </c>
      <c r="E809" s="34">
        <v>212.03</v>
      </c>
      <c r="F809" s="33">
        <v>2</v>
      </c>
      <c r="G809" s="34">
        <v>424.06</v>
      </c>
      <c r="H809" s="33" t="s">
        <v>248</v>
      </c>
      <c r="I809" s="33" t="str">
        <f t="shared" si="24"/>
        <v>Low sales</v>
      </c>
      <c r="J809" s="33" t="str">
        <f t="shared" si="25"/>
        <v>not eligible</v>
      </c>
    </row>
    <row r="810" spans="1:10" x14ac:dyDescent="0.35">
      <c r="A810" s="31">
        <v>44947.978472222225</v>
      </c>
      <c r="B810" s="32">
        <v>0.28576388888888887</v>
      </c>
      <c r="C810" s="33" t="s">
        <v>14</v>
      </c>
      <c r="D810" s="33" t="s">
        <v>16</v>
      </c>
      <c r="E810" s="34">
        <v>428.3</v>
      </c>
      <c r="F810" s="33">
        <v>5</v>
      </c>
      <c r="G810" s="34">
        <v>2141.5</v>
      </c>
      <c r="H810" s="33" t="s">
        <v>120</v>
      </c>
      <c r="I810" s="33" t="str">
        <f t="shared" si="24"/>
        <v>High sales</v>
      </c>
      <c r="J810" s="33" t="str">
        <f t="shared" si="25"/>
        <v>not eligible</v>
      </c>
    </row>
    <row r="811" spans="1:10" x14ac:dyDescent="0.35">
      <c r="A811" s="31">
        <v>45171.78402777778</v>
      </c>
      <c r="B811" s="32">
        <v>0.78512731481481479</v>
      </c>
      <c r="C811" s="33" t="s">
        <v>8</v>
      </c>
      <c r="D811" s="33" t="s">
        <v>27</v>
      </c>
      <c r="E811" s="34">
        <v>400.81</v>
      </c>
      <c r="F811" s="33">
        <v>3</v>
      </c>
      <c r="G811" s="34">
        <v>1202.43</v>
      </c>
      <c r="H811" s="33" t="s">
        <v>64</v>
      </c>
      <c r="I811" s="33" t="str">
        <f t="shared" si="24"/>
        <v>Medium sales</v>
      </c>
      <c r="J811" s="33" t="str">
        <f t="shared" si="25"/>
        <v>not eligible</v>
      </c>
    </row>
    <row r="812" spans="1:10" x14ac:dyDescent="0.35">
      <c r="A812" s="31">
        <v>45157.515277777777</v>
      </c>
      <c r="B812" s="32">
        <v>0.54910879629629628</v>
      </c>
      <c r="C812" s="33" t="s">
        <v>11</v>
      </c>
      <c r="D812" s="33" t="s">
        <v>12</v>
      </c>
      <c r="E812" s="34">
        <v>285.68</v>
      </c>
      <c r="F812" s="33">
        <v>3</v>
      </c>
      <c r="G812" s="34">
        <v>857.04</v>
      </c>
      <c r="H812" s="33" t="s">
        <v>21</v>
      </c>
      <c r="I812" s="33" t="str">
        <f t="shared" si="24"/>
        <v>Medium sales</v>
      </c>
      <c r="J812" s="33" t="str">
        <f t="shared" si="25"/>
        <v>not eligible</v>
      </c>
    </row>
    <row r="813" spans="1:10" x14ac:dyDescent="0.35">
      <c r="A813" s="31">
        <v>45586.249305555553</v>
      </c>
      <c r="B813" s="32">
        <v>0.81454861111111121</v>
      </c>
      <c r="C813" s="33" t="s">
        <v>8</v>
      </c>
      <c r="D813" s="33" t="s">
        <v>12</v>
      </c>
      <c r="E813" s="34">
        <v>37.270000000000003</v>
      </c>
      <c r="F813" s="33">
        <v>4</v>
      </c>
      <c r="G813" s="34">
        <v>149.08000000000001</v>
      </c>
      <c r="H813" s="33" t="s">
        <v>144</v>
      </c>
      <c r="I813" s="33" t="str">
        <f t="shared" si="24"/>
        <v>Low sales</v>
      </c>
      <c r="J813" s="33" t="str">
        <f t="shared" si="25"/>
        <v>not eligible</v>
      </c>
    </row>
    <row r="814" spans="1:10" x14ac:dyDescent="0.35">
      <c r="A814" s="31">
        <v>45134.163888888892</v>
      </c>
      <c r="B814" s="32">
        <v>0.39980324074074075</v>
      </c>
      <c r="C814" s="33" t="s">
        <v>14</v>
      </c>
      <c r="D814" s="33" t="s">
        <v>20</v>
      </c>
      <c r="E814" s="34">
        <v>196.52</v>
      </c>
      <c r="F814" s="33">
        <v>2</v>
      </c>
      <c r="G814" s="34">
        <v>393.04</v>
      </c>
      <c r="H814" s="33" t="s">
        <v>99</v>
      </c>
      <c r="I814" s="33" t="str">
        <f t="shared" si="24"/>
        <v>Low sales</v>
      </c>
      <c r="J814" s="33" t="str">
        <f t="shared" si="25"/>
        <v>not eligible</v>
      </c>
    </row>
    <row r="815" spans="1:10" x14ac:dyDescent="0.35">
      <c r="A815" s="31">
        <v>45166.870138888888</v>
      </c>
      <c r="B815" s="32">
        <v>0.56090277777777775</v>
      </c>
      <c r="C815" s="33" t="s">
        <v>11</v>
      </c>
      <c r="D815" s="33" t="s">
        <v>9</v>
      </c>
      <c r="E815" s="34">
        <v>123.56</v>
      </c>
      <c r="F815" s="33">
        <v>2</v>
      </c>
      <c r="G815" s="34">
        <v>247.12</v>
      </c>
      <c r="H815" s="33" t="s">
        <v>72</v>
      </c>
      <c r="I815" s="33" t="str">
        <f t="shared" si="24"/>
        <v>Low sales</v>
      </c>
      <c r="J815" s="33" t="str">
        <f t="shared" si="25"/>
        <v>not eligible</v>
      </c>
    </row>
    <row r="816" spans="1:10" x14ac:dyDescent="0.35">
      <c r="A816" s="31">
        <v>45344.885416666664</v>
      </c>
      <c r="B816" s="32">
        <v>0.94468750000000001</v>
      </c>
      <c r="C816" s="33" t="s">
        <v>8</v>
      </c>
      <c r="D816" s="33" t="s">
        <v>12</v>
      </c>
      <c r="E816" s="34">
        <v>371.71</v>
      </c>
      <c r="F816" s="33">
        <v>5</v>
      </c>
      <c r="G816" s="34">
        <v>1858.55</v>
      </c>
      <c r="H816" s="33" t="s">
        <v>122</v>
      </c>
      <c r="I816" s="33" t="str">
        <f t="shared" si="24"/>
        <v>High sales</v>
      </c>
      <c r="J816" s="33" t="str">
        <f t="shared" si="25"/>
        <v>not eligible</v>
      </c>
    </row>
    <row r="817" spans="1:10" x14ac:dyDescent="0.35">
      <c r="A817" s="31">
        <v>45036.382638888892</v>
      </c>
      <c r="B817" s="32">
        <v>0.25113425925925925</v>
      </c>
      <c r="C817" s="33" t="s">
        <v>11</v>
      </c>
      <c r="D817" s="33" t="s">
        <v>16</v>
      </c>
      <c r="E817" s="34">
        <v>185.81</v>
      </c>
      <c r="F817" s="33">
        <v>3</v>
      </c>
      <c r="G817" s="34">
        <v>557.42999999999995</v>
      </c>
      <c r="H817" s="33" t="s">
        <v>51</v>
      </c>
      <c r="I817" s="33" t="str">
        <f t="shared" si="24"/>
        <v>Medium sales</v>
      </c>
      <c r="J817" s="33" t="str">
        <f t="shared" si="25"/>
        <v>not eligible</v>
      </c>
    </row>
    <row r="818" spans="1:10" x14ac:dyDescent="0.35">
      <c r="A818" s="31">
        <v>45572.901388888888</v>
      </c>
      <c r="B818" s="32">
        <v>0.22657407407407407</v>
      </c>
      <c r="C818" s="33" t="s">
        <v>8</v>
      </c>
      <c r="D818" s="33" t="s">
        <v>12</v>
      </c>
      <c r="E818" s="34">
        <v>479.63</v>
      </c>
      <c r="F818" s="33">
        <v>5</v>
      </c>
      <c r="G818" s="34">
        <v>2398.15</v>
      </c>
      <c r="H818" s="33" t="s">
        <v>246</v>
      </c>
      <c r="I818" s="33" t="str">
        <f t="shared" si="24"/>
        <v>High sales</v>
      </c>
      <c r="J818" s="33" t="str">
        <f t="shared" si="25"/>
        <v>not eligible</v>
      </c>
    </row>
    <row r="819" spans="1:10" x14ac:dyDescent="0.35">
      <c r="A819" s="31">
        <v>45661.467361111114</v>
      </c>
      <c r="B819" s="32">
        <v>0.36099537037037038</v>
      </c>
      <c r="C819" s="33" t="s">
        <v>8</v>
      </c>
      <c r="D819" s="33" t="s">
        <v>20</v>
      </c>
      <c r="E819" s="34">
        <v>213.62</v>
      </c>
      <c r="F819" s="33">
        <v>5</v>
      </c>
      <c r="G819" s="34">
        <v>1068.0999999999999</v>
      </c>
      <c r="H819" s="33" t="s">
        <v>156</v>
      </c>
      <c r="I819" s="33" t="str">
        <f t="shared" si="24"/>
        <v>Medium sales</v>
      </c>
      <c r="J819" s="33" t="str">
        <f t="shared" si="25"/>
        <v>not eligible</v>
      </c>
    </row>
    <row r="820" spans="1:10" x14ac:dyDescent="0.35">
      <c r="A820" s="31">
        <v>45381.89166666667</v>
      </c>
      <c r="B820" s="32">
        <v>0.88015046296296295</v>
      </c>
      <c r="C820" s="33" t="s">
        <v>8</v>
      </c>
      <c r="D820" s="33" t="s">
        <v>27</v>
      </c>
      <c r="E820" s="34">
        <v>108.28</v>
      </c>
      <c r="F820" s="33">
        <v>3</v>
      </c>
      <c r="G820" s="34">
        <v>324.83999999999997</v>
      </c>
      <c r="H820" s="33" t="s">
        <v>134</v>
      </c>
      <c r="I820" s="33" t="str">
        <f t="shared" si="24"/>
        <v>Low sales</v>
      </c>
      <c r="J820" s="33" t="str">
        <f t="shared" si="25"/>
        <v>not eligible</v>
      </c>
    </row>
    <row r="821" spans="1:10" x14ac:dyDescent="0.35">
      <c r="A821" s="31">
        <v>44974.114583333336</v>
      </c>
      <c r="B821" s="32">
        <v>0.64118055555555553</v>
      </c>
      <c r="C821" s="33" t="s">
        <v>8</v>
      </c>
      <c r="D821" s="33" t="s">
        <v>27</v>
      </c>
      <c r="E821" s="34">
        <v>32.049999999999997</v>
      </c>
      <c r="F821" s="33">
        <v>5</v>
      </c>
      <c r="G821" s="34">
        <v>160.25</v>
      </c>
      <c r="H821" s="33" t="s">
        <v>344</v>
      </c>
      <c r="I821" s="33" t="str">
        <f t="shared" si="24"/>
        <v>Low sales</v>
      </c>
      <c r="J821" s="33" t="str">
        <f t="shared" si="25"/>
        <v>not eligible</v>
      </c>
    </row>
    <row r="822" spans="1:10" x14ac:dyDescent="0.35">
      <c r="A822" s="31">
        <v>45202.747916666667</v>
      </c>
      <c r="B822" s="32">
        <v>8.3310185185185182E-2</v>
      </c>
      <c r="C822" s="33" t="s">
        <v>11</v>
      </c>
      <c r="D822" s="33" t="s">
        <v>27</v>
      </c>
      <c r="E822" s="34">
        <v>158.87</v>
      </c>
      <c r="F822" s="33">
        <v>1</v>
      </c>
      <c r="G822" s="34">
        <v>158.87</v>
      </c>
      <c r="H822" s="33" t="s">
        <v>52</v>
      </c>
      <c r="I822" s="33" t="str">
        <f t="shared" si="24"/>
        <v>Low sales</v>
      </c>
      <c r="J822" s="33" t="str">
        <f t="shared" si="25"/>
        <v>not eligible</v>
      </c>
    </row>
    <row r="823" spans="1:10" x14ac:dyDescent="0.35">
      <c r="A823" s="31">
        <v>44935.822222222225</v>
      </c>
      <c r="B823" s="32">
        <v>0.15200231481481483</v>
      </c>
      <c r="C823" s="33" t="s">
        <v>14</v>
      </c>
      <c r="D823" s="33" t="s">
        <v>16</v>
      </c>
      <c r="E823" s="34">
        <v>191.64</v>
      </c>
      <c r="F823" s="33">
        <v>4</v>
      </c>
      <c r="G823" s="34">
        <v>766.56</v>
      </c>
      <c r="H823" s="33" t="s">
        <v>324</v>
      </c>
      <c r="I823" s="33" t="str">
        <f t="shared" si="24"/>
        <v>Medium sales</v>
      </c>
      <c r="J823" s="33" t="str">
        <f t="shared" si="25"/>
        <v>not eligible</v>
      </c>
    </row>
    <row r="824" spans="1:10" x14ac:dyDescent="0.35">
      <c r="A824" s="31">
        <v>45208.919444444444</v>
      </c>
      <c r="B824" s="32">
        <v>0.86275462962962957</v>
      </c>
      <c r="C824" s="33" t="s">
        <v>8</v>
      </c>
      <c r="D824" s="33" t="s">
        <v>12</v>
      </c>
      <c r="E824" s="34">
        <v>210.56</v>
      </c>
      <c r="F824" s="33">
        <v>3</v>
      </c>
      <c r="G824" s="34">
        <v>631.67999999999995</v>
      </c>
      <c r="H824" s="33" t="s">
        <v>256</v>
      </c>
      <c r="I824" s="33" t="str">
        <f t="shared" si="24"/>
        <v>Medium sales</v>
      </c>
      <c r="J824" s="33" t="str">
        <f t="shared" si="25"/>
        <v>not eligible</v>
      </c>
    </row>
    <row r="825" spans="1:10" x14ac:dyDescent="0.35">
      <c r="A825" s="31">
        <v>45512.131944444445</v>
      </c>
      <c r="B825" s="32">
        <v>0.83296296296296291</v>
      </c>
      <c r="C825" s="33" t="s">
        <v>14</v>
      </c>
      <c r="D825" s="33" t="s">
        <v>16</v>
      </c>
      <c r="E825" s="34">
        <v>232.86</v>
      </c>
      <c r="F825" s="33">
        <v>4</v>
      </c>
      <c r="G825" s="34">
        <v>931.44</v>
      </c>
      <c r="H825" s="33" t="s">
        <v>37</v>
      </c>
      <c r="I825" s="33" t="str">
        <f t="shared" si="24"/>
        <v>Medium sales</v>
      </c>
      <c r="J825" s="33" t="str">
        <f t="shared" si="25"/>
        <v>not eligible</v>
      </c>
    </row>
    <row r="826" spans="1:10" x14ac:dyDescent="0.35">
      <c r="A826" s="31">
        <v>44988.160416666666</v>
      </c>
      <c r="B826" s="32">
        <v>0.68307870370370372</v>
      </c>
      <c r="C826" s="33" t="s">
        <v>14</v>
      </c>
      <c r="D826" s="33" t="s">
        <v>20</v>
      </c>
      <c r="E826" s="34">
        <v>26.8</v>
      </c>
      <c r="F826" s="33">
        <v>1</v>
      </c>
      <c r="G826" s="34">
        <v>26.8</v>
      </c>
      <c r="H826" s="33" t="s">
        <v>221</v>
      </c>
      <c r="I826" s="33" t="str">
        <f t="shared" si="24"/>
        <v>Low sales</v>
      </c>
      <c r="J826" s="33" t="str">
        <f t="shared" si="25"/>
        <v>not eligible</v>
      </c>
    </row>
    <row r="827" spans="1:10" x14ac:dyDescent="0.35">
      <c r="A827" s="31">
        <v>45149.209722222222</v>
      </c>
      <c r="B827" s="32">
        <v>0.60499999999999998</v>
      </c>
      <c r="C827" s="33" t="s">
        <v>11</v>
      </c>
      <c r="D827" s="33" t="s">
        <v>12</v>
      </c>
      <c r="E827" s="34">
        <v>116.63</v>
      </c>
      <c r="F827" s="33">
        <v>1</v>
      </c>
      <c r="G827" s="34">
        <v>116.63</v>
      </c>
      <c r="H827" s="33" t="s">
        <v>106</v>
      </c>
      <c r="I827" s="33" t="str">
        <f t="shared" si="24"/>
        <v>Low sales</v>
      </c>
      <c r="J827" s="33" t="str">
        <f t="shared" si="25"/>
        <v>not eligible</v>
      </c>
    </row>
    <row r="828" spans="1:10" x14ac:dyDescent="0.35">
      <c r="A828" s="31">
        <v>45357.18472222222</v>
      </c>
      <c r="B828" s="32">
        <v>0.56539351851851849</v>
      </c>
      <c r="C828" s="33" t="s">
        <v>14</v>
      </c>
      <c r="D828" s="33" t="s">
        <v>16</v>
      </c>
      <c r="E828" s="34">
        <v>307.24</v>
      </c>
      <c r="F828" s="33">
        <v>1</v>
      </c>
      <c r="G828" s="34">
        <v>307.24</v>
      </c>
      <c r="H828" s="33" t="s">
        <v>84</v>
      </c>
      <c r="I828" s="33" t="str">
        <f t="shared" si="24"/>
        <v>Low sales</v>
      </c>
      <c r="J828" s="33" t="str">
        <f t="shared" si="25"/>
        <v>not eligible</v>
      </c>
    </row>
    <row r="829" spans="1:10" x14ac:dyDescent="0.35">
      <c r="A829" s="31">
        <v>45181.063888888886</v>
      </c>
      <c r="B829" s="32">
        <v>0.61717592592592596</v>
      </c>
      <c r="C829" s="33" t="s">
        <v>14</v>
      </c>
      <c r="D829" s="33" t="s">
        <v>20</v>
      </c>
      <c r="E829" s="34">
        <v>395.45</v>
      </c>
      <c r="F829" s="33">
        <v>4</v>
      </c>
      <c r="G829" s="34">
        <v>1581.8</v>
      </c>
      <c r="H829" s="33" t="s">
        <v>106</v>
      </c>
      <c r="I829" s="33" t="str">
        <f t="shared" si="24"/>
        <v>High sales</v>
      </c>
      <c r="J829" s="33" t="str">
        <f t="shared" si="25"/>
        <v>not eligible</v>
      </c>
    </row>
    <row r="830" spans="1:10" x14ac:dyDescent="0.35">
      <c r="A830" s="31">
        <v>45398.918055555558</v>
      </c>
      <c r="B830" s="32">
        <v>0.53629629629629627</v>
      </c>
      <c r="C830" s="33" t="s">
        <v>14</v>
      </c>
      <c r="D830" s="33" t="s">
        <v>16</v>
      </c>
      <c r="E830" s="34">
        <v>152.6</v>
      </c>
      <c r="F830" s="33">
        <v>2</v>
      </c>
      <c r="G830" s="34">
        <v>305.2</v>
      </c>
      <c r="H830" s="33" t="s">
        <v>107</v>
      </c>
      <c r="I830" s="33" t="str">
        <f t="shared" si="24"/>
        <v>Low sales</v>
      </c>
      <c r="J830" s="33" t="str">
        <f t="shared" si="25"/>
        <v>not eligible</v>
      </c>
    </row>
    <row r="831" spans="1:10" x14ac:dyDescent="0.35">
      <c r="A831" s="31">
        <v>44958.794444444444</v>
      </c>
      <c r="B831" s="32">
        <v>0.69884259259259263</v>
      </c>
      <c r="C831" s="33" t="s">
        <v>14</v>
      </c>
      <c r="D831" s="33" t="s">
        <v>9</v>
      </c>
      <c r="E831" s="34">
        <v>249.67</v>
      </c>
      <c r="F831" s="33">
        <v>3</v>
      </c>
      <c r="G831" s="34">
        <v>749.01</v>
      </c>
      <c r="H831" s="33" t="s">
        <v>100</v>
      </c>
      <c r="I831" s="33" t="str">
        <f t="shared" si="24"/>
        <v>Medium sales</v>
      </c>
      <c r="J831" s="33" t="str">
        <f t="shared" si="25"/>
        <v>not eligible</v>
      </c>
    </row>
    <row r="832" spans="1:10" x14ac:dyDescent="0.35">
      <c r="A832" s="31">
        <v>44970.393055555556</v>
      </c>
      <c r="B832" s="32">
        <v>0.65688657407407403</v>
      </c>
      <c r="C832" s="33" t="s">
        <v>11</v>
      </c>
      <c r="D832" s="33" t="s">
        <v>9</v>
      </c>
      <c r="E832" s="34">
        <v>186.53</v>
      </c>
      <c r="F832" s="33">
        <v>1</v>
      </c>
      <c r="G832" s="34">
        <v>186.53</v>
      </c>
      <c r="H832" s="33" t="s">
        <v>188</v>
      </c>
      <c r="I832" s="33" t="str">
        <f t="shared" si="24"/>
        <v>Low sales</v>
      </c>
      <c r="J832" s="33" t="str">
        <f t="shared" si="25"/>
        <v>not eligible</v>
      </c>
    </row>
    <row r="833" spans="1:10" x14ac:dyDescent="0.35">
      <c r="A833" s="31">
        <v>45229.368750000001</v>
      </c>
      <c r="B833" s="32">
        <v>0.3841087962962963</v>
      </c>
      <c r="C833" s="33" t="s">
        <v>11</v>
      </c>
      <c r="D833" s="33" t="s">
        <v>12</v>
      </c>
      <c r="E833" s="34">
        <v>180.19</v>
      </c>
      <c r="F833" s="33">
        <v>4</v>
      </c>
      <c r="G833" s="34">
        <v>720.76</v>
      </c>
      <c r="H833" s="33" t="s">
        <v>62</v>
      </c>
      <c r="I833" s="33" t="str">
        <f t="shared" si="24"/>
        <v>Medium sales</v>
      </c>
      <c r="J833" s="33" t="str">
        <f t="shared" si="25"/>
        <v>not eligible</v>
      </c>
    </row>
    <row r="834" spans="1:10" x14ac:dyDescent="0.35">
      <c r="A834" s="31">
        <v>45177.822222222225</v>
      </c>
      <c r="B834" s="32">
        <v>0.22863425925925926</v>
      </c>
      <c r="C834" s="33" t="s">
        <v>14</v>
      </c>
      <c r="D834" s="33" t="s">
        <v>27</v>
      </c>
      <c r="E834" s="34">
        <v>406.18</v>
      </c>
      <c r="F834" s="33">
        <v>2</v>
      </c>
      <c r="G834" s="34">
        <v>812.36</v>
      </c>
      <c r="H834" s="33" t="s">
        <v>117</v>
      </c>
      <c r="I834" s="33" t="str">
        <f t="shared" si="24"/>
        <v>Medium sales</v>
      </c>
      <c r="J834" s="33" t="str">
        <f t="shared" si="25"/>
        <v>not eligible</v>
      </c>
    </row>
    <row r="835" spans="1:10" x14ac:dyDescent="0.35">
      <c r="A835" s="31">
        <v>45380.378472222219</v>
      </c>
      <c r="B835" s="32">
        <v>0.35258101851851853</v>
      </c>
      <c r="C835" s="33" t="s">
        <v>14</v>
      </c>
      <c r="D835" s="33" t="s">
        <v>9</v>
      </c>
      <c r="E835" s="34">
        <v>177.54</v>
      </c>
      <c r="F835" s="33">
        <v>3</v>
      </c>
      <c r="G835" s="34">
        <v>532.62</v>
      </c>
      <c r="H835" s="33" t="s">
        <v>355</v>
      </c>
      <c r="I835" s="33" t="str">
        <f t="shared" ref="I835:I898" si="26">IF(G835&gt;1500,"High sales", IF(G835&gt;500,"Medium sales", "Low sales"))</f>
        <v>Medium sales</v>
      </c>
      <c r="J835" s="33" t="str">
        <f t="shared" ref="J835:J898" si="27">IF(AND(G835&gt;1000,C835="Premium"), "eligible", "not eligible")</f>
        <v>not eligible</v>
      </c>
    </row>
    <row r="836" spans="1:10" x14ac:dyDescent="0.35">
      <c r="A836" s="31">
        <v>45290.265972222223</v>
      </c>
      <c r="B836" s="32">
        <v>0.84271990740740732</v>
      </c>
      <c r="C836" s="33" t="s">
        <v>14</v>
      </c>
      <c r="D836" s="33" t="s">
        <v>12</v>
      </c>
      <c r="E836" s="34">
        <v>424.53</v>
      </c>
      <c r="F836" s="33">
        <v>3</v>
      </c>
      <c r="G836" s="34">
        <v>1273.5899999999999</v>
      </c>
      <c r="H836" s="33" t="s">
        <v>46</v>
      </c>
      <c r="I836" s="33" t="str">
        <f t="shared" si="26"/>
        <v>Medium sales</v>
      </c>
      <c r="J836" s="33" t="str">
        <f t="shared" si="27"/>
        <v>not eligible</v>
      </c>
    </row>
    <row r="837" spans="1:10" x14ac:dyDescent="0.35">
      <c r="A837" s="31">
        <v>45236.444444444445</v>
      </c>
      <c r="B837" s="32">
        <v>0.31177083333333333</v>
      </c>
      <c r="C837" s="33" t="s">
        <v>11</v>
      </c>
      <c r="D837" s="33" t="s">
        <v>20</v>
      </c>
      <c r="E837" s="34">
        <v>248.48</v>
      </c>
      <c r="F837" s="33">
        <v>1</v>
      </c>
      <c r="G837" s="34">
        <v>248.48</v>
      </c>
      <c r="H837" s="33" t="s">
        <v>60</v>
      </c>
      <c r="I837" s="33" t="str">
        <f t="shared" si="26"/>
        <v>Low sales</v>
      </c>
      <c r="J837" s="33" t="str">
        <f t="shared" si="27"/>
        <v>not eligible</v>
      </c>
    </row>
    <row r="838" spans="1:10" x14ac:dyDescent="0.35">
      <c r="A838" s="31">
        <v>45105.645138888889</v>
      </c>
      <c r="B838" s="32">
        <v>7.886574074074075E-2</v>
      </c>
      <c r="C838" s="33" t="s">
        <v>14</v>
      </c>
      <c r="D838" s="33" t="s">
        <v>9</v>
      </c>
      <c r="E838" s="34">
        <v>105.33</v>
      </c>
      <c r="F838" s="33">
        <v>1</v>
      </c>
      <c r="G838" s="34">
        <v>105.33</v>
      </c>
      <c r="H838" s="33" t="s">
        <v>231</v>
      </c>
      <c r="I838" s="33" t="str">
        <f t="shared" si="26"/>
        <v>Low sales</v>
      </c>
      <c r="J838" s="33" t="str">
        <f t="shared" si="27"/>
        <v>not eligible</v>
      </c>
    </row>
    <row r="839" spans="1:10" x14ac:dyDescent="0.35">
      <c r="A839" s="31">
        <v>45005.725694444445</v>
      </c>
      <c r="B839" s="32">
        <v>8.7013888888888891E-2</v>
      </c>
      <c r="C839" s="33" t="s">
        <v>14</v>
      </c>
      <c r="D839" s="33" t="s">
        <v>27</v>
      </c>
      <c r="E839" s="34">
        <v>149.68</v>
      </c>
      <c r="F839" s="33">
        <v>4</v>
      </c>
      <c r="G839" s="34">
        <v>598.72</v>
      </c>
      <c r="H839" s="33" t="s">
        <v>73</v>
      </c>
      <c r="I839" s="33" t="str">
        <f t="shared" si="26"/>
        <v>Medium sales</v>
      </c>
      <c r="J839" s="33" t="str">
        <f t="shared" si="27"/>
        <v>not eligible</v>
      </c>
    </row>
    <row r="840" spans="1:10" x14ac:dyDescent="0.35">
      <c r="A840" s="31">
        <v>45661.734722222223</v>
      </c>
      <c r="B840" s="32">
        <v>0.90829861111111121</v>
      </c>
      <c r="C840" s="33" t="s">
        <v>8</v>
      </c>
      <c r="D840" s="33" t="s">
        <v>9</v>
      </c>
      <c r="E840" s="34">
        <v>183.21</v>
      </c>
      <c r="F840" s="33">
        <v>5</v>
      </c>
      <c r="G840" s="34">
        <v>916.05</v>
      </c>
      <c r="H840" s="33" t="s">
        <v>76</v>
      </c>
      <c r="I840" s="33" t="str">
        <f t="shared" si="26"/>
        <v>Medium sales</v>
      </c>
      <c r="J840" s="33" t="str">
        <f t="shared" si="27"/>
        <v>not eligible</v>
      </c>
    </row>
    <row r="841" spans="1:10" x14ac:dyDescent="0.35">
      <c r="A841" s="31">
        <v>45182.45416666667</v>
      </c>
      <c r="B841" s="32">
        <v>0.1542476851851852</v>
      </c>
      <c r="C841" s="33" t="s">
        <v>11</v>
      </c>
      <c r="D841" s="33" t="s">
        <v>20</v>
      </c>
      <c r="E841" s="34">
        <v>325.16000000000003</v>
      </c>
      <c r="F841" s="33">
        <v>1</v>
      </c>
      <c r="G841" s="34">
        <v>325.16000000000003</v>
      </c>
      <c r="H841" s="33" t="s">
        <v>365</v>
      </c>
      <c r="I841" s="33" t="str">
        <f t="shared" si="26"/>
        <v>Low sales</v>
      </c>
      <c r="J841" s="33" t="str">
        <f t="shared" si="27"/>
        <v>not eligible</v>
      </c>
    </row>
    <row r="842" spans="1:10" x14ac:dyDescent="0.35">
      <c r="A842" s="31">
        <v>45632.527777777781</v>
      </c>
      <c r="B842" s="32">
        <v>0.94062499999999993</v>
      </c>
      <c r="C842" s="33" t="s">
        <v>14</v>
      </c>
      <c r="D842" s="33" t="s">
        <v>16</v>
      </c>
      <c r="E842" s="34">
        <v>425.14</v>
      </c>
      <c r="F842" s="33">
        <v>5</v>
      </c>
      <c r="G842" s="34">
        <v>2125.6999999999998</v>
      </c>
      <c r="H842" s="33" t="s">
        <v>177</v>
      </c>
      <c r="I842" s="33" t="str">
        <f t="shared" si="26"/>
        <v>High sales</v>
      </c>
      <c r="J842" s="33" t="str">
        <f t="shared" si="27"/>
        <v>not eligible</v>
      </c>
    </row>
    <row r="843" spans="1:10" x14ac:dyDescent="0.35">
      <c r="A843" s="31">
        <v>45654.477083333331</v>
      </c>
      <c r="B843" s="32">
        <v>0.91259259259259251</v>
      </c>
      <c r="C843" s="33" t="s">
        <v>11</v>
      </c>
      <c r="D843" s="33" t="s">
        <v>27</v>
      </c>
      <c r="E843" s="34">
        <v>493.76</v>
      </c>
      <c r="F843" s="33">
        <v>3</v>
      </c>
      <c r="G843" s="34">
        <v>1481.28</v>
      </c>
      <c r="H843" s="33" t="s">
        <v>276</v>
      </c>
      <c r="I843" s="33" t="str">
        <f t="shared" si="26"/>
        <v>Medium sales</v>
      </c>
      <c r="J843" s="33" t="str">
        <f t="shared" si="27"/>
        <v>eligible</v>
      </c>
    </row>
    <row r="844" spans="1:10" x14ac:dyDescent="0.35">
      <c r="A844" s="31">
        <v>45041.929166666669</v>
      </c>
      <c r="B844" s="32">
        <v>0.96883101851851849</v>
      </c>
      <c r="C844" s="33" t="s">
        <v>11</v>
      </c>
      <c r="D844" s="33" t="s">
        <v>9</v>
      </c>
      <c r="E844" s="34">
        <v>106.49</v>
      </c>
      <c r="F844" s="33">
        <v>3</v>
      </c>
      <c r="G844" s="34">
        <v>319.47000000000003</v>
      </c>
      <c r="H844" s="33" t="s">
        <v>355</v>
      </c>
      <c r="I844" s="33" t="str">
        <f t="shared" si="26"/>
        <v>Low sales</v>
      </c>
      <c r="J844" s="33" t="str">
        <f t="shared" si="27"/>
        <v>not eligible</v>
      </c>
    </row>
    <row r="845" spans="1:10" x14ac:dyDescent="0.35">
      <c r="A845" s="31">
        <v>45242.998611111114</v>
      </c>
      <c r="B845" s="32">
        <v>0.29333333333333333</v>
      </c>
      <c r="C845" s="33" t="s">
        <v>14</v>
      </c>
      <c r="D845" s="33" t="s">
        <v>27</v>
      </c>
      <c r="E845" s="34">
        <v>219.02</v>
      </c>
      <c r="F845" s="33">
        <v>2</v>
      </c>
      <c r="G845" s="34">
        <v>438.04</v>
      </c>
      <c r="H845" s="33" t="s">
        <v>314</v>
      </c>
      <c r="I845" s="33" t="str">
        <f t="shared" si="26"/>
        <v>Low sales</v>
      </c>
      <c r="J845" s="33" t="str">
        <f t="shared" si="27"/>
        <v>not eligible</v>
      </c>
    </row>
    <row r="846" spans="1:10" x14ac:dyDescent="0.35">
      <c r="A846" s="31">
        <v>45102.65347222222</v>
      </c>
      <c r="B846" s="32">
        <v>0.51640046296296294</v>
      </c>
      <c r="C846" s="33" t="s">
        <v>14</v>
      </c>
      <c r="D846" s="33" t="s">
        <v>27</v>
      </c>
      <c r="E846" s="34">
        <v>46.61</v>
      </c>
      <c r="F846" s="33">
        <v>4</v>
      </c>
      <c r="G846" s="34">
        <v>186.44</v>
      </c>
      <c r="H846" s="33" t="s">
        <v>262</v>
      </c>
      <c r="I846" s="33" t="str">
        <f t="shared" si="26"/>
        <v>Low sales</v>
      </c>
      <c r="J846" s="33" t="str">
        <f t="shared" si="27"/>
        <v>not eligible</v>
      </c>
    </row>
    <row r="847" spans="1:10" x14ac:dyDescent="0.35">
      <c r="A847" s="31">
        <v>45520.34097222222</v>
      </c>
      <c r="B847" s="32">
        <v>0.18836805555555555</v>
      </c>
      <c r="C847" s="33" t="s">
        <v>8</v>
      </c>
      <c r="D847" s="33" t="s">
        <v>9</v>
      </c>
      <c r="E847" s="34">
        <v>446.39</v>
      </c>
      <c r="F847" s="33">
        <v>3</v>
      </c>
      <c r="G847" s="34">
        <v>1339.17</v>
      </c>
      <c r="H847" s="33" t="s">
        <v>164</v>
      </c>
      <c r="I847" s="33" t="str">
        <f t="shared" si="26"/>
        <v>Medium sales</v>
      </c>
      <c r="J847" s="33" t="str">
        <f t="shared" si="27"/>
        <v>not eligible</v>
      </c>
    </row>
    <row r="848" spans="1:10" x14ac:dyDescent="0.35">
      <c r="A848" s="31">
        <v>45364.534722222219</v>
      </c>
      <c r="B848" s="32">
        <v>5.392361111111111E-2</v>
      </c>
      <c r="C848" s="33" t="s">
        <v>8</v>
      </c>
      <c r="D848" s="33" t="s">
        <v>9</v>
      </c>
      <c r="E848" s="34">
        <v>420.09</v>
      </c>
      <c r="F848" s="33">
        <v>5</v>
      </c>
      <c r="G848" s="34">
        <v>2100.4499999999998</v>
      </c>
      <c r="H848" s="33" t="s">
        <v>147</v>
      </c>
      <c r="I848" s="33" t="str">
        <f t="shared" si="26"/>
        <v>High sales</v>
      </c>
      <c r="J848" s="33" t="str">
        <f t="shared" si="27"/>
        <v>not eligible</v>
      </c>
    </row>
    <row r="849" spans="1:10" x14ac:dyDescent="0.35">
      <c r="A849" s="31">
        <v>45595.946527777778</v>
      </c>
      <c r="B849" s="32">
        <v>0.95652777777777775</v>
      </c>
      <c r="C849" s="33" t="s">
        <v>8</v>
      </c>
      <c r="D849" s="33" t="s">
        <v>9</v>
      </c>
      <c r="E849" s="34">
        <v>375.87</v>
      </c>
      <c r="F849" s="33">
        <v>1</v>
      </c>
      <c r="G849" s="34">
        <v>375.87</v>
      </c>
      <c r="H849" s="33" t="s">
        <v>181</v>
      </c>
      <c r="I849" s="33" t="str">
        <f t="shared" si="26"/>
        <v>Low sales</v>
      </c>
      <c r="J849" s="33" t="str">
        <f t="shared" si="27"/>
        <v>not eligible</v>
      </c>
    </row>
    <row r="850" spans="1:10" x14ac:dyDescent="0.35">
      <c r="A850" s="31">
        <v>45057.192361111112</v>
      </c>
      <c r="B850" s="32">
        <v>0.23813657407407407</v>
      </c>
      <c r="C850" s="33" t="s">
        <v>11</v>
      </c>
      <c r="D850" s="33" t="s">
        <v>12</v>
      </c>
      <c r="E850" s="34">
        <v>317.72000000000003</v>
      </c>
      <c r="F850" s="33">
        <v>2</v>
      </c>
      <c r="G850" s="34">
        <v>635.44000000000005</v>
      </c>
      <c r="H850" s="33" t="s">
        <v>301</v>
      </c>
      <c r="I850" s="33" t="str">
        <f t="shared" si="26"/>
        <v>Medium sales</v>
      </c>
      <c r="J850" s="33" t="str">
        <f t="shared" si="27"/>
        <v>not eligible</v>
      </c>
    </row>
    <row r="851" spans="1:10" x14ac:dyDescent="0.35">
      <c r="A851" s="31">
        <v>45562.786805555559</v>
      </c>
      <c r="B851" s="32">
        <v>0.38567129629629626</v>
      </c>
      <c r="C851" s="33" t="s">
        <v>14</v>
      </c>
      <c r="D851" s="33" t="s">
        <v>16</v>
      </c>
      <c r="E851" s="34">
        <v>102.96</v>
      </c>
      <c r="F851" s="33">
        <v>4</v>
      </c>
      <c r="G851" s="34">
        <v>411.84</v>
      </c>
      <c r="H851" s="33" t="s">
        <v>366</v>
      </c>
      <c r="I851" s="33" t="str">
        <f t="shared" si="26"/>
        <v>Low sales</v>
      </c>
      <c r="J851" s="33" t="str">
        <f t="shared" si="27"/>
        <v>not eligible</v>
      </c>
    </row>
    <row r="852" spans="1:10" x14ac:dyDescent="0.35">
      <c r="A852" s="31">
        <v>45663.85</v>
      </c>
      <c r="B852" s="32">
        <v>0.69081018518518522</v>
      </c>
      <c r="C852" s="33" t="s">
        <v>14</v>
      </c>
      <c r="D852" s="33" t="s">
        <v>20</v>
      </c>
      <c r="E852" s="34">
        <v>417.52</v>
      </c>
      <c r="F852" s="33">
        <v>5</v>
      </c>
      <c r="G852" s="34">
        <v>2087.6</v>
      </c>
      <c r="H852" s="33" t="s">
        <v>175</v>
      </c>
      <c r="I852" s="33" t="str">
        <f t="shared" si="26"/>
        <v>High sales</v>
      </c>
      <c r="J852" s="33" t="str">
        <f t="shared" si="27"/>
        <v>not eligible</v>
      </c>
    </row>
    <row r="853" spans="1:10" x14ac:dyDescent="0.35">
      <c r="A853" s="31">
        <v>44980.84375</v>
      </c>
      <c r="B853" s="32">
        <v>9.0451388888888887E-2</v>
      </c>
      <c r="C853" s="33" t="s">
        <v>14</v>
      </c>
      <c r="D853" s="33" t="s">
        <v>9</v>
      </c>
      <c r="E853" s="34">
        <v>176.15</v>
      </c>
      <c r="F853" s="33">
        <v>5</v>
      </c>
      <c r="G853" s="34">
        <v>880.75</v>
      </c>
      <c r="H853" s="33" t="s">
        <v>196</v>
      </c>
      <c r="I853" s="33" t="str">
        <f t="shared" si="26"/>
        <v>Medium sales</v>
      </c>
      <c r="J853" s="33" t="str">
        <f t="shared" si="27"/>
        <v>not eligible</v>
      </c>
    </row>
    <row r="854" spans="1:10" x14ac:dyDescent="0.35">
      <c r="A854" s="31">
        <v>45304.422222222223</v>
      </c>
      <c r="B854" s="32">
        <v>0.40171296296296299</v>
      </c>
      <c r="C854" s="33" t="s">
        <v>8</v>
      </c>
      <c r="D854" s="33" t="s">
        <v>12</v>
      </c>
      <c r="E854" s="34">
        <v>361.07</v>
      </c>
      <c r="F854" s="33">
        <v>3</v>
      </c>
      <c r="G854" s="34">
        <v>1083.21</v>
      </c>
      <c r="H854" s="33" t="s">
        <v>367</v>
      </c>
      <c r="I854" s="33" t="str">
        <f t="shared" si="26"/>
        <v>Medium sales</v>
      </c>
      <c r="J854" s="33" t="str">
        <f t="shared" si="27"/>
        <v>not eligible</v>
      </c>
    </row>
    <row r="855" spans="1:10" x14ac:dyDescent="0.35">
      <c r="A855" s="31">
        <v>45518.943055555559</v>
      </c>
      <c r="B855" s="32">
        <v>0.84261574074074075</v>
      </c>
      <c r="C855" s="33" t="s">
        <v>8</v>
      </c>
      <c r="D855" s="33" t="s">
        <v>16</v>
      </c>
      <c r="E855" s="34">
        <v>258.95999999999998</v>
      </c>
      <c r="F855" s="33">
        <v>3</v>
      </c>
      <c r="G855" s="34">
        <v>776.88</v>
      </c>
      <c r="H855" s="33" t="s">
        <v>43</v>
      </c>
      <c r="I855" s="33" t="str">
        <f t="shared" si="26"/>
        <v>Medium sales</v>
      </c>
      <c r="J855" s="33" t="str">
        <f t="shared" si="27"/>
        <v>not eligible</v>
      </c>
    </row>
    <row r="856" spans="1:10" x14ac:dyDescent="0.35">
      <c r="A856" s="31">
        <v>45147.547222222223</v>
      </c>
      <c r="B856" s="32">
        <v>0.14071759259259259</v>
      </c>
      <c r="C856" s="33" t="s">
        <v>11</v>
      </c>
      <c r="D856" s="33" t="s">
        <v>27</v>
      </c>
      <c r="E856" s="34">
        <v>43.31</v>
      </c>
      <c r="F856" s="33">
        <v>4</v>
      </c>
      <c r="G856" s="34">
        <v>173.24</v>
      </c>
      <c r="H856" s="33" t="s">
        <v>251</v>
      </c>
      <c r="I856" s="33" t="str">
        <f t="shared" si="26"/>
        <v>Low sales</v>
      </c>
      <c r="J856" s="33" t="str">
        <f t="shared" si="27"/>
        <v>not eligible</v>
      </c>
    </row>
    <row r="857" spans="1:10" x14ac:dyDescent="0.35">
      <c r="A857" s="31">
        <v>45171.829861111109</v>
      </c>
      <c r="B857" s="32">
        <v>0.51978009259259261</v>
      </c>
      <c r="C857" s="33" t="s">
        <v>8</v>
      </c>
      <c r="D857" s="33" t="s">
        <v>9</v>
      </c>
      <c r="E857" s="34">
        <v>34.51</v>
      </c>
      <c r="F857" s="33">
        <v>5</v>
      </c>
      <c r="G857" s="34">
        <v>172.55</v>
      </c>
      <c r="H857" s="33" t="s">
        <v>28</v>
      </c>
      <c r="I857" s="33" t="str">
        <f t="shared" si="26"/>
        <v>Low sales</v>
      </c>
      <c r="J857" s="33" t="str">
        <f t="shared" si="27"/>
        <v>not eligible</v>
      </c>
    </row>
    <row r="858" spans="1:10" x14ac:dyDescent="0.35">
      <c r="A858" s="31">
        <v>45624.478472222225</v>
      </c>
      <c r="B858" s="32">
        <v>0.39832175925925922</v>
      </c>
      <c r="C858" s="33" t="s">
        <v>14</v>
      </c>
      <c r="D858" s="33" t="s">
        <v>20</v>
      </c>
      <c r="E858" s="34">
        <v>237.98</v>
      </c>
      <c r="F858" s="33">
        <v>2</v>
      </c>
      <c r="G858" s="34">
        <v>475.96</v>
      </c>
      <c r="H858" s="33" t="s">
        <v>297</v>
      </c>
      <c r="I858" s="33" t="str">
        <f t="shared" si="26"/>
        <v>Low sales</v>
      </c>
      <c r="J858" s="33" t="str">
        <f t="shared" si="27"/>
        <v>not eligible</v>
      </c>
    </row>
    <row r="859" spans="1:10" x14ac:dyDescent="0.35">
      <c r="A859" s="31">
        <v>44950.736111111109</v>
      </c>
      <c r="B859" s="32">
        <v>0.14840277777777777</v>
      </c>
      <c r="C859" s="33" t="s">
        <v>11</v>
      </c>
      <c r="D859" s="33" t="s">
        <v>9</v>
      </c>
      <c r="E859" s="34">
        <v>392.59</v>
      </c>
      <c r="F859" s="33">
        <v>4</v>
      </c>
      <c r="G859" s="34">
        <v>1570.36</v>
      </c>
      <c r="H859" s="33" t="s">
        <v>220</v>
      </c>
      <c r="I859" s="33" t="str">
        <f t="shared" si="26"/>
        <v>High sales</v>
      </c>
      <c r="J859" s="33" t="str">
        <f t="shared" si="27"/>
        <v>eligible</v>
      </c>
    </row>
    <row r="860" spans="1:10" x14ac:dyDescent="0.35">
      <c r="A860" s="31">
        <v>45114.790277777778</v>
      </c>
      <c r="B860" s="32">
        <v>0.6498032407407407</v>
      </c>
      <c r="C860" s="33" t="s">
        <v>8</v>
      </c>
      <c r="D860" s="33" t="s">
        <v>20</v>
      </c>
      <c r="E860" s="34">
        <v>124.91</v>
      </c>
      <c r="F860" s="33">
        <v>4</v>
      </c>
      <c r="G860" s="34">
        <v>499.64</v>
      </c>
      <c r="H860" s="33" t="s">
        <v>123</v>
      </c>
      <c r="I860" s="33" t="str">
        <f t="shared" si="26"/>
        <v>Low sales</v>
      </c>
      <c r="J860" s="33" t="str">
        <f t="shared" si="27"/>
        <v>not eligible</v>
      </c>
    </row>
    <row r="861" spans="1:10" x14ac:dyDescent="0.35">
      <c r="A861" s="31">
        <v>45348.369444444441</v>
      </c>
      <c r="B861" s="32">
        <v>0.73326388888888883</v>
      </c>
      <c r="C861" s="33" t="s">
        <v>14</v>
      </c>
      <c r="D861" s="33" t="s">
        <v>27</v>
      </c>
      <c r="E861" s="34">
        <v>138.5</v>
      </c>
      <c r="F861" s="33">
        <v>2</v>
      </c>
      <c r="G861" s="34">
        <v>277</v>
      </c>
      <c r="H861" s="33" t="s">
        <v>150</v>
      </c>
      <c r="I861" s="33" t="str">
        <f t="shared" si="26"/>
        <v>Low sales</v>
      </c>
      <c r="J861" s="33" t="str">
        <f t="shared" si="27"/>
        <v>not eligible</v>
      </c>
    </row>
    <row r="862" spans="1:10" x14ac:dyDescent="0.35">
      <c r="A862" s="31">
        <v>45045.065972222219</v>
      </c>
      <c r="B862" s="32">
        <v>9.9027777777777784E-2</v>
      </c>
      <c r="C862" s="33" t="s">
        <v>8</v>
      </c>
      <c r="D862" s="33" t="s">
        <v>9</v>
      </c>
      <c r="E862" s="34">
        <v>87.15</v>
      </c>
      <c r="F862" s="33">
        <v>2</v>
      </c>
      <c r="G862" s="34">
        <v>174.3</v>
      </c>
      <c r="H862" s="33" t="s">
        <v>368</v>
      </c>
      <c r="I862" s="33" t="str">
        <f t="shared" si="26"/>
        <v>Low sales</v>
      </c>
      <c r="J862" s="33" t="str">
        <f t="shared" si="27"/>
        <v>not eligible</v>
      </c>
    </row>
    <row r="863" spans="1:10" x14ac:dyDescent="0.35">
      <c r="A863" s="31">
        <v>45006.99722222222</v>
      </c>
      <c r="B863" s="32">
        <v>0.8858449074074074</v>
      </c>
      <c r="C863" s="33" t="s">
        <v>11</v>
      </c>
      <c r="D863" s="33" t="s">
        <v>20</v>
      </c>
      <c r="E863" s="34">
        <v>48.19</v>
      </c>
      <c r="F863" s="33">
        <v>4</v>
      </c>
      <c r="G863" s="34">
        <v>192.76</v>
      </c>
      <c r="H863" s="33" t="s">
        <v>59</v>
      </c>
      <c r="I863" s="33" t="str">
        <f t="shared" si="26"/>
        <v>Low sales</v>
      </c>
      <c r="J863" s="33" t="str">
        <f t="shared" si="27"/>
        <v>not eligible</v>
      </c>
    </row>
    <row r="864" spans="1:10" x14ac:dyDescent="0.35">
      <c r="A864" s="31">
        <v>45301.788194444445</v>
      </c>
      <c r="B864" s="32">
        <v>0.26958333333333334</v>
      </c>
      <c r="C864" s="33" t="s">
        <v>11</v>
      </c>
      <c r="D864" s="33" t="s">
        <v>9</v>
      </c>
      <c r="E864" s="34">
        <v>260.99</v>
      </c>
      <c r="F864" s="33">
        <v>1</v>
      </c>
      <c r="G864" s="34">
        <v>260.99</v>
      </c>
      <c r="H864" s="33" t="s">
        <v>287</v>
      </c>
      <c r="I864" s="33" t="str">
        <f t="shared" si="26"/>
        <v>Low sales</v>
      </c>
      <c r="J864" s="33" t="str">
        <f t="shared" si="27"/>
        <v>not eligible</v>
      </c>
    </row>
    <row r="865" spans="1:10" x14ac:dyDescent="0.35">
      <c r="A865" s="31">
        <v>45269.314583333333</v>
      </c>
      <c r="B865" s="32">
        <v>0.44021990740740741</v>
      </c>
      <c r="C865" s="33" t="s">
        <v>14</v>
      </c>
      <c r="D865" s="33" t="s">
        <v>9</v>
      </c>
      <c r="E865" s="34">
        <v>91.95</v>
      </c>
      <c r="F865" s="33">
        <v>2</v>
      </c>
      <c r="G865" s="34">
        <v>183.9</v>
      </c>
      <c r="H865" s="33" t="s">
        <v>38</v>
      </c>
      <c r="I865" s="33" t="str">
        <f t="shared" si="26"/>
        <v>Low sales</v>
      </c>
      <c r="J865" s="33" t="str">
        <f t="shared" si="27"/>
        <v>not eligible</v>
      </c>
    </row>
    <row r="866" spans="1:10" x14ac:dyDescent="0.35">
      <c r="A866" s="31">
        <v>45644.519444444442</v>
      </c>
      <c r="B866" s="32">
        <v>0.1345949074074074</v>
      </c>
      <c r="C866" s="33" t="s">
        <v>14</v>
      </c>
      <c r="D866" s="33" t="s">
        <v>12</v>
      </c>
      <c r="E866" s="34">
        <v>429.53</v>
      </c>
      <c r="F866" s="33">
        <v>1</v>
      </c>
      <c r="G866" s="34">
        <v>429.53</v>
      </c>
      <c r="H866" s="33" t="s">
        <v>248</v>
      </c>
      <c r="I866" s="33" t="str">
        <f t="shared" si="26"/>
        <v>Low sales</v>
      </c>
      <c r="J866" s="33" t="str">
        <f t="shared" si="27"/>
        <v>not eligible</v>
      </c>
    </row>
    <row r="867" spans="1:10" x14ac:dyDescent="0.35">
      <c r="A867" s="31">
        <v>45472.563888888886</v>
      </c>
      <c r="B867" s="32">
        <v>0.44140046296296293</v>
      </c>
      <c r="C867" s="33" t="s">
        <v>8</v>
      </c>
      <c r="D867" s="33" t="s">
        <v>12</v>
      </c>
      <c r="E867" s="34">
        <v>79.48</v>
      </c>
      <c r="F867" s="33">
        <v>2</v>
      </c>
      <c r="G867" s="34">
        <v>158.96</v>
      </c>
      <c r="H867" s="33" t="s">
        <v>344</v>
      </c>
      <c r="I867" s="33" t="str">
        <f t="shared" si="26"/>
        <v>Low sales</v>
      </c>
      <c r="J867" s="33" t="str">
        <f t="shared" si="27"/>
        <v>not eligible</v>
      </c>
    </row>
    <row r="868" spans="1:10" x14ac:dyDescent="0.35">
      <c r="A868" s="31">
        <v>45085.613194444442</v>
      </c>
      <c r="B868" s="32">
        <v>0.23630787037037038</v>
      </c>
      <c r="C868" s="33" t="s">
        <v>8</v>
      </c>
      <c r="D868" s="33" t="s">
        <v>16</v>
      </c>
      <c r="E868" s="34">
        <v>127.18</v>
      </c>
      <c r="F868" s="33">
        <v>2</v>
      </c>
      <c r="G868" s="34">
        <v>254.36</v>
      </c>
      <c r="H868" s="33" t="s">
        <v>66</v>
      </c>
      <c r="I868" s="33" t="str">
        <f t="shared" si="26"/>
        <v>Low sales</v>
      </c>
      <c r="J868" s="33" t="str">
        <f t="shared" si="27"/>
        <v>not eligible</v>
      </c>
    </row>
    <row r="869" spans="1:10" x14ac:dyDescent="0.35">
      <c r="A869" s="31">
        <v>45284.902083333334</v>
      </c>
      <c r="B869" s="32">
        <v>0.28127314814814813</v>
      </c>
      <c r="C869" s="33" t="s">
        <v>8</v>
      </c>
      <c r="D869" s="33" t="s">
        <v>9</v>
      </c>
      <c r="E869" s="34">
        <v>472.36</v>
      </c>
      <c r="F869" s="33">
        <v>4</v>
      </c>
      <c r="G869" s="34">
        <v>1889.44</v>
      </c>
      <c r="H869" s="33" t="s">
        <v>369</v>
      </c>
      <c r="I869" s="33" t="str">
        <f t="shared" si="26"/>
        <v>High sales</v>
      </c>
      <c r="J869" s="33" t="str">
        <f t="shared" si="27"/>
        <v>not eligible</v>
      </c>
    </row>
    <row r="870" spans="1:10" x14ac:dyDescent="0.35">
      <c r="A870" s="31">
        <v>45522.668055555558</v>
      </c>
      <c r="B870" s="32">
        <v>0.74388888888888882</v>
      </c>
      <c r="C870" s="33" t="s">
        <v>8</v>
      </c>
      <c r="D870" s="33" t="s">
        <v>20</v>
      </c>
      <c r="E870" s="34">
        <v>185.65</v>
      </c>
      <c r="F870" s="33">
        <v>4</v>
      </c>
      <c r="G870" s="34">
        <v>742.6</v>
      </c>
      <c r="H870" s="33" t="s">
        <v>269</v>
      </c>
      <c r="I870" s="33" t="str">
        <f t="shared" si="26"/>
        <v>Medium sales</v>
      </c>
      <c r="J870" s="33" t="str">
        <f t="shared" si="27"/>
        <v>not eligible</v>
      </c>
    </row>
    <row r="871" spans="1:10" x14ac:dyDescent="0.35">
      <c r="A871" s="31">
        <v>45457.538888888892</v>
      </c>
      <c r="B871" s="32">
        <v>0.72600694444444447</v>
      </c>
      <c r="C871" s="33" t="s">
        <v>11</v>
      </c>
      <c r="D871" s="33" t="s">
        <v>27</v>
      </c>
      <c r="E871" s="34">
        <v>433.88</v>
      </c>
      <c r="F871" s="33">
        <v>3</v>
      </c>
      <c r="G871" s="34">
        <v>1301.6400000000001</v>
      </c>
      <c r="H871" s="33" t="s">
        <v>121</v>
      </c>
      <c r="I871" s="33" t="str">
        <f t="shared" si="26"/>
        <v>Medium sales</v>
      </c>
      <c r="J871" s="33" t="str">
        <f t="shared" si="27"/>
        <v>eligible</v>
      </c>
    </row>
    <row r="872" spans="1:10" x14ac:dyDescent="0.35">
      <c r="A872" s="31">
        <v>45352.306944444441</v>
      </c>
      <c r="B872" s="32">
        <v>7.8310185185185191E-2</v>
      </c>
      <c r="C872" s="33" t="s">
        <v>14</v>
      </c>
      <c r="D872" s="33" t="s">
        <v>16</v>
      </c>
      <c r="E872" s="34">
        <v>245.75</v>
      </c>
      <c r="F872" s="33">
        <v>3</v>
      </c>
      <c r="G872" s="34">
        <v>737.25</v>
      </c>
      <c r="H872" s="33" t="s">
        <v>137</v>
      </c>
      <c r="I872" s="33" t="str">
        <f t="shared" si="26"/>
        <v>Medium sales</v>
      </c>
      <c r="J872" s="33" t="str">
        <f t="shared" si="27"/>
        <v>not eligible</v>
      </c>
    </row>
    <row r="873" spans="1:10" x14ac:dyDescent="0.35">
      <c r="A873" s="31">
        <v>45556.113888888889</v>
      </c>
      <c r="B873" s="32">
        <v>7.5162037037037041E-2</v>
      </c>
      <c r="C873" s="33" t="s">
        <v>8</v>
      </c>
      <c r="D873" s="33" t="s">
        <v>20</v>
      </c>
      <c r="E873" s="34">
        <v>129.54</v>
      </c>
      <c r="F873" s="33">
        <v>4</v>
      </c>
      <c r="G873" s="34">
        <v>518.16</v>
      </c>
      <c r="H873" s="33" t="s">
        <v>299</v>
      </c>
      <c r="I873" s="33" t="str">
        <f t="shared" si="26"/>
        <v>Medium sales</v>
      </c>
      <c r="J873" s="33" t="str">
        <f t="shared" si="27"/>
        <v>not eligible</v>
      </c>
    </row>
    <row r="874" spans="1:10" x14ac:dyDescent="0.35">
      <c r="A874" s="31">
        <v>45160.030555555553</v>
      </c>
      <c r="B874" s="32">
        <v>0.40793981481481478</v>
      </c>
      <c r="C874" s="33" t="s">
        <v>14</v>
      </c>
      <c r="D874" s="33" t="s">
        <v>16</v>
      </c>
      <c r="E874" s="34">
        <v>77.069999999999993</v>
      </c>
      <c r="F874" s="33">
        <v>2</v>
      </c>
      <c r="G874" s="34">
        <v>154.13999999999999</v>
      </c>
      <c r="H874" s="33" t="s">
        <v>338</v>
      </c>
      <c r="I874" s="33" t="str">
        <f t="shared" si="26"/>
        <v>Low sales</v>
      </c>
      <c r="J874" s="33" t="str">
        <f t="shared" si="27"/>
        <v>not eligible</v>
      </c>
    </row>
    <row r="875" spans="1:10" x14ac:dyDescent="0.35">
      <c r="A875" s="31">
        <v>45461.609722222223</v>
      </c>
      <c r="B875" s="32">
        <v>5.9189814814814813E-2</v>
      </c>
      <c r="C875" s="33" t="s">
        <v>8</v>
      </c>
      <c r="D875" s="33" t="s">
        <v>16</v>
      </c>
      <c r="E875" s="34">
        <v>68.8</v>
      </c>
      <c r="F875" s="33">
        <v>5</v>
      </c>
      <c r="G875" s="34">
        <v>344</v>
      </c>
      <c r="H875" s="33" t="s">
        <v>345</v>
      </c>
      <c r="I875" s="33" t="str">
        <f t="shared" si="26"/>
        <v>Low sales</v>
      </c>
      <c r="J875" s="33" t="str">
        <f t="shared" si="27"/>
        <v>not eligible</v>
      </c>
    </row>
    <row r="876" spans="1:10" x14ac:dyDescent="0.35">
      <c r="A876" s="31">
        <v>45601.093055555553</v>
      </c>
      <c r="B876" s="32">
        <v>0.53732638888888895</v>
      </c>
      <c r="C876" s="33" t="s">
        <v>8</v>
      </c>
      <c r="D876" s="33" t="s">
        <v>20</v>
      </c>
      <c r="E876" s="34">
        <v>153.07</v>
      </c>
      <c r="F876" s="33">
        <v>5</v>
      </c>
      <c r="G876" s="34">
        <v>765.35</v>
      </c>
      <c r="H876" s="33" t="s">
        <v>79</v>
      </c>
      <c r="I876" s="33" t="str">
        <f t="shared" si="26"/>
        <v>Medium sales</v>
      </c>
      <c r="J876" s="33" t="str">
        <f t="shared" si="27"/>
        <v>not eligible</v>
      </c>
    </row>
    <row r="877" spans="1:10" x14ac:dyDescent="0.35">
      <c r="A877" s="31">
        <v>45145.064583333333</v>
      </c>
      <c r="B877" s="32">
        <v>0.80385416666666665</v>
      </c>
      <c r="C877" s="33" t="s">
        <v>11</v>
      </c>
      <c r="D877" s="33" t="s">
        <v>9</v>
      </c>
      <c r="E877" s="34">
        <v>320.95</v>
      </c>
      <c r="F877" s="33">
        <v>4</v>
      </c>
      <c r="G877" s="34">
        <v>1283.8</v>
      </c>
      <c r="H877" s="33" t="s">
        <v>226</v>
      </c>
      <c r="I877" s="33" t="str">
        <f t="shared" si="26"/>
        <v>Medium sales</v>
      </c>
      <c r="J877" s="33" t="str">
        <f t="shared" si="27"/>
        <v>eligible</v>
      </c>
    </row>
    <row r="878" spans="1:10" x14ac:dyDescent="0.35">
      <c r="A878" s="31">
        <v>45088.588888888888</v>
      </c>
      <c r="B878" s="32">
        <v>0.45829861111111114</v>
      </c>
      <c r="C878" s="33" t="s">
        <v>14</v>
      </c>
      <c r="D878" s="33" t="s">
        <v>9</v>
      </c>
      <c r="E878" s="34">
        <v>347</v>
      </c>
      <c r="F878" s="33">
        <v>1</v>
      </c>
      <c r="G878" s="34">
        <v>347</v>
      </c>
      <c r="H878" s="33" t="s">
        <v>96</v>
      </c>
      <c r="I878" s="33" t="str">
        <f t="shared" si="26"/>
        <v>Low sales</v>
      </c>
      <c r="J878" s="33" t="str">
        <f t="shared" si="27"/>
        <v>not eligible</v>
      </c>
    </row>
    <row r="879" spans="1:10" x14ac:dyDescent="0.35">
      <c r="A879" s="31">
        <v>45348.813888888886</v>
      </c>
      <c r="B879" s="32">
        <v>0.39181712962962961</v>
      </c>
      <c r="C879" s="33" t="s">
        <v>14</v>
      </c>
      <c r="D879" s="33" t="s">
        <v>9</v>
      </c>
      <c r="E879" s="34">
        <v>258.02999999999997</v>
      </c>
      <c r="F879" s="33">
        <v>5</v>
      </c>
      <c r="G879" s="34">
        <v>1290.1500000000001</v>
      </c>
      <c r="H879" s="33" t="s">
        <v>370</v>
      </c>
      <c r="I879" s="33" t="str">
        <f t="shared" si="26"/>
        <v>Medium sales</v>
      </c>
      <c r="J879" s="33" t="str">
        <f t="shared" si="27"/>
        <v>not eligible</v>
      </c>
    </row>
    <row r="880" spans="1:10" x14ac:dyDescent="0.35">
      <c r="A880" s="31">
        <v>44944.212500000001</v>
      </c>
      <c r="B880" s="32">
        <v>0.8949421296296296</v>
      </c>
      <c r="C880" s="33" t="s">
        <v>14</v>
      </c>
      <c r="D880" s="33" t="s">
        <v>12</v>
      </c>
      <c r="E880" s="34">
        <v>241.55</v>
      </c>
      <c r="F880" s="33">
        <v>2</v>
      </c>
      <c r="G880" s="34">
        <v>483.1</v>
      </c>
      <c r="H880" s="33" t="s">
        <v>122</v>
      </c>
      <c r="I880" s="33" t="str">
        <f t="shared" si="26"/>
        <v>Low sales</v>
      </c>
      <c r="J880" s="33" t="str">
        <f t="shared" si="27"/>
        <v>not eligible</v>
      </c>
    </row>
    <row r="881" spans="1:10" x14ac:dyDescent="0.35">
      <c r="A881" s="31">
        <v>45074.092361111114</v>
      </c>
      <c r="B881" s="32">
        <v>0.18364583333333331</v>
      </c>
      <c r="C881" s="33" t="s">
        <v>14</v>
      </c>
      <c r="D881" s="33" t="s">
        <v>16</v>
      </c>
      <c r="E881" s="34">
        <v>22.6</v>
      </c>
      <c r="F881" s="33">
        <v>2</v>
      </c>
      <c r="G881" s="34">
        <v>45.2</v>
      </c>
      <c r="H881" s="33" t="s">
        <v>271</v>
      </c>
      <c r="I881" s="33" t="str">
        <f t="shared" si="26"/>
        <v>Low sales</v>
      </c>
      <c r="J881" s="33" t="str">
        <f t="shared" si="27"/>
        <v>not eligible</v>
      </c>
    </row>
    <row r="882" spans="1:10" x14ac:dyDescent="0.35">
      <c r="A882" s="31">
        <v>45476.079861111109</v>
      </c>
      <c r="B882" s="32">
        <v>0.27386574074074072</v>
      </c>
      <c r="C882" s="33" t="s">
        <v>14</v>
      </c>
      <c r="D882" s="33" t="s">
        <v>16</v>
      </c>
      <c r="E882" s="34">
        <v>484.94</v>
      </c>
      <c r="F882" s="33">
        <v>4</v>
      </c>
      <c r="G882" s="34">
        <v>1939.76</v>
      </c>
      <c r="H882" s="33" t="s">
        <v>118</v>
      </c>
      <c r="I882" s="33" t="str">
        <f t="shared" si="26"/>
        <v>High sales</v>
      </c>
      <c r="J882" s="33" t="str">
        <f t="shared" si="27"/>
        <v>not eligible</v>
      </c>
    </row>
    <row r="883" spans="1:10" x14ac:dyDescent="0.35">
      <c r="A883" s="31">
        <v>45034.585416666669</v>
      </c>
      <c r="B883" s="32">
        <v>9.5532407407407413E-2</v>
      </c>
      <c r="C883" s="33" t="s">
        <v>8</v>
      </c>
      <c r="D883" s="33" t="s">
        <v>27</v>
      </c>
      <c r="E883" s="34">
        <v>91.8</v>
      </c>
      <c r="F883" s="33">
        <v>4</v>
      </c>
      <c r="G883" s="34">
        <v>367.2</v>
      </c>
      <c r="H883" s="33" t="s">
        <v>47</v>
      </c>
      <c r="I883" s="33" t="str">
        <f t="shared" si="26"/>
        <v>Low sales</v>
      </c>
      <c r="J883" s="33" t="str">
        <f t="shared" si="27"/>
        <v>not eligible</v>
      </c>
    </row>
    <row r="884" spans="1:10" x14ac:dyDescent="0.35">
      <c r="A884" s="31">
        <v>45044.218055555553</v>
      </c>
      <c r="B884" s="32">
        <v>0.88484953703703706</v>
      </c>
      <c r="C884" s="33" t="s">
        <v>11</v>
      </c>
      <c r="D884" s="33" t="s">
        <v>9</v>
      </c>
      <c r="E884" s="34">
        <v>362.87</v>
      </c>
      <c r="F884" s="33">
        <v>3</v>
      </c>
      <c r="G884" s="34">
        <v>1088.6099999999999</v>
      </c>
      <c r="H884" s="33" t="s">
        <v>263</v>
      </c>
      <c r="I884" s="33" t="str">
        <f t="shared" si="26"/>
        <v>Medium sales</v>
      </c>
      <c r="J884" s="33" t="str">
        <f t="shared" si="27"/>
        <v>eligible</v>
      </c>
    </row>
    <row r="885" spans="1:10" x14ac:dyDescent="0.35">
      <c r="A885" s="31">
        <v>44980.11041666667</v>
      </c>
      <c r="B885" s="32">
        <v>0.22748842592592591</v>
      </c>
      <c r="C885" s="33" t="s">
        <v>8</v>
      </c>
      <c r="D885" s="33" t="s">
        <v>12</v>
      </c>
      <c r="E885" s="34">
        <v>380.7</v>
      </c>
      <c r="F885" s="33">
        <v>2</v>
      </c>
      <c r="G885" s="34">
        <v>761.4</v>
      </c>
      <c r="H885" s="33" t="s">
        <v>308</v>
      </c>
      <c r="I885" s="33" t="str">
        <f t="shared" si="26"/>
        <v>Medium sales</v>
      </c>
      <c r="J885" s="33" t="str">
        <f t="shared" si="27"/>
        <v>not eligible</v>
      </c>
    </row>
    <row r="886" spans="1:10" x14ac:dyDescent="0.35">
      <c r="A886" s="31">
        <v>45330.293055555558</v>
      </c>
      <c r="B886" s="32">
        <v>0.33872685185185186</v>
      </c>
      <c r="C886" s="33" t="s">
        <v>14</v>
      </c>
      <c r="D886" s="33" t="s">
        <v>27</v>
      </c>
      <c r="E886" s="34">
        <v>469.12</v>
      </c>
      <c r="F886" s="33">
        <v>5</v>
      </c>
      <c r="G886" s="34">
        <v>2345.6</v>
      </c>
      <c r="H886" s="33" t="s">
        <v>316</v>
      </c>
      <c r="I886" s="33" t="str">
        <f t="shared" si="26"/>
        <v>High sales</v>
      </c>
      <c r="J886" s="33" t="str">
        <f t="shared" si="27"/>
        <v>not eligible</v>
      </c>
    </row>
    <row r="887" spans="1:10" x14ac:dyDescent="0.35">
      <c r="A887" s="31">
        <v>44976.67291666667</v>
      </c>
      <c r="B887" s="32">
        <v>0.21894675925925924</v>
      </c>
      <c r="C887" s="33" t="s">
        <v>11</v>
      </c>
      <c r="D887" s="33" t="s">
        <v>16</v>
      </c>
      <c r="E887" s="34">
        <v>490.68</v>
      </c>
      <c r="F887" s="33">
        <v>2</v>
      </c>
      <c r="G887" s="34">
        <v>981.36</v>
      </c>
      <c r="H887" s="33" t="s">
        <v>43</v>
      </c>
      <c r="I887" s="33" t="str">
        <f t="shared" si="26"/>
        <v>Medium sales</v>
      </c>
      <c r="J887" s="33" t="str">
        <f t="shared" si="27"/>
        <v>not eligible</v>
      </c>
    </row>
    <row r="888" spans="1:10" x14ac:dyDescent="0.35">
      <c r="A888" s="31">
        <v>45057.911805555559</v>
      </c>
      <c r="B888" s="32">
        <v>3.0995370370370371E-2</v>
      </c>
      <c r="C888" s="33" t="s">
        <v>8</v>
      </c>
      <c r="D888" s="33" t="s">
        <v>27</v>
      </c>
      <c r="E888" s="34">
        <v>251.94</v>
      </c>
      <c r="F888" s="33">
        <v>3</v>
      </c>
      <c r="G888" s="34">
        <v>755.82</v>
      </c>
      <c r="H888" s="33" t="s">
        <v>106</v>
      </c>
      <c r="I888" s="33" t="str">
        <f t="shared" si="26"/>
        <v>Medium sales</v>
      </c>
      <c r="J888" s="33" t="str">
        <f t="shared" si="27"/>
        <v>not eligible</v>
      </c>
    </row>
    <row r="889" spans="1:10" x14ac:dyDescent="0.35">
      <c r="A889" s="31">
        <v>45001.334027777775</v>
      </c>
      <c r="B889" s="32">
        <v>0.32750000000000001</v>
      </c>
      <c r="C889" s="33" t="s">
        <v>8</v>
      </c>
      <c r="D889" s="33" t="s">
        <v>16</v>
      </c>
      <c r="E889" s="34">
        <v>165.3</v>
      </c>
      <c r="F889" s="33">
        <v>2</v>
      </c>
      <c r="G889" s="34">
        <v>330.6</v>
      </c>
      <c r="H889" s="33" t="s">
        <v>371</v>
      </c>
      <c r="I889" s="33" t="str">
        <f t="shared" si="26"/>
        <v>Low sales</v>
      </c>
      <c r="J889" s="33" t="str">
        <f t="shared" si="27"/>
        <v>not eligible</v>
      </c>
    </row>
    <row r="890" spans="1:10" x14ac:dyDescent="0.35">
      <c r="A890" s="31">
        <v>44978.493055555555</v>
      </c>
      <c r="B890" s="32">
        <v>0.11957175925925927</v>
      </c>
      <c r="C890" s="33" t="s">
        <v>11</v>
      </c>
      <c r="D890" s="33" t="s">
        <v>27</v>
      </c>
      <c r="E890" s="34">
        <v>309.91000000000003</v>
      </c>
      <c r="F890" s="33">
        <v>5</v>
      </c>
      <c r="G890" s="34">
        <v>1549.55</v>
      </c>
      <c r="H890" s="33" t="s">
        <v>322</v>
      </c>
      <c r="I890" s="33" t="str">
        <f t="shared" si="26"/>
        <v>High sales</v>
      </c>
      <c r="J890" s="33" t="str">
        <f t="shared" si="27"/>
        <v>eligible</v>
      </c>
    </row>
    <row r="891" spans="1:10" x14ac:dyDescent="0.35">
      <c r="A891" s="31">
        <v>45644.674305555556</v>
      </c>
      <c r="B891" s="32">
        <v>0.9816435185185185</v>
      </c>
      <c r="C891" s="33" t="s">
        <v>8</v>
      </c>
      <c r="D891" s="33" t="s">
        <v>12</v>
      </c>
      <c r="E891" s="34">
        <v>389.47</v>
      </c>
      <c r="F891" s="33">
        <v>2</v>
      </c>
      <c r="G891" s="34">
        <v>778.94</v>
      </c>
      <c r="H891" s="33" t="s">
        <v>371</v>
      </c>
      <c r="I891" s="33" t="str">
        <f t="shared" si="26"/>
        <v>Medium sales</v>
      </c>
      <c r="J891" s="33" t="str">
        <f t="shared" si="27"/>
        <v>not eligible</v>
      </c>
    </row>
    <row r="892" spans="1:10" x14ac:dyDescent="0.35">
      <c r="A892" s="31">
        <v>45085.904861111114</v>
      </c>
      <c r="B892" s="32">
        <v>0.87181712962962965</v>
      </c>
      <c r="C892" s="33" t="s">
        <v>11</v>
      </c>
      <c r="D892" s="33" t="s">
        <v>16</v>
      </c>
      <c r="E892" s="34">
        <v>420.16</v>
      </c>
      <c r="F892" s="33">
        <v>1</v>
      </c>
      <c r="G892" s="34">
        <v>420.16</v>
      </c>
      <c r="H892" s="33" t="s">
        <v>35</v>
      </c>
      <c r="I892" s="33" t="str">
        <f t="shared" si="26"/>
        <v>Low sales</v>
      </c>
      <c r="J892" s="33" t="str">
        <f t="shared" si="27"/>
        <v>not eligible</v>
      </c>
    </row>
    <row r="893" spans="1:10" x14ac:dyDescent="0.35">
      <c r="A893" s="31">
        <v>45595.285416666666</v>
      </c>
      <c r="B893" s="32">
        <v>0.66265046296296293</v>
      </c>
      <c r="C893" s="33" t="s">
        <v>11</v>
      </c>
      <c r="D893" s="33" t="s">
        <v>9</v>
      </c>
      <c r="E893" s="34">
        <v>408.48</v>
      </c>
      <c r="F893" s="33">
        <v>5</v>
      </c>
      <c r="G893" s="34">
        <v>2042.4</v>
      </c>
      <c r="H893" s="33" t="s">
        <v>336</v>
      </c>
      <c r="I893" s="33" t="str">
        <f t="shared" si="26"/>
        <v>High sales</v>
      </c>
      <c r="J893" s="33" t="str">
        <f t="shared" si="27"/>
        <v>eligible</v>
      </c>
    </row>
    <row r="894" spans="1:10" x14ac:dyDescent="0.35">
      <c r="A894" s="31">
        <v>45654.09652777778</v>
      </c>
      <c r="B894" s="32">
        <v>0.16533564814814813</v>
      </c>
      <c r="C894" s="33" t="s">
        <v>11</v>
      </c>
      <c r="D894" s="33" t="s">
        <v>9</v>
      </c>
      <c r="E894" s="34">
        <v>387.86</v>
      </c>
      <c r="F894" s="33">
        <v>1</v>
      </c>
      <c r="G894" s="34">
        <v>387.86</v>
      </c>
      <c r="H894" s="33" t="s">
        <v>244</v>
      </c>
      <c r="I894" s="33" t="str">
        <f t="shared" si="26"/>
        <v>Low sales</v>
      </c>
      <c r="J894" s="33" t="str">
        <f t="shared" si="27"/>
        <v>not eligible</v>
      </c>
    </row>
    <row r="895" spans="1:10" x14ac:dyDescent="0.35">
      <c r="A895" s="31">
        <v>45664.055555555555</v>
      </c>
      <c r="B895" s="32">
        <v>0.45065972222222223</v>
      </c>
      <c r="C895" s="33" t="s">
        <v>11</v>
      </c>
      <c r="D895" s="33" t="s">
        <v>16</v>
      </c>
      <c r="E895" s="34">
        <v>73.87</v>
      </c>
      <c r="F895" s="33">
        <v>1</v>
      </c>
      <c r="G895" s="34">
        <v>73.87</v>
      </c>
      <c r="H895" s="33" t="s">
        <v>88</v>
      </c>
      <c r="I895" s="33" t="str">
        <f t="shared" si="26"/>
        <v>Low sales</v>
      </c>
      <c r="J895" s="33" t="str">
        <f t="shared" si="27"/>
        <v>not eligible</v>
      </c>
    </row>
    <row r="896" spans="1:10" x14ac:dyDescent="0.35">
      <c r="A896" s="31">
        <v>45378.90902777778</v>
      </c>
      <c r="B896" s="32">
        <v>0.8056712962962963</v>
      </c>
      <c r="C896" s="33" t="s">
        <v>8</v>
      </c>
      <c r="D896" s="33" t="s">
        <v>12</v>
      </c>
      <c r="E896" s="34">
        <v>168.02</v>
      </c>
      <c r="F896" s="33">
        <v>4</v>
      </c>
      <c r="G896" s="34">
        <v>672.08</v>
      </c>
      <c r="H896" s="33" t="s">
        <v>244</v>
      </c>
      <c r="I896" s="33" t="str">
        <f t="shared" si="26"/>
        <v>Medium sales</v>
      </c>
      <c r="J896" s="33" t="str">
        <f t="shared" si="27"/>
        <v>not eligible</v>
      </c>
    </row>
    <row r="897" spans="1:10" x14ac:dyDescent="0.35">
      <c r="A897" s="31">
        <v>45612.056250000001</v>
      </c>
      <c r="B897" s="32">
        <v>0.36795138888888884</v>
      </c>
      <c r="C897" s="33" t="s">
        <v>14</v>
      </c>
      <c r="D897" s="33" t="s">
        <v>12</v>
      </c>
      <c r="E897" s="34">
        <v>382.61</v>
      </c>
      <c r="F897" s="33">
        <v>3</v>
      </c>
      <c r="G897" s="34">
        <v>1147.83</v>
      </c>
      <c r="H897" s="33" t="s">
        <v>174</v>
      </c>
      <c r="I897" s="33" t="str">
        <f t="shared" si="26"/>
        <v>Medium sales</v>
      </c>
      <c r="J897" s="33" t="str">
        <f t="shared" si="27"/>
        <v>not eligible</v>
      </c>
    </row>
    <row r="898" spans="1:10" x14ac:dyDescent="0.35">
      <c r="A898" s="31">
        <v>45113.71597222222</v>
      </c>
      <c r="B898" s="32">
        <v>0.33631944444444445</v>
      </c>
      <c r="C898" s="33" t="s">
        <v>14</v>
      </c>
      <c r="D898" s="33" t="s">
        <v>9</v>
      </c>
      <c r="E898" s="34">
        <v>145.69</v>
      </c>
      <c r="F898" s="33">
        <v>2</v>
      </c>
      <c r="G898" s="34">
        <v>291.38</v>
      </c>
      <c r="H898" s="33" t="s">
        <v>195</v>
      </c>
      <c r="I898" s="33" t="str">
        <f t="shared" si="26"/>
        <v>Low sales</v>
      </c>
      <c r="J898" s="33" t="str">
        <f t="shared" si="27"/>
        <v>not eligible</v>
      </c>
    </row>
    <row r="899" spans="1:10" x14ac:dyDescent="0.35">
      <c r="A899" s="31">
        <v>45275.272222222222</v>
      </c>
      <c r="B899" s="32">
        <v>0.40099537037037036</v>
      </c>
      <c r="C899" s="33" t="s">
        <v>8</v>
      </c>
      <c r="D899" s="33" t="s">
        <v>27</v>
      </c>
      <c r="E899" s="34">
        <v>411.89</v>
      </c>
      <c r="F899" s="33">
        <v>3</v>
      </c>
      <c r="G899" s="34">
        <v>1235.67</v>
      </c>
      <c r="H899" s="33" t="s">
        <v>22</v>
      </c>
      <c r="I899" s="33" t="str">
        <f t="shared" ref="I899:I962" si="28">IF(G899&gt;1500,"High sales", IF(G899&gt;500,"Medium sales", "Low sales"))</f>
        <v>Medium sales</v>
      </c>
      <c r="J899" s="33" t="str">
        <f t="shared" ref="J899:J962" si="29">IF(AND(G899&gt;1000,C899="Premium"), "eligible", "not eligible")</f>
        <v>not eligible</v>
      </c>
    </row>
    <row r="900" spans="1:10" x14ac:dyDescent="0.35">
      <c r="A900" s="31">
        <v>45154.852777777778</v>
      </c>
      <c r="B900" s="32">
        <v>0.42601851851851852</v>
      </c>
      <c r="C900" s="33" t="s">
        <v>8</v>
      </c>
      <c r="D900" s="33" t="s">
        <v>9</v>
      </c>
      <c r="E900" s="34">
        <v>225.07</v>
      </c>
      <c r="F900" s="33">
        <v>3</v>
      </c>
      <c r="G900" s="34">
        <v>675.21</v>
      </c>
      <c r="H900" s="33" t="s">
        <v>106</v>
      </c>
      <c r="I900" s="33" t="str">
        <f t="shared" si="28"/>
        <v>Medium sales</v>
      </c>
      <c r="J900" s="33" t="str">
        <f t="shared" si="29"/>
        <v>not eligible</v>
      </c>
    </row>
    <row r="901" spans="1:10" x14ac:dyDescent="0.35">
      <c r="A901" s="31">
        <v>45611.679166666669</v>
      </c>
      <c r="B901" s="32">
        <v>0.48370370370370369</v>
      </c>
      <c r="C901" s="33" t="s">
        <v>14</v>
      </c>
      <c r="D901" s="33" t="s">
        <v>12</v>
      </c>
      <c r="E901" s="34">
        <v>43.04</v>
      </c>
      <c r="F901" s="33">
        <v>5</v>
      </c>
      <c r="G901" s="34">
        <v>215.2</v>
      </c>
      <c r="H901" s="33" t="s">
        <v>227</v>
      </c>
      <c r="I901" s="33" t="str">
        <f t="shared" si="28"/>
        <v>Low sales</v>
      </c>
      <c r="J901" s="33" t="str">
        <f t="shared" si="29"/>
        <v>not eligible</v>
      </c>
    </row>
    <row r="902" spans="1:10" x14ac:dyDescent="0.35">
      <c r="A902" s="31">
        <v>45016.343055555553</v>
      </c>
      <c r="B902" s="32">
        <v>0.75422453703703696</v>
      </c>
      <c r="C902" s="33" t="s">
        <v>8</v>
      </c>
      <c r="D902" s="33" t="s">
        <v>20</v>
      </c>
      <c r="E902" s="34">
        <v>55</v>
      </c>
      <c r="F902" s="33">
        <v>5</v>
      </c>
      <c r="G902" s="34">
        <v>275</v>
      </c>
      <c r="H902" s="33" t="s">
        <v>125</v>
      </c>
      <c r="I902" s="33" t="str">
        <f t="shared" si="28"/>
        <v>Low sales</v>
      </c>
      <c r="J902" s="33" t="str">
        <f t="shared" si="29"/>
        <v>not eligible</v>
      </c>
    </row>
    <row r="903" spans="1:10" x14ac:dyDescent="0.35">
      <c r="A903" s="31">
        <v>45324.911111111112</v>
      </c>
      <c r="B903" s="32">
        <v>0.76603009259259258</v>
      </c>
      <c r="C903" s="33" t="s">
        <v>14</v>
      </c>
      <c r="D903" s="33" t="s">
        <v>12</v>
      </c>
      <c r="E903" s="34">
        <v>54.72</v>
      </c>
      <c r="F903" s="33">
        <v>4</v>
      </c>
      <c r="G903" s="34">
        <v>218.88</v>
      </c>
      <c r="H903" s="33" t="s">
        <v>83</v>
      </c>
      <c r="I903" s="33" t="str">
        <f t="shared" si="28"/>
        <v>Low sales</v>
      </c>
      <c r="J903" s="33" t="str">
        <f t="shared" si="29"/>
        <v>not eligible</v>
      </c>
    </row>
    <row r="904" spans="1:10" x14ac:dyDescent="0.35">
      <c r="A904" s="31">
        <v>45603.473611111112</v>
      </c>
      <c r="B904" s="32">
        <v>7.4722222222222232E-2</v>
      </c>
      <c r="C904" s="33" t="s">
        <v>11</v>
      </c>
      <c r="D904" s="33" t="s">
        <v>16</v>
      </c>
      <c r="E904" s="34">
        <v>87.59</v>
      </c>
      <c r="F904" s="33">
        <v>2</v>
      </c>
      <c r="G904" s="34">
        <v>175.18</v>
      </c>
      <c r="H904" s="33" t="s">
        <v>192</v>
      </c>
      <c r="I904" s="33" t="str">
        <f t="shared" si="28"/>
        <v>Low sales</v>
      </c>
      <c r="J904" s="33" t="str">
        <f t="shared" si="29"/>
        <v>not eligible</v>
      </c>
    </row>
    <row r="905" spans="1:10" x14ac:dyDescent="0.35">
      <c r="A905" s="31">
        <v>45620.276388888888</v>
      </c>
      <c r="B905" s="32">
        <v>0.62182870370370369</v>
      </c>
      <c r="C905" s="33" t="s">
        <v>11</v>
      </c>
      <c r="D905" s="33" t="s">
        <v>16</v>
      </c>
      <c r="E905" s="34">
        <v>407.27</v>
      </c>
      <c r="F905" s="33">
        <v>3</v>
      </c>
      <c r="G905" s="34">
        <v>1221.81</v>
      </c>
      <c r="H905" s="33" t="s">
        <v>64</v>
      </c>
      <c r="I905" s="33" t="str">
        <f t="shared" si="28"/>
        <v>Medium sales</v>
      </c>
      <c r="J905" s="33" t="str">
        <f t="shared" si="29"/>
        <v>eligible</v>
      </c>
    </row>
    <row r="906" spans="1:10" x14ac:dyDescent="0.35">
      <c r="A906" s="31">
        <v>45236.537499999999</v>
      </c>
      <c r="B906" s="32">
        <v>0.69138888888888894</v>
      </c>
      <c r="C906" s="33" t="s">
        <v>14</v>
      </c>
      <c r="D906" s="33" t="s">
        <v>16</v>
      </c>
      <c r="E906" s="34">
        <v>160.66999999999999</v>
      </c>
      <c r="F906" s="33">
        <v>1</v>
      </c>
      <c r="G906" s="34">
        <v>160.66999999999999</v>
      </c>
      <c r="H906" s="33" t="s">
        <v>278</v>
      </c>
      <c r="I906" s="33" t="str">
        <f t="shared" si="28"/>
        <v>Low sales</v>
      </c>
      <c r="J906" s="33" t="str">
        <f t="shared" si="29"/>
        <v>not eligible</v>
      </c>
    </row>
    <row r="907" spans="1:10" x14ac:dyDescent="0.35">
      <c r="A907" s="31">
        <v>45206.859722222223</v>
      </c>
      <c r="B907" s="32">
        <v>0.24547453703703703</v>
      </c>
      <c r="C907" s="33" t="s">
        <v>8</v>
      </c>
      <c r="D907" s="33" t="s">
        <v>9</v>
      </c>
      <c r="E907" s="34">
        <v>11.01</v>
      </c>
      <c r="F907" s="33">
        <v>4</v>
      </c>
      <c r="G907" s="34">
        <v>44.04</v>
      </c>
      <c r="H907" s="33" t="s">
        <v>273</v>
      </c>
      <c r="I907" s="33" t="str">
        <f t="shared" si="28"/>
        <v>Low sales</v>
      </c>
      <c r="J907" s="33" t="str">
        <f t="shared" si="29"/>
        <v>not eligible</v>
      </c>
    </row>
    <row r="908" spans="1:10" x14ac:dyDescent="0.35">
      <c r="A908" s="31">
        <v>45133.988194444442</v>
      </c>
      <c r="B908" s="32">
        <v>0.42891203703703701</v>
      </c>
      <c r="C908" s="33" t="s">
        <v>14</v>
      </c>
      <c r="D908" s="33" t="s">
        <v>12</v>
      </c>
      <c r="E908" s="34">
        <v>126.25</v>
      </c>
      <c r="F908" s="33">
        <v>1</v>
      </c>
      <c r="G908" s="34">
        <v>126.25</v>
      </c>
      <c r="H908" s="33" t="s">
        <v>280</v>
      </c>
      <c r="I908" s="33" t="str">
        <f t="shared" si="28"/>
        <v>Low sales</v>
      </c>
      <c r="J908" s="33" t="str">
        <f t="shared" si="29"/>
        <v>not eligible</v>
      </c>
    </row>
    <row r="909" spans="1:10" x14ac:dyDescent="0.35">
      <c r="A909" s="31">
        <v>45654.970138888886</v>
      </c>
      <c r="B909" s="32">
        <v>0.46422453703703703</v>
      </c>
      <c r="C909" s="33" t="s">
        <v>11</v>
      </c>
      <c r="D909" s="33" t="s">
        <v>9</v>
      </c>
      <c r="E909" s="34">
        <v>258.44</v>
      </c>
      <c r="F909" s="33">
        <v>5</v>
      </c>
      <c r="G909" s="34">
        <v>1292.2</v>
      </c>
      <c r="H909" s="33" t="s">
        <v>60</v>
      </c>
      <c r="I909" s="33" t="str">
        <f t="shared" si="28"/>
        <v>Medium sales</v>
      </c>
      <c r="J909" s="33" t="str">
        <f t="shared" si="29"/>
        <v>eligible</v>
      </c>
    </row>
    <row r="910" spans="1:10" x14ac:dyDescent="0.35">
      <c r="A910" s="31">
        <v>45525.818749999999</v>
      </c>
      <c r="B910" s="32">
        <v>0.25722222222222224</v>
      </c>
      <c r="C910" s="33" t="s">
        <v>14</v>
      </c>
      <c r="D910" s="33" t="s">
        <v>20</v>
      </c>
      <c r="E910" s="34">
        <v>236.73</v>
      </c>
      <c r="F910" s="33">
        <v>1</v>
      </c>
      <c r="G910" s="34">
        <v>236.73</v>
      </c>
      <c r="H910" s="33" t="s">
        <v>55</v>
      </c>
      <c r="I910" s="33" t="str">
        <f t="shared" si="28"/>
        <v>Low sales</v>
      </c>
      <c r="J910" s="33" t="str">
        <f t="shared" si="29"/>
        <v>not eligible</v>
      </c>
    </row>
    <row r="911" spans="1:10" x14ac:dyDescent="0.35">
      <c r="A911" s="31">
        <v>45517.593055555553</v>
      </c>
      <c r="B911" s="32">
        <v>0.89358796296296295</v>
      </c>
      <c r="C911" s="33" t="s">
        <v>14</v>
      </c>
      <c r="D911" s="33" t="s">
        <v>27</v>
      </c>
      <c r="E911" s="34">
        <v>284.57</v>
      </c>
      <c r="F911" s="33">
        <v>3</v>
      </c>
      <c r="G911" s="34">
        <v>853.71</v>
      </c>
      <c r="H911" s="33" t="s">
        <v>52</v>
      </c>
      <c r="I911" s="33" t="str">
        <f t="shared" si="28"/>
        <v>Medium sales</v>
      </c>
      <c r="J911" s="33" t="str">
        <f t="shared" si="29"/>
        <v>not eligible</v>
      </c>
    </row>
    <row r="912" spans="1:10" x14ac:dyDescent="0.35">
      <c r="A912" s="31">
        <v>45073.757638888892</v>
      </c>
      <c r="B912" s="32">
        <v>0.91365740740740742</v>
      </c>
      <c r="C912" s="33" t="s">
        <v>11</v>
      </c>
      <c r="D912" s="33" t="s">
        <v>20</v>
      </c>
      <c r="E912" s="34">
        <v>465.82</v>
      </c>
      <c r="F912" s="33">
        <v>5</v>
      </c>
      <c r="G912" s="34">
        <v>2329.1</v>
      </c>
      <c r="H912" s="33" t="s">
        <v>215</v>
      </c>
      <c r="I912" s="33" t="str">
        <f t="shared" si="28"/>
        <v>High sales</v>
      </c>
      <c r="J912" s="33" t="str">
        <f t="shared" si="29"/>
        <v>eligible</v>
      </c>
    </row>
    <row r="913" spans="1:10" x14ac:dyDescent="0.35">
      <c r="A913" s="31">
        <v>45018.270833333336</v>
      </c>
      <c r="B913" s="32">
        <v>0.5819791666666666</v>
      </c>
      <c r="C913" s="33" t="s">
        <v>8</v>
      </c>
      <c r="D913" s="33" t="s">
        <v>12</v>
      </c>
      <c r="E913" s="34">
        <v>361.46</v>
      </c>
      <c r="F913" s="33">
        <v>1</v>
      </c>
      <c r="G913" s="34">
        <v>361.46</v>
      </c>
      <c r="H913" s="33" t="s">
        <v>372</v>
      </c>
      <c r="I913" s="33" t="str">
        <f t="shared" si="28"/>
        <v>Low sales</v>
      </c>
      <c r="J913" s="33" t="str">
        <f t="shared" si="29"/>
        <v>not eligible</v>
      </c>
    </row>
    <row r="914" spans="1:10" x14ac:dyDescent="0.35">
      <c r="A914" s="31">
        <v>44991.214583333334</v>
      </c>
      <c r="B914" s="32">
        <v>5.7361111111111113E-2</v>
      </c>
      <c r="C914" s="33" t="s">
        <v>14</v>
      </c>
      <c r="D914" s="33" t="s">
        <v>20</v>
      </c>
      <c r="E914" s="34">
        <v>246.46</v>
      </c>
      <c r="F914" s="33">
        <v>3</v>
      </c>
      <c r="G914" s="34">
        <v>739.38</v>
      </c>
      <c r="H914" s="33" t="s">
        <v>93</v>
      </c>
      <c r="I914" s="33" t="str">
        <f t="shared" si="28"/>
        <v>Medium sales</v>
      </c>
      <c r="J914" s="33" t="str">
        <f t="shared" si="29"/>
        <v>not eligible</v>
      </c>
    </row>
    <row r="915" spans="1:10" x14ac:dyDescent="0.35">
      <c r="A915" s="31">
        <v>45569.044444444444</v>
      </c>
      <c r="B915" s="32">
        <v>9.0347222222222232E-2</v>
      </c>
      <c r="C915" s="33" t="s">
        <v>8</v>
      </c>
      <c r="D915" s="33" t="s">
        <v>20</v>
      </c>
      <c r="E915" s="34">
        <v>275.66000000000003</v>
      </c>
      <c r="F915" s="33">
        <v>3</v>
      </c>
      <c r="G915" s="34">
        <v>826.98</v>
      </c>
      <c r="H915" s="33" t="s">
        <v>346</v>
      </c>
      <c r="I915" s="33" t="str">
        <f t="shared" si="28"/>
        <v>Medium sales</v>
      </c>
      <c r="J915" s="33" t="str">
        <f t="shared" si="29"/>
        <v>not eligible</v>
      </c>
    </row>
    <row r="916" spans="1:10" x14ac:dyDescent="0.35">
      <c r="A916" s="31">
        <v>44993.240972222222</v>
      </c>
      <c r="B916" s="32">
        <v>0.33423611111111112</v>
      </c>
      <c r="C916" s="33" t="s">
        <v>14</v>
      </c>
      <c r="D916" s="33" t="s">
        <v>27</v>
      </c>
      <c r="E916" s="34">
        <v>294.60000000000002</v>
      </c>
      <c r="F916" s="33">
        <v>3</v>
      </c>
      <c r="G916" s="34">
        <v>883.8</v>
      </c>
      <c r="H916" s="33" t="s">
        <v>80</v>
      </c>
      <c r="I916" s="33" t="str">
        <f t="shared" si="28"/>
        <v>Medium sales</v>
      </c>
      <c r="J916" s="33" t="str">
        <f t="shared" si="29"/>
        <v>not eligible</v>
      </c>
    </row>
    <row r="917" spans="1:10" x14ac:dyDescent="0.35">
      <c r="A917" s="31">
        <v>44942.476388888892</v>
      </c>
      <c r="B917" s="32">
        <v>0.47597222222222224</v>
      </c>
      <c r="C917" s="33" t="s">
        <v>11</v>
      </c>
      <c r="D917" s="33" t="s">
        <v>20</v>
      </c>
      <c r="E917" s="34">
        <v>400.51</v>
      </c>
      <c r="F917" s="33">
        <v>2</v>
      </c>
      <c r="G917" s="34">
        <v>801.02</v>
      </c>
      <c r="H917" s="33" t="s">
        <v>291</v>
      </c>
      <c r="I917" s="33" t="str">
        <f t="shared" si="28"/>
        <v>Medium sales</v>
      </c>
      <c r="J917" s="33" t="str">
        <f t="shared" si="29"/>
        <v>not eligible</v>
      </c>
    </row>
    <row r="918" spans="1:10" x14ac:dyDescent="0.35">
      <c r="A918" s="31">
        <v>45274.675694444442</v>
      </c>
      <c r="B918" s="32">
        <v>0.81533564814814818</v>
      </c>
      <c r="C918" s="33" t="s">
        <v>14</v>
      </c>
      <c r="D918" s="33" t="s">
        <v>16</v>
      </c>
      <c r="E918" s="34">
        <v>211.74</v>
      </c>
      <c r="F918" s="33">
        <v>2</v>
      </c>
      <c r="G918" s="34">
        <v>423.48</v>
      </c>
      <c r="H918" s="33" t="s">
        <v>113</v>
      </c>
      <c r="I918" s="33" t="str">
        <f t="shared" si="28"/>
        <v>Low sales</v>
      </c>
      <c r="J918" s="33" t="str">
        <f t="shared" si="29"/>
        <v>not eligible</v>
      </c>
    </row>
    <row r="919" spans="1:10" x14ac:dyDescent="0.35">
      <c r="A919" s="31">
        <v>45031.682638888888</v>
      </c>
      <c r="B919" s="32">
        <v>0.57986111111111105</v>
      </c>
      <c r="C919" s="33" t="s">
        <v>8</v>
      </c>
      <c r="D919" s="33" t="s">
        <v>9</v>
      </c>
      <c r="E919" s="34">
        <v>128.41999999999999</v>
      </c>
      <c r="F919" s="33">
        <v>4</v>
      </c>
      <c r="G919" s="34">
        <v>513.67999999999995</v>
      </c>
      <c r="H919" s="33" t="s">
        <v>215</v>
      </c>
      <c r="I919" s="33" t="str">
        <f t="shared" si="28"/>
        <v>Medium sales</v>
      </c>
      <c r="J919" s="33" t="str">
        <f t="shared" si="29"/>
        <v>not eligible</v>
      </c>
    </row>
    <row r="920" spans="1:10" x14ac:dyDescent="0.35">
      <c r="A920" s="31">
        <v>45314.15625</v>
      </c>
      <c r="B920" s="32">
        <v>0.97362268518518524</v>
      </c>
      <c r="C920" s="33" t="s">
        <v>11</v>
      </c>
      <c r="D920" s="33" t="s">
        <v>9</v>
      </c>
      <c r="E920" s="34">
        <v>326.14</v>
      </c>
      <c r="F920" s="33">
        <v>3</v>
      </c>
      <c r="G920" s="34">
        <v>978.42</v>
      </c>
      <c r="H920" s="33" t="s">
        <v>373</v>
      </c>
      <c r="I920" s="33" t="str">
        <f t="shared" si="28"/>
        <v>Medium sales</v>
      </c>
      <c r="J920" s="33" t="str">
        <f t="shared" si="29"/>
        <v>not eligible</v>
      </c>
    </row>
    <row r="921" spans="1:10" x14ac:dyDescent="0.35">
      <c r="A921" s="31">
        <v>45193.318055555559</v>
      </c>
      <c r="B921" s="32">
        <v>0.52124999999999999</v>
      </c>
      <c r="C921" s="33" t="s">
        <v>14</v>
      </c>
      <c r="D921" s="33" t="s">
        <v>16</v>
      </c>
      <c r="E921" s="34">
        <v>339.93</v>
      </c>
      <c r="F921" s="33">
        <v>2</v>
      </c>
      <c r="G921" s="34">
        <v>679.86</v>
      </c>
      <c r="H921" s="33" t="s">
        <v>173</v>
      </c>
      <c r="I921" s="33" t="str">
        <f t="shared" si="28"/>
        <v>Medium sales</v>
      </c>
      <c r="J921" s="33" t="str">
        <f t="shared" si="29"/>
        <v>not eligible</v>
      </c>
    </row>
    <row r="922" spans="1:10" x14ac:dyDescent="0.35">
      <c r="A922" s="31">
        <v>45477.092361111114</v>
      </c>
      <c r="B922" s="32">
        <v>0.80964120370370374</v>
      </c>
      <c r="C922" s="33" t="s">
        <v>8</v>
      </c>
      <c r="D922" s="33" t="s">
        <v>27</v>
      </c>
      <c r="E922" s="34">
        <v>272.92</v>
      </c>
      <c r="F922" s="33">
        <v>2</v>
      </c>
      <c r="G922" s="34">
        <v>545.84</v>
      </c>
      <c r="H922" s="33" t="s">
        <v>321</v>
      </c>
      <c r="I922" s="33" t="str">
        <f t="shared" si="28"/>
        <v>Medium sales</v>
      </c>
      <c r="J922" s="33" t="str">
        <f t="shared" si="29"/>
        <v>not eligible</v>
      </c>
    </row>
    <row r="923" spans="1:10" x14ac:dyDescent="0.35">
      <c r="A923" s="31">
        <v>45080.750694444447</v>
      </c>
      <c r="B923" s="32">
        <v>4.3576388888888894E-2</v>
      </c>
      <c r="C923" s="33" t="s">
        <v>8</v>
      </c>
      <c r="D923" s="33" t="s">
        <v>16</v>
      </c>
      <c r="E923" s="34">
        <v>494.87</v>
      </c>
      <c r="F923" s="33">
        <v>3</v>
      </c>
      <c r="G923" s="34">
        <v>1484.61</v>
      </c>
      <c r="H923" s="33" t="s">
        <v>285</v>
      </c>
      <c r="I923" s="33" t="str">
        <f t="shared" si="28"/>
        <v>Medium sales</v>
      </c>
      <c r="J923" s="33" t="str">
        <f t="shared" si="29"/>
        <v>not eligible</v>
      </c>
    </row>
    <row r="924" spans="1:10" x14ac:dyDescent="0.35">
      <c r="A924" s="31">
        <v>45120.440972222219</v>
      </c>
      <c r="B924" s="32">
        <v>0.46061342592592597</v>
      </c>
      <c r="C924" s="33" t="s">
        <v>14</v>
      </c>
      <c r="D924" s="33" t="s">
        <v>27</v>
      </c>
      <c r="E924" s="34">
        <v>482.49</v>
      </c>
      <c r="F924" s="33">
        <v>5</v>
      </c>
      <c r="G924" s="34">
        <v>2412.4499999999998</v>
      </c>
      <c r="H924" s="33" t="s">
        <v>321</v>
      </c>
      <c r="I924" s="33" t="str">
        <f t="shared" si="28"/>
        <v>High sales</v>
      </c>
      <c r="J924" s="33" t="str">
        <f t="shared" si="29"/>
        <v>not eligible</v>
      </c>
    </row>
    <row r="925" spans="1:10" x14ac:dyDescent="0.35">
      <c r="A925" s="31">
        <v>45177.870833333334</v>
      </c>
      <c r="B925" s="32">
        <v>0.99788194444444445</v>
      </c>
      <c r="C925" s="33" t="s">
        <v>8</v>
      </c>
      <c r="D925" s="33" t="s">
        <v>27</v>
      </c>
      <c r="E925" s="34">
        <v>159.49</v>
      </c>
      <c r="F925" s="33">
        <v>5</v>
      </c>
      <c r="G925" s="34">
        <v>797.45</v>
      </c>
      <c r="H925" s="33" t="s">
        <v>364</v>
      </c>
      <c r="I925" s="33" t="str">
        <f t="shared" si="28"/>
        <v>Medium sales</v>
      </c>
      <c r="J925" s="33" t="str">
        <f t="shared" si="29"/>
        <v>not eligible</v>
      </c>
    </row>
    <row r="926" spans="1:10" x14ac:dyDescent="0.35">
      <c r="A926" s="31">
        <v>44932.055555555555</v>
      </c>
      <c r="B926" s="32">
        <v>0.40968749999999998</v>
      </c>
      <c r="C926" s="33" t="s">
        <v>11</v>
      </c>
      <c r="D926" s="33" t="s">
        <v>12</v>
      </c>
      <c r="E926" s="34">
        <v>442.12</v>
      </c>
      <c r="F926" s="33">
        <v>4</v>
      </c>
      <c r="G926" s="34">
        <v>1768.48</v>
      </c>
      <c r="H926" s="33" t="s">
        <v>149</v>
      </c>
      <c r="I926" s="33" t="str">
        <f t="shared" si="28"/>
        <v>High sales</v>
      </c>
      <c r="J926" s="33" t="str">
        <f t="shared" si="29"/>
        <v>eligible</v>
      </c>
    </row>
    <row r="927" spans="1:10" x14ac:dyDescent="0.35">
      <c r="A927" s="31">
        <v>45572.18472222222</v>
      </c>
      <c r="B927" s="32">
        <v>0.63332175925925926</v>
      </c>
      <c r="C927" s="33" t="s">
        <v>11</v>
      </c>
      <c r="D927" s="33" t="s">
        <v>12</v>
      </c>
      <c r="E927" s="34">
        <v>413.31</v>
      </c>
      <c r="F927" s="33">
        <v>1</v>
      </c>
      <c r="G927" s="34">
        <v>413.31</v>
      </c>
      <c r="H927" s="33" t="s">
        <v>314</v>
      </c>
      <c r="I927" s="33" t="str">
        <f t="shared" si="28"/>
        <v>Low sales</v>
      </c>
      <c r="J927" s="33" t="str">
        <f t="shared" si="29"/>
        <v>not eligible</v>
      </c>
    </row>
    <row r="928" spans="1:10" x14ac:dyDescent="0.35">
      <c r="A928" s="31">
        <v>45578.147916666669</v>
      </c>
      <c r="B928" s="32">
        <v>0.81398148148148142</v>
      </c>
      <c r="C928" s="33" t="s">
        <v>8</v>
      </c>
      <c r="D928" s="33" t="s">
        <v>20</v>
      </c>
      <c r="E928" s="34">
        <v>207.8</v>
      </c>
      <c r="F928" s="33">
        <v>5</v>
      </c>
      <c r="G928" s="34">
        <v>1039</v>
      </c>
      <c r="H928" s="33" t="s">
        <v>291</v>
      </c>
      <c r="I928" s="33" t="str">
        <f t="shared" si="28"/>
        <v>Medium sales</v>
      </c>
      <c r="J928" s="33" t="str">
        <f t="shared" si="29"/>
        <v>not eligible</v>
      </c>
    </row>
    <row r="929" spans="1:10" x14ac:dyDescent="0.35">
      <c r="A929" s="31">
        <v>45095.707638888889</v>
      </c>
      <c r="B929" s="32">
        <v>0.18322916666666667</v>
      </c>
      <c r="C929" s="33" t="s">
        <v>11</v>
      </c>
      <c r="D929" s="33" t="s">
        <v>12</v>
      </c>
      <c r="E929" s="34">
        <v>384.31</v>
      </c>
      <c r="F929" s="33">
        <v>4</v>
      </c>
      <c r="G929" s="34">
        <v>1537.24</v>
      </c>
      <c r="H929" s="33" t="s">
        <v>322</v>
      </c>
      <c r="I929" s="33" t="str">
        <f t="shared" si="28"/>
        <v>High sales</v>
      </c>
      <c r="J929" s="33" t="str">
        <f t="shared" si="29"/>
        <v>eligible</v>
      </c>
    </row>
    <row r="930" spans="1:10" x14ac:dyDescent="0.35">
      <c r="A930" s="31">
        <v>45010.230555555558</v>
      </c>
      <c r="B930" s="32">
        <v>0.73393518518518519</v>
      </c>
      <c r="C930" s="33" t="s">
        <v>11</v>
      </c>
      <c r="D930" s="33" t="s">
        <v>16</v>
      </c>
      <c r="E930" s="34">
        <v>345.9</v>
      </c>
      <c r="F930" s="33">
        <v>2</v>
      </c>
      <c r="G930" s="34">
        <v>691.8</v>
      </c>
      <c r="H930" s="33" t="s">
        <v>289</v>
      </c>
      <c r="I930" s="33" t="str">
        <f t="shared" si="28"/>
        <v>Medium sales</v>
      </c>
      <c r="J930" s="33" t="str">
        <f t="shared" si="29"/>
        <v>not eligible</v>
      </c>
    </row>
    <row r="931" spans="1:10" x14ac:dyDescent="0.35">
      <c r="A931" s="31">
        <v>45300.427083333336</v>
      </c>
      <c r="B931" s="32">
        <v>0.26298611111111109</v>
      </c>
      <c r="C931" s="33" t="s">
        <v>11</v>
      </c>
      <c r="D931" s="33" t="s">
        <v>9</v>
      </c>
      <c r="E931" s="34">
        <v>213.45</v>
      </c>
      <c r="F931" s="33">
        <v>5</v>
      </c>
      <c r="G931" s="34">
        <v>1067.25</v>
      </c>
      <c r="H931" s="33" t="s">
        <v>58</v>
      </c>
      <c r="I931" s="33" t="str">
        <f t="shared" si="28"/>
        <v>Medium sales</v>
      </c>
      <c r="J931" s="33" t="str">
        <f t="shared" si="29"/>
        <v>eligible</v>
      </c>
    </row>
    <row r="932" spans="1:10" x14ac:dyDescent="0.35">
      <c r="A932" s="31">
        <v>45201.736805555556</v>
      </c>
      <c r="B932" s="32">
        <v>0.17482638888888891</v>
      </c>
      <c r="C932" s="33" t="s">
        <v>11</v>
      </c>
      <c r="D932" s="33" t="s">
        <v>27</v>
      </c>
      <c r="E932" s="34">
        <v>76.16</v>
      </c>
      <c r="F932" s="33">
        <v>5</v>
      </c>
      <c r="G932" s="34">
        <v>380.8</v>
      </c>
      <c r="H932" s="33" t="s">
        <v>28</v>
      </c>
      <c r="I932" s="33" t="str">
        <f t="shared" si="28"/>
        <v>Low sales</v>
      </c>
      <c r="J932" s="33" t="str">
        <f t="shared" si="29"/>
        <v>not eligible</v>
      </c>
    </row>
    <row r="933" spans="1:10" x14ac:dyDescent="0.35">
      <c r="A933" s="31">
        <v>45585.918055555558</v>
      </c>
      <c r="B933" s="32">
        <v>0.24789351851851851</v>
      </c>
      <c r="C933" s="33" t="s">
        <v>11</v>
      </c>
      <c r="D933" s="33" t="s">
        <v>16</v>
      </c>
      <c r="E933" s="34">
        <v>483.8</v>
      </c>
      <c r="F933" s="33">
        <v>1</v>
      </c>
      <c r="G933" s="34">
        <v>483.8</v>
      </c>
      <c r="H933" s="33" t="s">
        <v>149</v>
      </c>
      <c r="I933" s="33" t="str">
        <f t="shared" si="28"/>
        <v>Low sales</v>
      </c>
      <c r="J933" s="33" t="str">
        <f t="shared" si="29"/>
        <v>not eligible</v>
      </c>
    </row>
    <row r="934" spans="1:10" x14ac:dyDescent="0.35">
      <c r="A934" s="31">
        <v>45051.433333333334</v>
      </c>
      <c r="B934" s="32">
        <v>0.96395833333333336</v>
      </c>
      <c r="C934" s="33" t="s">
        <v>11</v>
      </c>
      <c r="D934" s="33" t="s">
        <v>20</v>
      </c>
      <c r="E934" s="34">
        <v>407.27</v>
      </c>
      <c r="F934" s="33">
        <v>5</v>
      </c>
      <c r="G934" s="34">
        <v>2036.35</v>
      </c>
      <c r="H934" s="33" t="s">
        <v>130</v>
      </c>
      <c r="I934" s="33" t="str">
        <f t="shared" si="28"/>
        <v>High sales</v>
      </c>
      <c r="J934" s="33" t="str">
        <f t="shared" si="29"/>
        <v>eligible</v>
      </c>
    </row>
    <row r="935" spans="1:10" x14ac:dyDescent="0.35">
      <c r="A935" s="31">
        <v>45267.71875</v>
      </c>
      <c r="B935" s="32">
        <v>0.13875000000000001</v>
      </c>
      <c r="C935" s="33" t="s">
        <v>8</v>
      </c>
      <c r="D935" s="33" t="s">
        <v>12</v>
      </c>
      <c r="E935" s="34">
        <v>241.71</v>
      </c>
      <c r="F935" s="33">
        <v>4</v>
      </c>
      <c r="G935" s="34">
        <v>966.84</v>
      </c>
      <c r="H935" s="33" t="s">
        <v>185</v>
      </c>
      <c r="I935" s="33" t="str">
        <f t="shared" si="28"/>
        <v>Medium sales</v>
      </c>
      <c r="J935" s="33" t="str">
        <f t="shared" si="29"/>
        <v>not eligible</v>
      </c>
    </row>
    <row r="936" spans="1:10" x14ac:dyDescent="0.35">
      <c r="A936" s="31">
        <v>45246.590277777781</v>
      </c>
      <c r="B936" s="32">
        <v>0.7168402777777777</v>
      </c>
      <c r="C936" s="33" t="s">
        <v>14</v>
      </c>
      <c r="D936" s="33" t="s">
        <v>9</v>
      </c>
      <c r="E936" s="34">
        <v>137.25</v>
      </c>
      <c r="F936" s="33">
        <v>2</v>
      </c>
      <c r="G936" s="34">
        <v>274.5</v>
      </c>
      <c r="H936" s="33" t="s">
        <v>81</v>
      </c>
      <c r="I936" s="33" t="str">
        <f t="shared" si="28"/>
        <v>Low sales</v>
      </c>
      <c r="J936" s="33" t="str">
        <f t="shared" si="29"/>
        <v>not eligible</v>
      </c>
    </row>
    <row r="937" spans="1:10" x14ac:dyDescent="0.35">
      <c r="A937" s="31">
        <v>45366.711111111108</v>
      </c>
      <c r="B937" s="32">
        <v>0.46809027777777779</v>
      </c>
      <c r="C937" s="33" t="s">
        <v>8</v>
      </c>
      <c r="D937" s="33" t="s">
        <v>16</v>
      </c>
      <c r="E937" s="34">
        <v>135.68</v>
      </c>
      <c r="F937" s="33">
        <v>1</v>
      </c>
      <c r="G937" s="34">
        <v>135.68</v>
      </c>
      <c r="H937" s="33" t="s">
        <v>355</v>
      </c>
      <c r="I937" s="33" t="str">
        <f t="shared" si="28"/>
        <v>Low sales</v>
      </c>
      <c r="J937" s="33" t="str">
        <f t="shared" si="29"/>
        <v>not eligible</v>
      </c>
    </row>
    <row r="938" spans="1:10" x14ac:dyDescent="0.35">
      <c r="A938" s="31">
        <v>45661.575694444444</v>
      </c>
      <c r="B938" s="32">
        <v>0.25475694444444447</v>
      </c>
      <c r="C938" s="33" t="s">
        <v>8</v>
      </c>
      <c r="D938" s="33" t="s">
        <v>9</v>
      </c>
      <c r="E938" s="34">
        <v>160.46</v>
      </c>
      <c r="F938" s="33">
        <v>2</v>
      </c>
      <c r="G938" s="34">
        <v>320.92</v>
      </c>
      <c r="H938" s="33" t="s">
        <v>296</v>
      </c>
      <c r="I938" s="33" t="str">
        <f t="shared" si="28"/>
        <v>Low sales</v>
      </c>
      <c r="J938" s="33" t="str">
        <f t="shared" si="29"/>
        <v>not eligible</v>
      </c>
    </row>
    <row r="939" spans="1:10" x14ac:dyDescent="0.35">
      <c r="A939" s="31">
        <v>45410.09097222222</v>
      </c>
      <c r="B939" s="32">
        <v>0.41487268518518516</v>
      </c>
      <c r="C939" s="33" t="s">
        <v>11</v>
      </c>
      <c r="D939" s="33" t="s">
        <v>16</v>
      </c>
      <c r="E939" s="34">
        <v>102.92</v>
      </c>
      <c r="F939" s="33">
        <v>1</v>
      </c>
      <c r="G939" s="34">
        <v>102.92</v>
      </c>
      <c r="H939" s="33" t="s">
        <v>374</v>
      </c>
      <c r="I939" s="33" t="str">
        <f t="shared" si="28"/>
        <v>Low sales</v>
      </c>
      <c r="J939" s="33" t="str">
        <f t="shared" si="29"/>
        <v>not eligible</v>
      </c>
    </row>
    <row r="940" spans="1:10" x14ac:dyDescent="0.35">
      <c r="A940" s="31">
        <v>45267.284722222219</v>
      </c>
      <c r="B940" s="32">
        <v>0.4559259259259259</v>
      </c>
      <c r="C940" s="33" t="s">
        <v>14</v>
      </c>
      <c r="D940" s="33" t="s">
        <v>16</v>
      </c>
      <c r="E940" s="34">
        <v>416.46</v>
      </c>
      <c r="F940" s="33">
        <v>2</v>
      </c>
      <c r="G940" s="34">
        <v>832.92</v>
      </c>
      <c r="H940" s="33" t="s">
        <v>80</v>
      </c>
      <c r="I940" s="33" t="str">
        <f t="shared" si="28"/>
        <v>Medium sales</v>
      </c>
      <c r="J940" s="33" t="str">
        <f t="shared" si="29"/>
        <v>not eligible</v>
      </c>
    </row>
    <row r="941" spans="1:10" x14ac:dyDescent="0.35">
      <c r="A941" s="31">
        <v>45023.663194444445</v>
      </c>
      <c r="B941" s="32">
        <v>0.90644675925925933</v>
      </c>
      <c r="C941" s="33" t="s">
        <v>11</v>
      </c>
      <c r="D941" s="33" t="s">
        <v>9</v>
      </c>
      <c r="E941" s="34">
        <v>323.02999999999997</v>
      </c>
      <c r="F941" s="33">
        <v>3</v>
      </c>
      <c r="G941" s="34">
        <v>969.09</v>
      </c>
      <c r="H941" s="33" t="s">
        <v>265</v>
      </c>
      <c r="I941" s="33" t="str">
        <f t="shared" si="28"/>
        <v>Medium sales</v>
      </c>
      <c r="J941" s="33" t="str">
        <f t="shared" si="29"/>
        <v>not eligible</v>
      </c>
    </row>
    <row r="942" spans="1:10" x14ac:dyDescent="0.35">
      <c r="A942" s="31">
        <v>45572.010416666664</v>
      </c>
      <c r="B942" s="32">
        <v>0.43437500000000001</v>
      </c>
      <c r="C942" s="33" t="s">
        <v>8</v>
      </c>
      <c r="D942" s="33" t="s">
        <v>9</v>
      </c>
      <c r="E942" s="34">
        <v>400.27</v>
      </c>
      <c r="F942" s="33">
        <v>2</v>
      </c>
      <c r="G942" s="34">
        <v>800.54</v>
      </c>
      <c r="H942" s="33" t="s">
        <v>231</v>
      </c>
      <c r="I942" s="33" t="str">
        <f t="shared" si="28"/>
        <v>Medium sales</v>
      </c>
      <c r="J942" s="33" t="str">
        <f t="shared" si="29"/>
        <v>not eligible</v>
      </c>
    </row>
    <row r="943" spans="1:10" x14ac:dyDescent="0.35">
      <c r="A943" s="31">
        <v>45534.214583333334</v>
      </c>
      <c r="B943" s="32">
        <v>1.0659722222222221E-2</v>
      </c>
      <c r="C943" s="33" t="s">
        <v>8</v>
      </c>
      <c r="D943" s="33" t="s">
        <v>9</v>
      </c>
      <c r="E943" s="34">
        <v>375.34</v>
      </c>
      <c r="F943" s="33">
        <v>3</v>
      </c>
      <c r="G943" s="34">
        <v>1126.02</v>
      </c>
      <c r="H943" s="33" t="s">
        <v>222</v>
      </c>
      <c r="I943" s="33" t="str">
        <f t="shared" si="28"/>
        <v>Medium sales</v>
      </c>
      <c r="J943" s="33" t="str">
        <f t="shared" si="29"/>
        <v>not eligible</v>
      </c>
    </row>
    <row r="944" spans="1:10" x14ac:dyDescent="0.35">
      <c r="A944" s="31">
        <v>45569.381249999999</v>
      </c>
      <c r="B944" s="32">
        <v>0.9787499999999999</v>
      </c>
      <c r="C944" s="33" t="s">
        <v>14</v>
      </c>
      <c r="D944" s="33" t="s">
        <v>27</v>
      </c>
      <c r="E944" s="34">
        <v>213.89</v>
      </c>
      <c r="F944" s="33">
        <v>5</v>
      </c>
      <c r="G944" s="34">
        <v>1069.45</v>
      </c>
      <c r="H944" s="33" t="s">
        <v>60</v>
      </c>
      <c r="I944" s="33" t="str">
        <f t="shared" si="28"/>
        <v>Medium sales</v>
      </c>
      <c r="J944" s="33" t="str">
        <f t="shared" si="29"/>
        <v>not eligible</v>
      </c>
    </row>
    <row r="945" spans="1:10" x14ac:dyDescent="0.35">
      <c r="A945" s="31">
        <v>45008.843055555553</v>
      </c>
      <c r="B945" s="32">
        <v>0.39847222222222217</v>
      </c>
      <c r="C945" s="33" t="s">
        <v>8</v>
      </c>
      <c r="D945" s="33" t="s">
        <v>12</v>
      </c>
      <c r="E945" s="34">
        <v>259.94</v>
      </c>
      <c r="F945" s="33">
        <v>3</v>
      </c>
      <c r="G945" s="34">
        <v>779.82</v>
      </c>
      <c r="H945" s="33" t="s">
        <v>54</v>
      </c>
      <c r="I945" s="33" t="str">
        <f t="shared" si="28"/>
        <v>Medium sales</v>
      </c>
      <c r="J945" s="33" t="str">
        <f t="shared" si="29"/>
        <v>not eligible</v>
      </c>
    </row>
    <row r="946" spans="1:10" x14ac:dyDescent="0.35">
      <c r="A946" s="31">
        <v>45220.26666666667</v>
      </c>
      <c r="B946" s="32">
        <v>0.73430555555555566</v>
      </c>
      <c r="C946" s="33" t="s">
        <v>14</v>
      </c>
      <c r="D946" s="33" t="s">
        <v>9</v>
      </c>
      <c r="E946" s="34">
        <v>437.05</v>
      </c>
      <c r="F946" s="33">
        <v>5</v>
      </c>
      <c r="G946" s="34">
        <v>2185.25</v>
      </c>
      <c r="H946" s="33" t="s">
        <v>19</v>
      </c>
      <c r="I946" s="33" t="str">
        <f t="shared" si="28"/>
        <v>High sales</v>
      </c>
      <c r="J946" s="33" t="str">
        <f t="shared" si="29"/>
        <v>not eligible</v>
      </c>
    </row>
    <row r="947" spans="1:10" x14ac:dyDescent="0.35">
      <c r="A947" s="31">
        <v>45213.588194444441</v>
      </c>
      <c r="B947" s="32">
        <v>0.50722222222222224</v>
      </c>
      <c r="C947" s="33" t="s">
        <v>8</v>
      </c>
      <c r="D947" s="33" t="s">
        <v>16</v>
      </c>
      <c r="E947" s="34">
        <v>143.66</v>
      </c>
      <c r="F947" s="33">
        <v>5</v>
      </c>
      <c r="G947" s="34">
        <v>718.3</v>
      </c>
      <c r="H947" s="33" t="s">
        <v>280</v>
      </c>
      <c r="I947" s="33" t="str">
        <f t="shared" si="28"/>
        <v>Medium sales</v>
      </c>
      <c r="J947" s="33" t="str">
        <f t="shared" si="29"/>
        <v>not eligible</v>
      </c>
    </row>
    <row r="948" spans="1:10" x14ac:dyDescent="0.35">
      <c r="A948" s="31">
        <v>45633.145138888889</v>
      </c>
      <c r="B948" s="32">
        <v>0.64388888888888884</v>
      </c>
      <c r="C948" s="33" t="s">
        <v>11</v>
      </c>
      <c r="D948" s="33" t="s">
        <v>27</v>
      </c>
      <c r="E948" s="34">
        <v>150.66999999999999</v>
      </c>
      <c r="F948" s="33">
        <v>3</v>
      </c>
      <c r="G948" s="34">
        <v>452.01</v>
      </c>
      <c r="H948" s="33" t="s">
        <v>375</v>
      </c>
      <c r="I948" s="33" t="str">
        <f t="shared" si="28"/>
        <v>Low sales</v>
      </c>
      <c r="J948" s="33" t="str">
        <f t="shared" si="29"/>
        <v>not eligible</v>
      </c>
    </row>
    <row r="949" spans="1:10" x14ac:dyDescent="0.35">
      <c r="A949" s="31">
        <v>45146.340277777781</v>
      </c>
      <c r="B949" s="32">
        <v>0.80684027777777778</v>
      </c>
      <c r="C949" s="33" t="s">
        <v>14</v>
      </c>
      <c r="D949" s="33" t="s">
        <v>20</v>
      </c>
      <c r="E949" s="34">
        <v>404.35</v>
      </c>
      <c r="F949" s="33">
        <v>4</v>
      </c>
      <c r="G949" s="34">
        <v>1617.4</v>
      </c>
      <c r="H949" s="33" t="s">
        <v>18</v>
      </c>
      <c r="I949" s="33" t="str">
        <f t="shared" si="28"/>
        <v>High sales</v>
      </c>
      <c r="J949" s="33" t="str">
        <f t="shared" si="29"/>
        <v>not eligible</v>
      </c>
    </row>
    <row r="950" spans="1:10" x14ac:dyDescent="0.35">
      <c r="A950" s="31">
        <v>45323.502083333333</v>
      </c>
      <c r="B950" s="32">
        <v>0.82547453703703699</v>
      </c>
      <c r="C950" s="33" t="s">
        <v>14</v>
      </c>
      <c r="D950" s="33" t="s">
        <v>9</v>
      </c>
      <c r="E950" s="34">
        <v>419.84</v>
      </c>
      <c r="F950" s="33">
        <v>3</v>
      </c>
      <c r="G950" s="34">
        <v>1259.52</v>
      </c>
      <c r="H950" s="33" t="s">
        <v>127</v>
      </c>
      <c r="I950" s="33" t="str">
        <f t="shared" si="28"/>
        <v>Medium sales</v>
      </c>
      <c r="J950" s="33" t="str">
        <f t="shared" si="29"/>
        <v>not eligible</v>
      </c>
    </row>
    <row r="951" spans="1:10" x14ac:dyDescent="0.35">
      <c r="A951" s="31">
        <v>45233.615277777775</v>
      </c>
      <c r="B951" s="32">
        <v>0.45615740740740746</v>
      </c>
      <c r="C951" s="33" t="s">
        <v>8</v>
      </c>
      <c r="D951" s="33" t="s">
        <v>12</v>
      </c>
      <c r="E951" s="34">
        <v>374.53</v>
      </c>
      <c r="F951" s="33">
        <v>1</v>
      </c>
      <c r="G951" s="34">
        <v>374.53</v>
      </c>
      <c r="H951" s="33" t="s">
        <v>310</v>
      </c>
      <c r="I951" s="33" t="str">
        <f t="shared" si="28"/>
        <v>Low sales</v>
      </c>
      <c r="J951" s="33" t="str">
        <f t="shared" si="29"/>
        <v>not eligible</v>
      </c>
    </row>
    <row r="952" spans="1:10" x14ac:dyDescent="0.35">
      <c r="A952" s="31">
        <v>45577.001388888886</v>
      </c>
      <c r="B952" s="32">
        <v>0.12215277777777778</v>
      </c>
      <c r="C952" s="33" t="s">
        <v>11</v>
      </c>
      <c r="D952" s="33" t="s">
        <v>16</v>
      </c>
      <c r="E952" s="34">
        <v>358.87</v>
      </c>
      <c r="F952" s="33">
        <v>4</v>
      </c>
      <c r="G952" s="34">
        <v>1435.48</v>
      </c>
      <c r="H952" s="33" t="s">
        <v>49</v>
      </c>
      <c r="I952" s="33" t="str">
        <f t="shared" si="28"/>
        <v>Medium sales</v>
      </c>
      <c r="J952" s="33" t="str">
        <f t="shared" si="29"/>
        <v>eligible</v>
      </c>
    </row>
    <row r="953" spans="1:10" x14ac:dyDescent="0.35">
      <c r="A953" s="31">
        <v>45637.206250000003</v>
      </c>
      <c r="B953" s="32">
        <v>0.5999768518518519</v>
      </c>
      <c r="C953" s="33" t="s">
        <v>14</v>
      </c>
      <c r="D953" s="33" t="s">
        <v>9</v>
      </c>
      <c r="E953" s="34">
        <v>457.22</v>
      </c>
      <c r="F953" s="33">
        <v>4</v>
      </c>
      <c r="G953" s="34">
        <v>1828.88</v>
      </c>
      <c r="H953" s="33" t="s">
        <v>24</v>
      </c>
      <c r="I953" s="33" t="str">
        <f t="shared" si="28"/>
        <v>High sales</v>
      </c>
      <c r="J953" s="33" t="str">
        <f t="shared" si="29"/>
        <v>not eligible</v>
      </c>
    </row>
    <row r="954" spans="1:10" x14ac:dyDescent="0.35">
      <c r="A954" s="31">
        <v>45382.400694444441</v>
      </c>
      <c r="B954" s="32">
        <v>0.58011574074074079</v>
      </c>
      <c r="C954" s="33" t="s">
        <v>8</v>
      </c>
      <c r="D954" s="33" t="s">
        <v>9</v>
      </c>
      <c r="E954" s="34">
        <v>453.63</v>
      </c>
      <c r="F954" s="33">
        <v>3</v>
      </c>
      <c r="G954" s="34">
        <v>1360.89</v>
      </c>
      <c r="H954" s="33" t="s">
        <v>142</v>
      </c>
      <c r="I954" s="33" t="str">
        <f t="shared" si="28"/>
        <v>Medium sales</v>
      </c>
      <c r="J954" s="33" t="str">
        <f t="shared" si="29"/>
        <v>not eligible</v>
      </c>
    </row>
    <row r="955" spans="1:10" x14ac:dyDescent="0.35">
      <c r="A955" s="31">
        <v>45044.224999999999</v>
      </c>
      <c r="B955" s="32">
        <v>0.62263888888888885</v>
      </c>
      <c r="C955" s="33" t="s">
        <v>8</v>
      </c>
      <c r="D955" s="33" t="s">
        <v>20</v>
      </c>
      <c r="E955" s="34">
        <v>458.32</v>
      </c>
      <c r="F955" s="33">
        <v>1</v>
      </c>
      <c r="G955" s="34">
        <v>458.32</v>
      </c>
      <c r="H955" s="33" t="s">
        <v>57</v>
      </c>
      <c r="I955" s="33" t="str">
        <f t="shared" si="28"/>
        <v>Low sales</v>
      </c>
      <c r="J955" s="33" t="str">
        <f t="shared" si="29"/>
        <v>not eligible</v>
      </c>
    </row>
    <row r="956" spans="1:10" x14ac:dyDescent="0.35">
      <c r="A956" s="31">
        <v>45634.597916666666</v>
      </c>
      <c r="B956" s="32">
        <v>0.25475694444444447</v>
      </c>
      <c r="C956" s="33" t="s">
        <v>14</v>
      </c>
      <c r="D956" s="33" t="s">
        <v>16</v>
      </c>
      <c r="E956" s="34">
        <v>345.19</v>
      </c>
      <c r="F956" s="33">
        <v>2</v>
      </c>
      <c r="G956" s="34">
        <v>690.38</v>
      </c>
      <c r="H956" s="33" t="s">
        <v>374</v>
      </c>
      <c r="I956" s="33" t="str">
        <f t="shared" si="28"/>
        <v>Medium sales</v>
      </c>
      <c r="J956" s="33" t="str">
        <f t="shared" si="29"/>
        <v>not eligible</v>
      </c>
    </row>
    <row r="957" spans="1:10" x14ac:dyDescent="0.35">
      <c r="A957" s="31">
        <v>45089.120138888888</v>
      </c>
      <c r="B957" s="32">
        <v>9.2986111111111103E-2</v>
      </c>
      <c r="C957" s="33" t="s">
        <v>11</v>
      </c>
      <c r="D957" s="33" t="s">
        <v>16</v>
      </c>
      <c r="E957" s="34">
        <v>339.71</v>
      </c>
      <c r="F957" s="33">
        <v>3</v>
      </c>
      <c r="G957" s="34">
        <v>1019.13</v>
      </c>
      <c r="H957" s="33" t="s">
        <v>298</v>
      </c>
      <c r="I957" s="33" t="str">
        <f t="shared" si="28"/>
        <v>Medium sales</v>
      </c>
      <c r="J957" s="33" t="str">
        <f t="shared" si="29"/>
        <v>eligible</v>
      </c>
    </row>
    <row r="958" spans="1:10" x14ac:dyDescent="0.35">
      <c r="A958" s="31">
        <v>45049.617361111108</v>
      </c>
      <c r="B958" s="32">
        <v>0.7155555555555555</v>
      </c>
      <c r="C958" s="33" t="s">
        <v>8</v>
      </c>
      <c r="D958" s="33" t="s">
        <v>16</v>
      </c>
      <c r="E958" s="34">
        <v>385.17</v>
      </c>
      <c r="F958" s="33">
        <v>5</v>
      </c>
      <c r="G958" s="34">
        <v>1925.85</v>
      </c>
      <c r="H958" s="33" t="s">
        <v>22</v>
      </c>
      <c r="I958" s="33" t="str">
        <f t="shared" si="28"/>
        <v>High sales</v>
      </c>
      <c r="J958" s="33" t="str">
        <f t="shared" si="29"/>
        <v>not eligible</v>
      </c>
    </row>
    <row r="959" spans="1:10" x14ac:dyDescent="0.35">
      <c r="A959" s="31">
        <v>45609.537499999999</v>
      </c>
      <c r="B959" s="32">
        <v>0.68582175925925926</v>
      </c>
      <c r="C959" s="33" t="s">
        <v>11</v>
      </c>
      <c r="D959" s="33" t="s">
        <v>20</v>
      </c>
      <c r="E959" s="34">
        <v>219</v>
      </c>
      <c r="F959" s="33">
        <v>3</v>
      </c>
      <c r="G959" s="34">
        <v>657</v>
      </c>
      <c r="H959" s="33" t="s">
        <v>161</v>
      </c>
      <c r="I959" s="33" t="str">
        <f t="shared" si="28"/>
        <v>Medium sales</v>
      </c>
      <c r="J959" s="33" t="str">
        <f t="shared" si="29"/>
        <v>not eligible</v>
      </c>
    </row>
    <row r="960" spans="1:10" x14ac:dyDescent="0.35">
      <c r="A960" s="31">
        <v>45215.510416666664</v>
      </c>
      <c r="B960" s="32">
        <v>0.95833333333333337</v>
      </c>
      <c r="C960" s="33" t="s">
        <v>8</v>
      </c>
      <c r="D960" s="33" t="s">
        <v>20</v>
      </c>
      <c r="E960" s="34">
        <v>489.08</v>
      </c>
      <c r="F960" s="33">
        <v>3</v>
      </c>
      <c r="G960" s="34">
        <v>1467.24</v>
      </c>
      <c r="H960" s="33" t="s">
        <v>291</v>
      </c>
      <c r="I960" s="33" t="str">
        <f t="shared" si="28"/>
        <v>Medium sales</v>
      </c>
      <c r="J960" s="33" t="str">
        <f t="shared" si="29"/>
        <v>not eligible</v>
      </c>
    </row>
    <row r="961" spans="1:10" x14ac:dyDescent="0.35">
      <c r="A961" s="31">
        <v>45106.760416666664</v>
      </c>
      <c r="B961" s="32">
        <v>0.48003472222222227</v>
      </c>
      <c r="C961" s="33" t="s">
        <v>14</v>
      </c>
      <c r="D961" s="33" t="s">
        <v>16</v>
      </c>
      <c r="E961" s="34">
        <v>57.72</v>
      </c>
      <c r="F961" s="33">
        <v>5</v>
      </c>
      <c r="G961" s="34">
        <v>288.60000000000002</v>
      </c>
      <c r="H961" s="33" t="s">
        <v>198</v>
      </c>
      <c r="I961" s="33" t="str">
        <f t="shared" si="28"/>
        <v>Low sales</v>
      </c>
      <c r="J961" s="33" t="str">
        <f t="shared" si="29"/>
        <v>not eligible</v>
      </c>
    </row>
    <row r="962" spans="1:10" x14ac:dyDescent="0.35">
      <c r="A962" s="31">
        <v>45379.654861111114</v>
      </c>
      <c r="B962" s="32">
        <v>0.56537037037037041</v>
      </c>
      <c r="C962" s="33" t="s">
        <v>14</v>
      </c>
      <c r="D962" s="33" t="s">
        <v>9</v>
      </c>
      <c r="E962" s="34">
        <v>410.55</v>
      </c>
      <c r="F962" s="33">
        <v>5</v>
      </c>
      <c r="G962" s="34">
        <v>2052.75</v>
      </c>
      <c r="H962" s="33" t="s">
        <v>300</v>
      </c>
      <c r="I962" s="33" t="str">
        <f t="shared" si="28"/>
        <v>High sales</v>
      </c>
      <c r="J962" s="33" t="str">
        <f t="shared" si="29"/>
        <v>not eligible</v>
      </c>
    </row>
    <row r="963" spans="1:10" x14ac:dyDescent="0.35">
      <c r="A963" s="31">
        <v>45294.881944444445</v>
      </c>
      <c r="B963" s="32">
        <v>0.60015046296296293</v>
      </c>
      <c r="C963" s="33" t="s">
        <v>8</v>
      </c>
      <c r="D963" s="33" t="s">
        <v>16</v>
      </c>
      <c r="E963" s="34">
        <v>27.55</v>
      </c>
      <c r="F963" s="33">
        <v>5</v>
      </c>
      <c r="G963" s="34">
        <v>137.75</v>
      </c>
      <c r="H963" s="33" t="s">
        <v>229</v>
      </c>
      <c r="I963" s="33" t="str">
        <f t="shared" ref="I963:I1026" si="30">IF(G963&gt;1500,"High sales", IF(G963&gt;500,"Medium sales", "Low sales"))</f>
        <v>Low sales</v>
      </c>
      <c r="J963" s="33" t="str">
        <f t="shared" ref="J963:J1026" si="31">IF(AND(G963&gt;1000,C963="Premium"), "eligible", "not eligible")</f>
        <v>not eligible</v>
      </c>
    </row>
    <row r="964" spans="1:10" x14ac:dyDescent="0.35">
      <c r="A964" s="31">
        <v>45272.145833333336</v>
      </c>
      <c r="B964" s="32">
        <v>0.47140046296296295</v>
      </c>
      <c r="C964" s="33" t="s">
        <v>8</v>
      </c>
      <c r="D964" s="33" t="s">
        <v>20</v>
      </c>
      <c r="E964" s="34">
        <v>252.93</v>
      </c>
      <c r="F964" s="33">
        <v>3</v>
      </c>
      <c r="G964" s="34">
        <v>758.79</v>
      </c>
      <c r="H964" s="33" t="s">
        <v>118</v>
      </c>
      <c r="I964" s="33" t="str">
        <f t="shared" si="30"/>
        <v>Medium sales</v>
      </c>
      <c r="J964" s="33" t="str">
        <f t="shared" si="31"/>
        <v>not eligible</v>
      </c>
    </row>
    <row r="965" spans="1:10" x14ac:dyDescent="0.35">
      <c r="A965" s="31">
        <v>45261.870138888888</v>
      </c>
      <c r="B965" s="32">
        <v>5.151620370370371E-2</v>
      </c>
      <c r="C965" s="33" t="s">
        <v>14</v>
      </c>
      <c r="D965" s="33" t="s">
        <v>9</v>
      </c>
      <c r="E965" s="34">
        <v>381.94</v>
      </c>
      <c r="F965" s="33">
        <v>5</v>
      </c>
      <c r="G965" s="34">
        <v>1909.7</v>
      </c>
      <c r="H965" s="33" t="s">
        <v>261</v>
      </c>
      <c r="I965" s="33" t="str">
        <f t="shared" si="30"/>
        <v>High sales</v>
      </c>
      <c r="J965" s="33" t="str">
        <f t="shared" si="31"/>
        <v>not eligible</v>
      </c>
    </row>
    <row r="966" spans="1:10" x14ac:dyDescent="0.35">
      <c r="A966" s="31">
        <v>45514.289583333331</v>
      </c>
      <c r="B966" s="32">
        <v>0.31754629629629633</v>
      </c>
      <c r="C966" s="33" t="s">
        <v>11</v>
      </c>
      <c r="D966" s="33" t="s">
        <v>16</v>
      </c>
      <c r="E966" s="34">
        <v>398.86</v>
      </c>
      <c r="F966" s="33">
        <v>5</v>
      </c>
      <c r="G966" s="34">
        <v>1994.3</v>
      </c>
      <c r="H966" s="33" t="s">
        <v>225</v>
      </c>
      <c r="I966" s="33" t="str">
        <f t="shared" si="30"/>
        <v>High sales</v>
      </c>
      <c r="J966" s="33" t="str">
        <f t="shared" si="31"/>
        <v>eligible</v>
      </c>
    </row>
    <row r="967" spans="1:10" x14ac:dyDescent="0.35">
      <c r="A967" s="31">
        <v>45149.966666666667</v>
      </c>
      <c r="B967" s="32">
        <v>0.44247685185185182</v>
      </c>
      <c r="C967" s="33" t="s">
        <v>14</v>
      </c>
      <c r="D967" s="33" t="s">
        <v>16</v>
      </c>
      <c r="E967" s="34">
        <v>172.17</v>
      </c>
      <c r="F967" s="33">
        <v>5</v>
      </c>
      <c r="G967" s="34">
        <v>860.85</v>
      </c>
      <c r="H967" s="33" t="s">
        <v>100</v>
      </c>
      <c r="I967" s="33" t="str">
        <f t="shared" si="30"/>
        <v>Medium sales</v>
      </c>
      <c r="J967" s="33" t="str">
        <f t="shared" si="31"/>
        <v>not eligible</v>
      </c>
    </row>
    <row r="968" spans="1:10" x14ac:dyDescent="0.35">
      <c r="A968" s="31">
        <v>45350.706944444442</v>
      </c>
      <c r="B968" s="32">
        <v>0.35668981481481482</v>
      </c>
      <c r="C968" s="33" t="s">
        <v>14</v>
      </c>
      <c r="D968" s="33" t="s">
        <v>27</v>
      </c>
      <c r="E968" s="34">
        <v>476.55</v>
      </c>
      <c r="F968" s="33">
        <v>3</v>
      </c>
      <c r="G968" s="34">
        <v>1429.65</v>
      </c>
      <c r="H968" s="33" t="s">
        <v>290</v>
      </c>
      <c r="I968" s="33" t="str">
        <f t="shared" si="30"/>
        <v>Medium sales</v>
      </c>
      <c r="J968" s="33" t="str">
        <f t="shared" si="31"/>
        <v>not eligible</v>
      </c>
    </row>
    <row r="969" spans="1:10" x14ac:dyDescent="0.35">
      <c r="A969" s="31">
        <v>45116.512499999997</v>
      </c>
      <c r="B969" s="32">
        <v>7.6585648148148153E-2</v>
      </c>
      <c r="C969" s="33" t="s">
        <v>8</v>
      </c>
      <c r="D969" s="33" t="s">
        <v>12</v>
      </c>
      <c r="E969" s="34">
        <v>274.20999999999998</v>
      </c>
      <c r="F969" s="33">
        <v>3</v>
      </c>
      <c r="G969" s="34">
        <v>822.63</v>
      </c>
      <c r="H969" s="33" t="s">
        <v>45</v>
      </c>
      <c r="I969" s="33" t="str">
        <f t="shared" si="30"/>
        <v>Medium sales</v>
      </c>
      <c r="J969" s="33" t="str">
        <f t="shared" si="31"/>
        <v>not eligible</v>
      </c>
    </row>
    <row r="970" spans="1:10" x14ac:dyDescent="0.35">
      <c r="A970" s="31">
        <v>45226.161805555559</v>
      </c>
      <c r="B970" s="32">
        <v>0.84475694444444438</v>
      </c>
      <c r="C970" s="33" t="s">
        <v>11</v>
      </c>
      <c r="D970" s="33" t="s">
        <v>27</v>
      </c>
      <c r="E970" s="34">
        <v>82.36</v>
      </c>
      <c r="F970" s="33">
        <v>5</v>
      </c>
      <c r="G970" s="34">
        <v>411.8</v>
      </c>
      <c r="H970" s="33" t="s">
        <v>327</v>
      </c>
      <c r="I970" s="33" t="str">
        <f t="shared" si="30"/>
        <v>Low sales</v>
      </c>
      <c r="J970" s="33" t="str">
        <f t="shared" si="31"/>
        <v>not eligible</v>
      </c>
    </row>
    <row r="971" spans="1:10" x14ac:dyDescent="0.35">
      <c r="A971" s="31">
        <v>45021.100694444445</v>
      </c>
      <c r="B971" s="32">
        <v>0.6404050925925926</v>
      </c>
      <c r="C971" s="33" t="s">
        <v>11</v>
      </c>
      <c r="D971" s="33" t="s">
        <v>16</v>
      </c>
      <c r="E971" s="34">
        <v>183.4</v>
      </c>
      <c r="F971" s="33">
        <v>5</v>
      </c>
      <c r="G971" s="34">
        <v>917</v>
      </c>
      <c r="H971" s="33" t="s">
        <v>227</v>
      </c>
      <c r="I971" s="33" t="str">
        <f t="shared" si="30"/>
        <v>Medium sales</v>
      </c>
      <c r="J971" s="33" t="str">
        <f t="shared" si="31"/>
        <v>not eligible</v>
      </c>
    </row>
    <row r="972" spans="1:10" x14ac:dyDescent="0.35">
      <c r="A972" s="31">
        <v>45443.23541666667</v>
      </c>
      <c r="B972" s="32">
        <v>0.18684027777777779</v>
      </c>
      <c r="C972" s="33" t="s">
        <v>11</v>
      </c>
      <c r="D972" s="33" t="s">
        <v>20</v>
      </c>
      <c r="E972" s="34">
        <v>432.68</v>
      </c>
      <c r="F972" s="33">
        <v>2</v>
      </c>
      <c r="G972" s="34">
        <v>865.36</v>
      </c>
      <c r="H972" s="33" t="s">
        <v>244</v>
      </c>
      <c r="I972" s="33" t="str">
        <f t="shared" si="30"/>
        <v>Medium sales</v>
      </c>
      <c r="J972" s="33" t="str">
        <f t="shared" si="31"/>
        <v>not eligible</v>
      </c>
    </row>
    <row r="973" spans="1:10" x14ac:dyDescent="0.35">
      <c r="A973" s="31">
        <v>45486.560416666667</v>
      </c>
      <c r="B973" s="32">
        <v>0.76143518518518516</v>
      </c>
      <c r="C973" s="33" t="s">
        <v>14</v>
      </c>
      <c r="D973" s="33" t="s">
        <v>27</v>
      </c>
      <c r="E973" s="34">
        <v>451.22</v>
      </c>
      <c r="F973" s="33">
        <v>1</v>
      </c>
      <c r="G973" s="34">
        <v>451.22</v>
      </c>
      <c r="H973" s="33" t="s">
        <v>366</v>
      </c>
      <c r="I973" s="33" t="str">
        <f t="shared" si="30"/>
        <v>Low sales</v>
      </c>
      <c r="J973" s="33" t="str">
        <f t="shared" si="31"/>
        <v>not eligible</v>
      </c>
    </row>
    <row r="974" spans="1:10" x14ac:dyDescent="0.35">
      <c r="A974" s="31">
        <v>45486.314583333333</v>
      </c>
      <c r="B974" s="32">
        <v>0.53359953703703711</v>
      </c>
      <c r="C974" s="33" t="s">
        <v>8</v>
      </c>
      <c r="D974" s="33" t="s">
        <v>16</v>
      </c>
      <c r="E974" s="34">
        <v>80.62</v>
      </c>
      <c r="F974" s="33">
        <v>2</v>
      </c>
      <c r="G974" s="34">
        <v>161.24</v>
      </c>
      <c r="H974" s="33" t="s">
        <v>21</v>
      </c>
      <c r="I974" s="33" t="str">
        <f t="shared" si="30"/>
        <v>Low sales</v>
      </c>
      <c r="J974" s="33" t="str">
        <f t="shared" si="31"/>
        <v>not eligible</v>
      </c>
    </row>
    <row r="975" spans="1:10" x14ac:dyDescent="0.35">
      <c r="A975" s="31">
        <v>45275.338194444441</v>
      </c>
      <c r="B975" s="32">
        <v>0.39700231481481479</v>
      </c>
      <c r="C975" s="33" t="s">
        <v>11</v>
      </c>
      <c r="D975" s="33" t="s">
        <v>9</v>
      </c>
      <c r="E975" s="34">
        <v>106.95</v>
      </c>
      <c r="F975" s="33">
        <v>4</v>
      </c>
      <c r="G975" s="34">
        <v>427.8</v>
      </c>
      <c r="H975" s="33" t="s">
        <v>71</v>
      </c>
      <c r="I975" s="33" t="str">
        <f t="shared" si="30"/>
        <v>Low sales</v>
      </c>
      <c r="J975" s="33" t="str">
        <f t="shared" si="31"/>
        <v>not eligible</v>
      </c>
    </row>
    <row r="976" spans="1:10" x14ac:dyDescent="0.35">
      <c r="A976" s="31">
        <v>45010.600694444445</v>
      </c>
      <c r="B976" s="32">
        <v>0.78501157407407407</v>
      </c>
      <c r="C976" s="33" t="s">
        <v>11</v>
      </c>
      <c r="D976" s="33" t="s">
        <v>16</v>
      </c>
      <c r="E976" s="34">
        <v>259.77999999999997</v>
      </c>
      <c r="F976" s="33">
        <v>5</v>
      </c>
      <c r="G976" s="34">
        <v>1298.9000000000001</v>
      </c>
      <c r="H976" s="33" t="s">
        <v>153</v>
      </c>
      <c r="I976" s="33" t="str">
        <f t="shared" si="30"/>
        <v>Medium sales</v>
      </c>
      <c r="J976" s="33" t="str">
        <f t="shared" si="31"/>
        <v>eligible</v>
      </c>
    </row>
    <row r="977" spans="1:10" x14ac:dyDescent="0.35">
      <c r="A977" s="31">
        <v>45062.347222222219</v>
      </c>
      <c r="B977" s="32">
        <v>0.88217592592592586</v>
      </c>
      <c r="C977" s="33" t="s">
        <v>11</v>
      </c>
      <c r="D977" s="33" t="s">
        <v>16</v>
      </c>
      <c r="E977" s="34">
        <v>326.81</v>
      </c>
      <c r="F977" s="33">
        <v>5</v>
      </c>
      <c r="G977" s="34">
        <v>1634.05</v>
      </c>
      <c r="H977" s="33" t="s">
        <v>46</v>
      </c>
      <c r="I977" s="33" t="str">
        <f t="shared" si="30"/>
        <v>High sales</v>
      </c>
      <c r="J977" s="33" t="str">
        <f t="shared" si="31"/>
        <v>eligible</v>
      </c>
    </row>
    <row r="978" spans="1:10" x14ac:dyDescent="0.35">
      <c r="A978" s="31">
        <v>45195.212500000001</v>
      </c>
      <c r="B978" s="32">
        <v>0.57372685185185179</v>
      </c>
      <c r="C978" s="33" t="s">
        <v>8</v>
      </c>
      <c r="D978" s="33" t="s">
        <v>12</v>
      </c>
      <c r="E978" s="34">
        <v>197.84</v>
      </c>
      <c r="F978" s="33">
        <v>1</v>
      </c>
      <c r="G978" s="34">
        <v>197.84</v>
      </c>
      <c r="H978" s="33" t="s">
        <v>289</v>
      </c>
      <c r="I978" s="33" t="str">
        <f t="shared" si="30"/>
        <v>Low sales</v>
      </c>
      <c r="J978" s="33" t="str">
        <f t="shared" si="31"/>
        <v>not eligible</v>
      </c>
    </row>
    <row r="979" spans="1:10" x14ac:dyDescent="0.35">
      <c r="A979" s="31">
        <v>45529.839583333334</v>
      </c>
      <c r="B979" s="32">
        <v>0.79620370370370364</v>
      </c>
      <c r="C979" s="33" t="s">
        <v>14</v>
      </c>
      <c r="D979" s="33" t="s">
        <v>16</v>
      </c>
      <c r="E979" s="34">
        <v>110.97</v>
      </c>
      <c r="F979" s="33">
        <v>4</v>
      </c>
      <c r="G979" s="34">
        <v>443.88</v>
      </c>
      <c r="H979" s="33" t="s">
        <v>106</v>
      </c>
      <c r="I979" s="33" t="str">
        <f t="shared" si="30"/>
        <v>Low sales</v>
      </c>
      <c r="J979" s="33" t="str">
        <f t="shared" si="31"/>
        <v>not eligible</v>
      </c>
    </row>
    <row r="980" spans="1:10" x14ac:dyDescent="0.35">
      <c r="A980" s="31">
        <v>45552.918749999997</v>
      </c>
      <c r="B980" s="32">
        <v>0.74842592592592594</v>
      </c>
      <c r="C980" s="33" t="s">
        <v>11</v>
      </c>
      <c r="D980" s="33" t="s">
        <v>16</v>
      </c>
      <c r="E980" s="34">
        <v>74.260000000000005</v>
      </c>
      <c r="F980" s="33">
        <v>4</v>
      </c>
      <c r="G980" s="34">
        <v>297.04000000000002</v>
      </c>
      <c r="H980" s="33" t="s">
        <v>322</v>
      </c>
      <c r="I980" s="33" t="str">
        <f t="shared" si="30"/>
        <v>Low sales</v>
      </c>
      <c r="J980" s="33" t="str">
        <f t="shared" si="31"/>
        <v>not eligible</v>
      </c>
    </row>
    <row r="981" spans="1:10" x14ac:dyDescent="0.35">
      <c r="A981" s="31">
        <v>45412.366666666669</v>
      </c>
      <c r="B981" s="32">
        <v>0.42054398148148148</v>
      </c>
      <c r="C981" s="33" t="s">
        <v>14</v>
      </c>
      <c r="D981" s="33" t="s">
        <v>27</v>
      </c>
      <c r="E981" s="34">
        <v>434.1</v>
      </c>
      <c r="F981" s="33">
        <v>5</v>
      </c>
      <c r="G981" s="34">
        <v>2170.5</v>
      </c>
      <c r="H981" s="33" t="s">
        <v>115</v>
      </c>
      <c r="I981" s="33" t="str">
        <f t="shared" si="30"/>
        <v>High sales</v>
      </c>
      <c r="J981" s="33" t="str">
        <f t="shared" si="31"/>
        <v>not eligible</v>
      </c>
    </row>
    <row r="982" spans="1:10" x14ac:dyDescent="0.35">
      <c r="A982" s="31">
        <v>45150.87222222222</v>
      </c>
      <c r="B982" s="32">
        <v>0.1917824074074074</v>
      </c>
      <c r="C982" s="33" t="s">
        <v>11</v>
      </c>
      <c r="D982" s="33" t="s">
        <v>27</v>
      </c>
      <c r="E982" s="34">
        <v>468.77</v>
      </c>
      <c r="F982" s="33">
        <v>1</v>
      </c>
      <c r="G982" s="34">
        <v>468.77</v>
      </c>
      <c r="H982" s="33" t="s">
        <v>339</v>
      </c>
      <c r="I982" s="33" t="str">
        <f t="shared" si="30"/>
        <v>Low sales</v>
      </c>
      <c r="J982" s="33" t="str">
        <f t="shared" si="31"/>
        <v>not eligible</v>
      </c>
    </row>
    <row r="983" spans="1:10" x14ac:dyDescent="0.35">
      <c r="A983" s="31">
        <v>45596.855555555558</v>
      </c>
      <c r="B983" s="32">
        <v>0.90415509259259252</v>
      </c>
      <c r="C983" s="33" t="s">
        <v>8</v>
      </c>
      <c r="D983" s="33" t="s">
        <v>16</v>
      </c>
      <c r="E983" s="34">
        <v>149.52000000000001</v>
      </c>
      <c r="F983" s="33">
        <v>2</v>
      </c>
      <c r="G983" s="34">
        <v>299.04000000000002</v>
      </c>
      <c r="H983" s="33" t="s">
        <v>292</v>
      </c>
      <c r="I983" s="33" t="str">
        <f t="shared" si="30"/>
        <v>Low sales</v>
      </c>
      <c r="J983" s="33" t="str">
        <f t="shared" si="31"/>
        <v>not eligible</v>
      </c>
    </row>
    <row r="984" spans="1:10" x14ac:dyDescent="0.35">
      <c r="A984" s="31">
        <v>45313.048611111109</v>
      </c>
      <c r="B984" s="32">
        <v>0.77015046296296286</v>
      </c>
      <c r="C984" s="33" t="s">
        <v>11</v>
      </c>
      <c r="D984" s="33" t="s">
        <v>9</v>
      </c>
      <c r="E984" s="34">
        <v>478.3</v>
      </c>
      <c r="F984" s="33">
        <v>5</v>
      </c>
      <c r="G984" s="34">
        <v>2391.5</v>
      </c>
      <c r="H984" s="33" t="s">
        <v>120</v>
      </c>
      <c r="I984" s="33" t="str">
        <f t="shared" si="30"/>
        <v>High sales</v>
      </c>
      <c r="J984" s="33" t="str">
        <f t="shared" si="31"/>
        <v>eligible</v>
      </c>
    </row>
    <row r="985" spans="1:10" x14ac:dyDescent="0.35">
      <c r="A985" s="31">
        <v>45248.458333333336</v>
      </c>
      <c r="B985" s="32">
        <v>0.41635416666666664</v>
      </c>
      <c r="C985" s="33" t="s">
        <v>8</v>
      </c>
      <c r="D985" s="33" t="s">
        <v>9</v>
      </c>
      <c r="E985" s="34">
        <v>129.96</v>
      </c>
      <c r="F985" s="33">
        <v>3</v>
      </c>
      <c r="G985" s="34">
        <v>389.88</v>
      </c>
      <c r="H985" s="33" t="s">
        <v>146</v>
      </c>
      <c r="I985" s="33" t="str">
        <f t="shared" si="30"/>
        <v>Low sales</v>
      </c>
      <c r="J985" s="33" t="str">
        <f t="shared" si="31"/>
        <v>not eligible</v>
      </c>
    </row>
    <row r="986" spans="1:10" x14ac:dyDescent="0.35">
      <c r="A986" s="31">
        <v>45601.159722222219</v>
      </c>
      <c r="B986" s="32">
        <v>0.56732638888888887</v>
      </c>
      <c r="C986" s="33" t="s">
        <v>14</v>
      </c>
      <c r="D986" s="33" t="s">
        <v>9</v>
      </c>
      <c r="E986" s="34">
        <v>160.02000000000001</v>
      </c>
      <c r="F986" s="33">
        <v>1</v>
      </c>
      <c r="G986" s="34">
        <v>160.02000000000001</v>
      </c>
      <c r="H986" s="33" t="s">
        <v>143</v>
      </c>
      <c r="I986" s="33" t="str">
        <f t="shared" si="30"/>
        <v>Low sales</v>
      </c>
      <c r="J986" s="33" t="str">
        <f t="shared" si="31"/>
        <v>not eligible</v>
      </c>
    </row>
    <row r="987" spans="1:10" x14ac:dyDescent="0.35">
      <c r="A987" s="31">
        <v>45074.885416666664</v>
      </c>
      <c r="B987" s="32">
        <v>0.47247685185185184</v>
      </c>
      <c r="C987" s="33" t="s">
        <v>11</v>
      </c>
      <c r="D987" s="33" t="s">
        <v>27</v>
      </c>
      <c r="E987" s="34">
        <v>169.78</v>
      </c>
      <c r="F987" s="33">
        <v>3</v>
      </c>
      <c r="G987" s="34">
        <v>509.34</v>
      </c>
      <c r="H987" s="33" t="s">
        <v>324</v>
      </c>
      <c r="I987" s="33" t="str">
        <f t="shared" si="30"/>
        <v>Medium sales</v>
      </c>
      <c r="J987" s="33" t="str">
        <f t="shared" si="31"/>
        <v>not eligible</v>
      </c>
    </row>
    <row r="988" spans="1:10" x14ac:dyDescent="0.35">
      <c r="A988" s="31">
        <v>45202.367361111108</v>
      </c>
      <c r="B988" s="32">
        <v>0.21100694444444446</v>
      </c>
      <c r="C988" s="33" t="s">
        <v>8</v>
      </c>
      <c r="D988" s="33" t="s">
        <v>16</v>
      </c>
      <c r="E988" s="34">
        <v>57.39</v>
      </c>
      <c r="F988" s="33">
        <v>1</v>
      </c>
      <c r="G988" s="34">
        <v>57.39</v>
      </c>
      <c r="H988" s="33" t="s">
        <v>148</v>
      </c>
      <c r="I988" s="33" t="str">
        <f t="shared" si="30"/>
        <v>Low sales</v>
      </c>
      <c r="J988" s="33" t="str">
        <f t="shared" si="31"/>
        <v>not eligible</v>
      </c>
    </row>
    <row r="989" spans="1:10" x14ac:dyDescent="0.35">
      <c r="A989" s="31">
        <v>44996.938888888886</v>
      </c>
      <c r="B989" s="32">
        <v>0.57650462962962956</v>
      </c>
      <c r="C989" s="33" t="s">
        <v>11</v>
      </c>
      <c r="D989" s="33" t="s">
        <v>16</v>
      </c>
      <c r="E989" s="34">
        <v>475.87</v>
      </c>
      <c r="F989" s="33">
        <v>2</v>
      </c>
      <c r="G989" s="34">
        <v>951.74</v>
      </c>
      <c r="H989" s="33" t="s">
        <v>242</v>
      </c>
      <c r="I989" s="33" t="str">
        <f t="shared" si="30"/>
        <v>Medium sales</v>
      </c>
      <c r="J989" s="33" t="str">
        <f t="shared" si="31"/>
        <v>not eligible</v>
      </c>
    </row>
    <row r="990" spans="1:10" x14ac:dyDescent="0.35">
      <c r="A990" s="31">
        <v>44972.044444444444</v>
      </c>
      <c r="B990" s="32">
        <v>0.99951388888888892</v>
      </c>
      <c r="C990" s="33" t="s">
        <v>11</v>
      </c>
      <c r="D990" s="33" t="s">
        <v>16</v>
      </c>
      <c r="E990" s="34">
        <v>58.93</v>
      </c>
      <c r="F990" s="33">
        <v>2</v>
      </c>
      <c r="G990" s="34">
        <v>117.86</v>
      </c>
      <c r="H990" s="33" t="s">
        <v>336</v>
      </c>
      <c r="I990" s="33" t="str">
        <f t="shared" si="30"/>
        <v>Low sales</v>
      </c>
      <c r="J990" s="33" t="str">
        <f t="shared" si="31"/>
        <v>not eligible</v>
      </c>
    </row>
    <row r="991" spans="1:10" x14ac:dyDescent="0.35">
      <c r="A991" s="31">
        <v>45368.681250000001</v>
      </c>
      <c r="B991" s="32">
        <v>0.91706018518518517</v>
      </c>
      <c r="C991" s="33" t="s">
        <v>14</v>
      </c>
      <c r="D991" s="33" t="s">
        <v>20</v>
      </c>
      <c r="E991" s="34">
        <v>369.86</v>
      </c>
      <c r="F991" s="33">
        <v>5</v>
      </c>
      <c r="G991" s="34">
        <v>1849.3</v>
      </c>
      <c r="H991" s="33" t="s">
        <v>52</v>
      </c>
      <c r="I991" s="33" t="str">
        <f t="shared" si="30"/>
        <v>High sales</v>
      </c>
      <c r="J991" s="33" t="str">
        <f t="shared" si="31"/>
        <v>not eligible</v>
      </c>
    </row>
    <row r="992" spans="1:10" x14ac:dyDescent="0.35">
      <c r="A992" s="31">
        <v>45295.850694444445</v>
      </c>
      <c r="B992" s="32">
        <v>0.81792824074074078</v>
      </c>
      <c r="C992" s="33" t="s">
        <v>14</v>
      </c>
      <c r="D992" s="33" t="s">
        <v>9</v>
      </c>
      <c r="E992" s="34">
        <v>173.18</v>
      </c>
      <c r="F992" s="33">
        <v>2</v>
      </c>
      <c r="G992" s="34">
        <v>346.36</v>
      </c>
      <c r="H992" s="33" t="s">
        <v>288</v>
      </c>
      <c r="I992" s="33" t="str">
        <f t="shared" si="30"/>
        <v>Low sales</v>
      </c>
      <c r="J992" s="33" t="str">
        <f t="shared" si="31"/>
        <v>not eligible</v>
      </c>
    </row>
    <row r="993" spans="1:10" x14ac:dyDescent="0.35">
      <c r="A993" s="31">
        <v>45324.177083333336</v>
      </c>
      <c r="B993" s="32">
        <v>0.95225694444444453</v>
      </c>
      <c r="C993" s="33" t="s">
        <v>8</v>
      </c>
      <c r="D993" s="33" t="s">
        <v>16</v>
      </c>
      <c r="E993" s="34">
        <v>389.53</v>
      </c>
      <c r="F993" s="33">
        <v>5</v>
      </c>
      <c r="G993" s="34">
        <v>1947.65</v>
      </c>
      <c r="H993" s="33" t="s">
        <v>376</v>
      </c>
      <c r="I993" s="33" t="str">
        <f t="shared" si="30"/>
        <v>High sales</v>
      </c>
      <c r="J993" s="33" t="str">
        <f t="shared" si="31"/>
        <v>not eligible</v>
      </c>
    </row>
    <row r="994" spans="1:10" x14ac:dyDescent="0.35">
      <c r="A994" s="31">
        <v>45115.227777777778</v>
      </c>
      <c r="B994" s="32">
        <v>0.65407407407407414</v>
      </c>
      <c r="C994" s="33" t="s">
        <v>14</v>
      </c>
      <c r="D994" s="33" t="s">
        <v>9</v>
      </c>
      <c r="E994" s="34">
        <v>33.08</v>
      </c>
      <c r="F994" s="33">
        <v>3</v>
      </c>
      <c r="G994" s="34">
        <v>99.24</v>
      </c>
      <c r="H994" s="33" t="s">
        <v>314</v>
      </c>
      <c r="I994" s="33" t="str">
        <f t="shared" si="30"/>
        <v>Low sales</v>
      </c>
      <c r="J994" s="33" t="str">
        <f t="shared" si="31"/>
        <v>not eligible</v>
      </c>
    </row>
    <row r="995" spans="1:10" x14ac:dyDescent="0.35">
      <c r="A995" s="31">
        <v>45059.904861111114</v>
      </c>
      <c r="B995" s="32">
        <v>0.67457175925925927</v>
      </c>
      <c r="C995" s="33" t="s">
        <v>8</v>
      </c>
      <c r="D995" s="33" t="s">
        <v>20</v>
      </c>
      <c r="E995" s="34">
        <v>397.16</v>
      </c>
      <c r="F995" s="33">
        <v>1</v>
      </c>
      <c r="G995" s="34">
        <v>397.16</v>
      </c>
      <c r="H995" s="33" t="s">
        <v>186</v>
      </c>
      <c r="I995" s="33" t="str">
        <f t="shared" si="30"/>
        <v>Low sales</v>
      </c>
      <c r="J995" s="33" t="str">
        <f t="shared" si="31"/>
        <v>not eligible</v>
      </c>
    </row>
    <row r="996" spans="1:10" x14ac:dyDescent="0.35">
      <c r="A996" s="31">
        <v>45135.259722222225</v>
      </c>
      <c r="B996" s="32">
        <v>8.621527777777778E-2</v>
      </c>
      <c r="C996" s="33" t="s">
        <v>14</v>
      </c>
      <c r="D996" s="33" t="s">
        <v>9</v>
      </c>
      <c r="E996" s="34">
        <v>410.64</v>
      </c>
      <c r="F996" s="33">
        <v>1</v>
      </c>
      <c r="G996" s="34">
        <v>410.64</v>
      </c>
      <c r="H996" s="33" t="s">
        <v>377</v>
      </c>
      <c r="I996" s="33" t="str">
        <f t="shared" si="30"/>
        <v>Low sales</v>
      </c>
      <c r="J996" s="33" t="str">
        <f t="shared" si="31"/>
        <v>not eligible</v>
      </c>
    </row>
    <row r="997" spans="1:10" x14ac:dyDescent="0.35">
      <c r="A997" s="31">
        <v>45312.002083333333</v>
      </c>
      <c r="B997" s="32">
        <v>0.96520833333333333</v>
      </c>
      <c r="C997" s="33" t="s">
        <v>14</v>
      </c>
      <c r="D997" s="33" t="s">
        <v>16</v>
      </c>
      <c r="E997" s="34">
        <v>342.12</v>
      </c>
      <c r="F997" s="33">
        <v>4</v>
      </c>
      <c r="G997" s="34">
        <v>1368.48</v>
      </c>
      <c r="H997" s="33" t="s">
        <v>130</v>
      </c>
      <c r="I997" s="33" t="str">
        <f t="shared" si="30"/>
        <v>Medium sales</v>
      </c>
      <c r="J997" s="33" t="str">
        <f t="shared" si="31"/>
        <v>not eligible</v>
      </c>
    </row>
    <row r="998" spans="1:10" x14ac:dyDescent="0.35">
      <c r="A998" s="31">
        <v>45428.592361111114</v>
      </c>
      <c r="B998" s="32">
        <v>0.61487268518518523</v>
      </c>
      <c r="C998" s="33" t="s">
        <v>11</v>
      </c>
      <c r="D998" s="33" t="s">
        <v>9</v>
      </c>
      <c r="E998" s="34">
        <v>378.24</v>
      </c>
      <c r="F998" s="33">
        <v>3</v>
      </c>
      <c r="G998" s="34">
        <v>1134.72</v>
      </c>
      <c r="H998" s="33" t="s">
        <v>129</v>
      </c>
      <c r="I998" s="33" t="str">
        <f t="shared" si="30"/>
        <v>Medium sales</v>
      </c>
      <c r="J998" s="33" t="str">
        <f t="shared" si="31"/>
        <v>eligible</v>
      </c>
    </row>
    <row r="999" spans="1:10" x14ac:dyDescent="0.35">
      <c r="A999" s="31">
        <v>45513.38958333333</v>
      </c>
      <c r="B999" s="32">
        <v>0.40364583333333331</v>
      </c>
      <c r="C999" s="33" t="s">
        <v>11</v>
      </c>
      <c r="D999" s="33" t="s">
        <v>9</v>
      </c>
      <c r="E999" s="34">
        <v>395.13</v>
      </c>
      <c r="F999" s="33">
        <v>5</v>
      </c>
      <c r="G999" s="34">
        <v>1975.65</v>
      </c>
      <c r="H999" s="33" t="s">
        <v>123</v>
      </c>
      <c r="I999" s="33" t="str">
        <f t="shared" si="30"/>
        <v>High sales</v>
      </c>
      <c r="J999" s="33" t="str">
        <f t="shared" si="31"/>
        <v>eligible</v>
      </c>
    </row>
    <row r="1000" spans="1:10" x14ac:dyDescent="0.35">
      <c r="A1000" s="31">
        <v>45431.806250000001</v>
      </c>
      <c r="B1000" s="32">
        <v>0.77614583333333342</v>
      </c>
      <c r="C1000" s="33" t="s">
        <v>11</v>
      </c>
      <c r="D1000" s="33" t="s">
        <v>12</v>
      </c>
      <c r="E1000" s="34">
        <v>11.53</v>
      </c>
      <c r="F1000" s="33">
        <v>1</v>
      </c>
      <c r="G1000" s="34">
        <v>11.53</v>
      </c>
      <c r="H1000" s="33" t="s">
        <v>141</v>
      </c>
      <c r="I1000" s="33" t="str">
        <f t="shared" si="30"/>
        <v>Low sales</v>
      </c>
      <c r="J1000" s="33" t="str">
        <f t="shared" si="31"/>
        <v>not eligible</v>
      </c>
    </row>
    <row r="1001" spans="1:10" x14ac:dyDescent="0.35">
      <c r="A1001" s="31">
        <v>44977.945833333331</v>
      </c>
      <c r="B1001" s="32">
        <v>0.11730324074074074</v>
      </c>
      <c r="C1001" s="33" t="s">
        <v>14</v>
      </c>
      <c r="D1001" s="33" t="s">
        <v>20</v>
      </c>
      <c r="E1001" s="34">
        <v>214.91</v>
      </c>
      <c r="F1001" s="33">
        <v>2</v>
      </c>
      <c r="G1001" s="34">
        <v>429.82</v>
      </c>
      <c r="H1001" s="33" t="s">
        <v>216</v>
      </c>
      <c r="I1001" s="33" t="str">
        <f t="shared" si="30"/>
        <v>Low sales</v>
      </c>
      <c r="J1001" s="33" t="str">
        <f t="shared" si="31"/>
        <v>not eligible</v>
      </c>
    </row>
    <row r="1002" spans="1:10" x14ac:dyDescent="0.35">
      <c r="A1002" s="31">
        <v>45423.49722222222</v>
      </c>
      <c r="B1002" s="32">
        <v>0.88741898148148157</v>
      </c>
      <c r="C1002" s="33" t="s">
        <v>8</v>
      </c>
      <c r="D1002" s="33" t="s">
        <v>16</v>
      </c>
      <c r="E1002" s="34">
        <v>499.9</v>
      </c>
      <c r="F1002" s="33">
        <v>5</v>
      </c>
      <c r="G1002" s="34">
        <v>2499.5</v>
      </c>
      <c r="H1002" s="33" t="s">
        <v>227</v>
      </c>
      <c r="I1002" s="33" t="str">
        <f t="shared" si="30"/>
        <v>High sales</v>
      </c>
      <c r="J1002" s="33" t="str">
        <f t="shared" si="31"/>
        <v>not eligible</v>
      </c>
    </row>
    <row r="1003" spans="1:10" x14ac:dyDescent="0.35">
      <c r="A1003" s="31">
        <v>45084.831944444442</v>
      </c>
      <c r="B1003" s="32">
        <v>0.32915509259259262</v>
      </c>
      <c r="C1003" s="33" t="s">
        <v>14</v>
      </c>
      <c r="D1003" s="33" t="s">
        <v>27</v>
      </c>
      <c r="E1003" s="34">
        <v>444</v>
      </c>
      <c r="F1003" s="33">
        <v>3</v>
      </c>
      <c r="G1003" s="34">
        <v>1332</v>
      </c>
      <c r="H1003" s="33" t="s">
        <v>44</v>
      </c>
      <c r="I1003" s="33" t="str">
        <f t="shared" si="30"/>
        <v>Medium sales</v>
      </c>
      <c r="J1003" s="33" t="str">
        <f t="shared" si="31"/>
        <v>not eligible</v>
      </c>
    </row>
    <row r="1004" spans="1:10" x14ac:dyDescent="0.35">
      <c r="A1004" s="31">
        <v>45659.081944444442</v>
      </c>
      <c r="B1004" s="32">
        <v>0.7525115740740741</v>
      </c>
      <c r="C1004" s="33" t="s">
        <v>8</v>
      </c>
      <c r="D1004" s="33" t="s">
        <v>20</v>
      </c>
      <c r="E1004" s="34">
        <v>97.8</v>
      </c>
      <c r="F1004" s="33">
        <v>3</v>
      </c>
      <c r="G1004" s="34">
        <v>293.39999999999998</v>
      </c>
      <c r="H1004" s="33" t="s">
        <v>23</v>
      </c>
      <c r="I1004" s="33" t="str">
        <f t="shared" si="30"/>
        <v>Low sales</v>
      </c>
      <c r="J1004" s="33" t="str">
        <f t="shared" si="31"/>
        <v>not eligible</v>
      </c>
    </row>
    <row r="1005" spans="1:10" x14ac:dyDescent="0.35">
      <c r="A1005" s="31">
        <v>45295.39166666667</v>
      </c>
      <c r="B1005" s="32">
        <v>0.30209490740740741</v>
      </c>
      <c r="C1005" s="33" t="s">
        <v>11</v>
      </c>
      <c r="D1005" s="33" t="s">
        <v>16</v>
      </c>
      <c r="E1005" s="34">
        <v>339.67</v>
      </c>
      <c r="F1005" s="33">
        <v>3</v>
      </c>
      <c r="G1005" s="34">
        <v>1019.01</v>
      </c>
      <c r="H1005" s="33" t="s">
        <v>317</v>
      </c>
      <c r="I1005" s="33" t="str">
        <f t="shared" si="30"/>
        <v>Medium sales</v>
      </c>
      <c r="J1005" s="33" t="str">
        <f t="shared" si="31"/>
        <v>eligible</v>
      </c>
    </row>
    <row r="1006" spans="1:10" x14ac:dyDescent="0.35">
      <c r="A1006" s="31">
        <v>45041.309027777781</v>
      </c>
      <c r="B1006" s="32">
        <v>0.71347222222222229</v>
      </c>
      <c r="C1006" s="33" t="s">
        <v>11</v>
      </c>
      <c r="D1006" s="33" t="s">
        <v>27</v>
      </c>
      <c r="E1006" s="34">
        <v>46.49</v>
      </c>
      <c r="F1006" s="33">
        <v>1</v>
      </c>
      <c r="G1006" s="34">
        <v>46.49</v>
      </c>
      <c r="H1006" s="33" t="s">
        <v>264</v>
      </c>
      <c r="I1006" s="33" t="str">
        <f t="shared" si="30"/>
        <v>Low sales</v>
      </c>
      <c r="J1006" s="33" t="str">
        <f t="shared" si="31"/>
        <v>not eligible</v>
      </c>
    </row>
    <row r="1007" spans="1:10" x14ac:dyDescent="0.35">
      <c r="A1007" s="31">
        <v>45612.011111111111</v>
      </c>
      <c r="B1007" s="32">
        <v>0.49285879629629631</v>
      </c>
      <c r="C1007" s="33" t="s">
        <v>8</v>
      </c>
      <c r="D1007" s="33" t="s">
        <v>9</v>
      </c>
      <c r="E1007" s="34">
        <v>103.94</v>
      </c>
      <c r="F1007" s="33">
        <v>5</v>
      </c>
      <c r="G1007" s="34">
        <v>519.70000000000005</v>
      </c>
      <c r="H1007" s="33" t="s">
        <v>69</v>
      </c>
      <c r="I1007" s="33" t="str">
        <f t="shared" si="30"/>
        <v>Medium sales</v>
      </c>
      <c r="J1007" s="33" t="str">
        <f t="shared" si="31"/>
        <v>not eligible</v>
      </c>
    </row>
    <row r="1008" spans="1:10" x14ac:dyDescent="0.35">
      <c r="A1008" s="31">
        <v>45534.081250000003</v>
      </c>
      <c r="B1008" s="32">
        <v>0.99416666666666664</v>
      </c>
      <c r="C1008" s="33" t="s">
        <v>8</v>
      </c>
      <c r="D1008" s="33" t="s">
        <v>27</v>
      </c>
      <c r="E1008" s="34">
        <v>15.36</v>
      </c>
      <c r="F1008" s="33">
        <v>2</v>
      </c>
      <c r="G1008" s="34">
        <v>30.72</v>
      </c>
      <c r="H1008" s="33" t="s">
        <v>320</v>
      </c>
      <c r="I1008" s="33" t="str">
        <f t="shared" si="30"/>
        <v>Low sales</v>
      </c>
      <c r="J1008" s="33" t="str">
        <f t="shared" si="31"/>
        <v>not eligible</v>
      </c>
    </row>
    <row r="1009" spans="1:10" x14ac:dyDescent="0.35">
      <c r="A1009" s="31">
        <v>45234.243055555555</v>
      </c>
      <c r="B1009" s="32">
        <v>0.94836805555555559</v>
      </c>
      <c r="C1009" s="33" t="s">
        <v>14</v>
      </c>
      <c r="D1009" s="33" t="s">
        <v>16</v>
      </c>
      <c r="E1009" s="34">
        <v>35.549999999999997</v>
      </c>
      <c r="F1009" s="33">
        <v>1</v>
      </c>
      <c r="G1009" s="34">
        <v>35.549999999999997</v>
      </c>
      <c r="H1009" s="33" t="s">
        <v>17</v>
      </c>
      <c r="I1009" s="33" t="str">
        <f t="shared" si="30"/>
        <v>Low sales</v>
      </c>
      <c r="J1009" s="33" t="str">
        <f t="shared" si="31"/>
        <v>not eligible</v>
      </c>
    </row>
    <row r="1010" spans="1:10" x14ac:dyDescent="0.35">
      <c r="A1010" s="31">
        <v>45619.975694444445</v>
      </c>
      <c r="B1010" s="32">
        <v>0.14528935185185185</v>
      </c>
      <c r="C1010" s="33" t="s">
        <v>8</v>
      </c>
      <c r="D1010" s="33" t="s">
        <v>12</v>
      </c>
      <c r="E1010" s="34">
        <v>304.67</v>
      </c>
      <c r="F1010" s="33">
        <v>1</v>
      </c>
      <c r="G1010" s="34">
        <v>304.67</v>
      </c>
      <c r="H1010" s="33" t="s">
        <v>365</v>
      </c>
      <c r="I1010" s="33" t="str">
        <f t="shared" si="30"/>
        <v>Low sales</v>
      </c>
      <c r="J1010" s="33" t="str">
        <f t="shared" si="31"/>
        <v>not eligible</v>
      </c>
    </row>
    <row r="1011" spans="1:10" x14ac:dyDescent="0.35">
      <c r="A1011" s="31">
        <v>45241.855555555558</v>
      </c>
      <c r="B1011" s="32">
        <v>0.25416666666666665</v>
      </c>
      <c r="C1011" s="33" t="s">
        <v>14</v>
      </c>
      <c r="D1011" s="33" t="s">
        <v>16</v>
      </c>
      <c r="E1011" s="34">
        <v>326.66000000000003</v>
      </c>
      <c r="F1011" s="33">
        <v>2</v>
      </c>
      <c r="G1011" s="34">
        <v>653.32000000000005</v>
      </c>
      <c r="H1011" s="33" t="s">
        <v>72</v>
      </c>
      <c r="I1011" s="33" t="str">
        <f t="shared" si="30"/>
        <v>Medium sales</v>
      </c>
      <c r="J1011" s="33" t="str">
        <f t="shared" si="31"/>
        <v>not eligible</v>
      </c>
    </row>
    <row r="1012" spans="1:10" x14ac:dyDescent="0.35">
      <c r="A1012" s="31">
        <v>45177.788194444445</v>
      </c>
      <c r="B1012" s="32">
        <v>0.10055555555555555</v>
      </c>
      <c r="C1012" s="33" t="s">
        <v>8</v>
      </c>
      <c r="D1012" s="33" t="s">
        <v>12</v>
      </c>
      <c r="E1012" s="34">
        <v>258.60000000000002</v>
      </c>
      <c r="F1012" s="33">
        <v>3</v>
      </c>
      <c r="G1012" s="34">
        <v>775.8</v>
      </c>
      <c r="H1012" s="33" t="s">
        <v>348</v>
      </c>
      <c r="I1012" s="33" t="str">
        <f t="shared" si="30"/>
        <v>Medium sales</v>
      </c>
      <c r="J1012" s="33" t="str">
        <f t="shared" si="31"/>
        <v>not eligible</v>
      </c>
    </row>
    <row r="1013" spans="1:10" x14ac:dyDescent="0.35">
      <c r="A1013" s="31">
        <v>45183.708333333336</v>
      </c>
      <c r="B1013" s="32">
        <v>0.13439814814814816</v>
      </c>
      <c r="C1013" s="33" t="s">
        <v>14</v>
      </c>
      <c r="D1013" s="33" t="s">
        <v>9</v>
      </c>
      <c r="E1013" s="34">
        <v>38.31</v>
      </c>
      <c r="F1013" s="33">
        <v>3</v>
      </c>
      <c r="G1013" s="34">
        <v>114.93</v>
      </c>
      <c r="H1013" s="33" t="s">
        <v>61</v>
      </c>
      <c r="I1013" s="33" t="str">
        <f t="shared" si="30"/>
        <v>Low sales</v>
      </c>
      <c r="J1013" s="33" t="str">
        <f t="shared" si="31"/>
        <v>not eligible</v>
      </c>
    </row>
    <row r="1014" spans="1:10" x14ac:dyDescent="0.35">
      <c r="A1014" s="31">
        <v>45230.488888888889</v>
      </c>
      <c r="B1014" s="32">
        <v>0.1544675925925926</v>
      </c>
      <c r="C1014" s="33" t="s">
        <v>11</v>
      </c>
      <c r="D1014" s="33" t="s">
        <v>16</v>
      </c>
      <c r="E1014" s="34">
        <v>415.19</v>
      </c>
      <c r="F1014" s="33">
        <v>1</v>
      </c>
      <c r="G1014" s="34">
        <v>415.19</v>
      </c>
      <c r="H1014" s="33" t="s">
        <v>153</v>
      </c>
      <c r="I1014" s="33" t="str">
        <f t="shared" si="30"/>
        <v>Low sales</v>
      </c>
      <c r="J1014" s="33" t="str">
        <f t="shared" si="31"/>
        <v>not eligible</v>
      </c>
    </row>
    <row r="1015" spans="1:10" x14ac:dyDescent="0.35">
      <c r="A1015" s="31">
        <v>45615.34375</v>
      </c>
      <c r="B1015" s="32">
        <v>0.41122685185185182</v>
      </c>
      <c r="C1015" s="33" t="s">
        <v>11</v>
      </c>
      <c r="D1015" s="33" t="s">
        <v>20</v>
      </c>
      <c r="E1015" s="34">
        <v>121.96</v>
      </c>
      <c r="F1015" s="33">
        <v>1</v>
      </c>
      <c r="G1015" s="34">
        <v>121.96</v>
      </c>
      <c r="H1015" s="33" t="s">
        <v>56</v>
      </c>
      <c r="I1015" s="33" t="str">
        <f t="shared" si="30"/>
        <v>Low sales</v>
      </c>
      <c r="J1015" s="33" t="str">
        <f t="shared" si="31"/>
        <v>not eligible</v>
      </c>
    </row>
    <row r="1016" spans="1:10" x14ac:dyDescent="0.35">
      <c r="A1016" s="31">
        <v>45018.895138888889</v>
      </c>
      <c r="B1016" s="32">
        <v>0.33413194444444444</v>
      </c>
      <c r="C1016" s="33" t="s">
        <v>11</v>
      </c>
      <c r="D1016" s="33" t="s">
        <v>12</v>
      </c>
      <c r="E1016" s="34">
        <v>324.69</v>
      </c>
      <c r="F1016" s="33">
        <v>2</v>
      </c>
      <c r="G1016" s="34">
        <v>649.38</v>
      </c>
      <c r="H1016" s="33" t="s">
        <v>378</v>
      </c>
      <c r="I1016" s="33" t="str">
        <f t="shared" si="30"/>
        <v>Medium sales</v>
      </c>
      <c r="J1016" s="33" t="str">
        <f t="shared" si="31"/>
        <v>not eligible</v>
      </c>
    </row>
    <row r="1017" spans="1:10" x14ac:dyDescent="0.35">
      <c r="A1017" s="31">
        <v>45540.850694444445</v>
      </c>
      <c r="B1017" s="32">
        <v>0.7833796296296297</v>
      </c>
      <c r="C1017" s="33" t="s">
        <v>11</v>
      </c>
      <c r="D1017" s="33" t="s">
        <v>20</v>
      </c>
      <c r="E1017" s="34">
        <v>435.27</v>
      </c>
      <c r="F1017" s="33">
        <v>2</v>
      </c>
      <c r="G1017" s="34">
        <v>870.54</v>
      </c>
      <c r="H1017" s="33" t="s">
        <v>56</v>
      </c>
      <c r="I1017" s="33" t="str">
        <f t="shared" si="30"/>
        <v>Medium sales</v>
      </c>
      <c r="J1017" s="33" t="str">
        <f t="shared" si="31"/>
        <v>not eligible</v>
      </c>
    </row>
    <row r="1018" spans="1:10" x14ac:dyDescent="0.35">
      <c r="A1018" s="31">
        <v>45019.538888888892</v>
      </c>
      <c r="B1018" s="32">
        <v>0.49134259259259255</v>
      </c>
      <c r="C1018" s="33" t="s">
        <v>11</v>
      </c>
      <c r="D1018" s="33" t="s">
        <v>20</v>
      </c>
      <c r="E1018" s="34">
        <v>463.32</v>
      </c>
      <c r="F1018" s="33">
        <v>2</v>
      </c>
      <c r="G1018" s="34">
        <v>926.64</v>
      </c>
      <c r="H1018" s="33" t="s">
        <v>269</v>
      </c>
      <c r="I1018" s="33" t="str">
        <f t="shared" si="30"/>
        <v>Medium sales</v>
      </c>
      <c r="J1018" s="33" t="str">
        <f t="shared" si="31"/>
        <v>not eligible</v>
      </c>
    </row>
    <row r="1019" spans="1:10" x14ac:dyDescent="0.35">
      <c r="A1019" s="31">
        <v>45629.166666666664</v>
      </c>
      <c r="B1019" s="32">
        <v>0.93349537037037045</v>
      </c>
      <c r="C1019" s="33" t="s">
        <v>14</v>
      </c>
      <c r="D1019" s="33" t="s">
        <v>27</v>
      </c>
      <c r="E1019" s="34">
        <v>113.97</v>
      </c>
      <c r="F1019" s="33">
        <v>3</v>
      </c>
      <c r="G1019" s="34">
        <v>341.91</v>
      </c>
      <c r="H1019" s="33" t="s">
        <v>124</v>
      </c>
      <c r="I1019" s="33" t="str">
        <f t="shared" si="30"/>
        <v>Low sales</v>
      </c>
      <c r="J1019" s="33" t="str">
        <f t="shared" si="31"/>
        <v>not eligible</v>
      </c>
    </row>
    <row r="1020" spans="1:10" x14ac:dyDescent="0.35">
      <c r="A1020" s="31">
        <v>45102.275694444441</v>
      </c>
      <c r="B1020" s="32">
        <v>0.83892361111111102</v>
      </c>
      <c r="C1020" s="33" t="s">
        <v>14</v>
      </c>
      <c r="D1020" s="33" t="s">
        <v>27</v>
      </c>
      <c r="E1020" s="34">
        <v>166.71</v>
      </c>
      <c r="F1020" s="33">
        <v>3</v>
      </c>
      <c r="G1020" s="34">
        <v>500.13</v>
      </c>
      <c r="H1020" s="33" t="s">
        <v>133</v>
      </c>
      <c r="I1020" s="33" t="str">
        <f t="shared" si="30"/>
        <v>Medium sales</v>
      </c>
      <c r="J1020" s="33" t="str">
        <f t="shared" si="31"/>
        <v>not eligible</v>
      </c>
    </row>
    <row r="1021" spans="1:10" x14ac:dyDescent="0.35">
      <c r="A1021" s="31">
        <v>45393.894444444442</v>
      </c>
      <c r="B1021" s="32">
        <v>0.64988425925925919</v>
      </c>
      <c r="C1021" s="33" t="s">
        <v>8</v>
      </c>
      <c r="D1021" s="33" t="s">
        <v>16</v>
      </c>
      <c r="E1021" s="34">
        <v>135.26</v>
      </c>
      <c r="F1021" s="33">
        <v>5</v>
      </c>
      <c r="G1021" s="34">
        <v>676.3</v>
      </c>
      <c r="H1021" s="33" t="s">
        <v>31</v>
      </c>
      <c r="I1021" s="33" t="str">
        <f t="shared" si="30"/>
        <v>Medium sales</v>
      </c>
      <c r="J1021" s="33" t="str">
        <f t="shared" si="31"/>
        <v>not eligible</v>
      </c>
    </row>
    <row r="1022" spans="1:10" x14ac:dyDescent="0.35">
      <c r="A1022" s="31">
        <v>45074.867361111108</v>
      </c>
      <c r="B1022" s="32">
        <v>0.16631944444444444</v>
      </c>
      <c r="C1022" s="33" t="s">
        <v>14</v>
      </c>
      <c r="D1022" s="33" t="s">
        <v>27</v>
      </c>
      <c r="E1022" s="34">
        <v>137.13999999999999</v>
      </c>
      <c r="F1022" s="33">
        <v>3</v>
      </c>
      <c r="G1022" s="34">
        <v>411.42</v>
      </c>
      <c r="H1022" s="33" t="s">
        <v>83</v>
      </c>
      <c r="I1022" s="33" t="str">
        <f t="shared" si="30"/>
        <v>Low sales</v>
      </c>
      <c r="J1022" s="33" t="str">
        <f t="shared" si="31"/>
        <v>not eligible</v>
      </c>
    </row>
    <row r="1023" spans="1:10" x14ac:dyDescent="0.35">
      <c r="A1023" s="31">
        <v>45527.850694444445</v>
      </c>
      <c r="B1023" s="32">
        <v>0.39890046296296294</v>
      </c>
      <c r="C1023" s="33" t="s">
        <v>8</v>
      </c>
      <c r="D1023" s="33" t="s">
        <v>16</v>
      </c>
      <c r="E1023" s="34">
        <v>459.19</v>
      </c>
      <c r="F1023" s="33">
        <v>5</v>
      </c>
      <c r="G1023" s="34">
        <v>2295.9499999999998</v>
      </c>
      <c r="H1023" s="33" t="s">
        <v>88</v>
      </c>
      <c r="I1023" s="33" t="str">
        <f t="shared" si="30"/>
        <v>High sales</v>
      </c>
      <c r="J1023" s="33" t="str">
        <f t="shared" si="31"/>
        <v>not eligible</v>
      </c>
    </row>
    <row r="1024" spans="1:10" x14ac:dyDescent="0.35">
      <c r="A1024" s="31">
        <v>45400.699305555558</v>
      </c>
      <c r="B1024" s="32">
        <v>0.40789351851851857</v>
      </c>
      <c r="C1024" s="33" t="s">
        <v>8</v>
      </c>
      <c r="D1024" s="33" t="s">
        <v>27</v>
      </c>
      <c r="E1024" s="34">
        <v>344.72</v>
      </c>
      <c r="F1024" s="33">
        <v>5</v>
      </c>
      <c r="G1024" s="34">
        <v>1723.6</v>
      </c>
      <c r="H1024" s="33" t="s">
        <v>103</v>
      </c>
      <c r="I1024" s="33" t="str">
        <f t="shared" si="30"/>
        <v>High sales</v>
      </c>
      <c r="J1024" s="33" t="str">
        <f t="shared" si="31"/>
        <v>not eligible</v>
      </c>
    </row>
    <row r="1025" spans="1:10" x14ac:dyDescent="0.35">
      <c r="A1025" s="31">
        <v>45468.244444444441</v>
      </c>
      <c r="B1025" s="32">
        <v>0.42896990740740737</v>
      </c>
      <c r="C1025" s="33" t="s">
        <v>8</v>
      </c>
      <c r="D1025" s="33" t="s">
        <v>16</v>
      </c>
      <c r="E1025" s="34">
        <v>232.6</v>
      </c>
      <c r="F1025" s="33">
        <v>3</v>
      </c>
      <c r="G1025" s="34">
        <v>697.8</v>
      </c>
      <c r="H1025" s="33" t="s">
        <v>310</v>
      </c>
      <c r="I1025" s="33" t="str">
        <f t="shared" si="30"/>
        <v>Medium sales</v>
      </c>
      <c r="J1025" s="33" t="str">
        <f t="shared" si="31"/>
        <v>not eligible</v>
      </c>
    </row>
    <row r="1026" spans="1:10" x14ac:dyDescent="0.35">
      <c r="A1026" s="31">
        <v>45301.597916666666</v>
      </c>
      <c r="B1026" s="32">
        <v>0.52488425925925919</v>
      </c>
      <c r="C1026" s="33" t="s">
        <v>14</v>
      </c>
      <c r="D1026" s="33" t="s">
        <v>16</v>
      </c>
      <c r="E1026" s="34">
        <v>357.62</v>
      </c>
      <c r="F1026" s="33">
        <v>2</v>
      </c>
      <c r="G1026" s="34">
        <v>715.24</v>
      </c>
      <c r="H1026" s="33" t="s">
        <v>363</v>
      </c>
      <c r="I1026" s="33" t="str">
        <f t="shared" si="30"/>
        <v>Medium sales</v>
      </c>
      <c r="J1026" s="33" t="str">
        <f t="shared" si="31"/>
        <v>not eligible</v>
      </c>
    </row>
    <row r="1027" spans="1:10" x14ac:dyDescent="0.35">
      <c r="A1027" s="31">
        <v>45194.921527777777</v>
      </c>
      <c r="B1027" s="32">
        <v>0.91909722222222223</v>
      </c>
      <c r="C1027" s="33" t="s">
        <v>8</v>
      </c>
      <c r="D1027" s="33" t="s">
        <v>20</v>
      </c>
      <c r="E1027" s="34">
        <v>363.39</v>
      </c>
      <c r="F1027" s="33">
        <v>3</v>
      </c>
      <c r="G1027" s="34">
        <v>1090.17</v>
      </c>
      <c r="H1027" s="33" t="s">
        <v>63</v>
      </c>
      <c r="I1027" s="33" t="str">
        <f t="shared" ref="I1027:I1090" si="32">IF(G1027&gt;1500,"High sales", IF(G1027&gt;500,"Medium sales", "Low sales"))</f>
        <v>Medium sales</v>
      </c>
      <c r="J1027" s="33" t="str">
        <f t="shared" ref="J1027:J1090" si="33">IF(AND(G1027&gt;1000,C1027="Premium"), "eligible", "not eligible")</f>
        <v>not eligible</v>
      </c>
    </row>
    <row r="1028" spans="1:10" x14ac:dyDescent="0.35">
      <c r="A1028" s="31">
        <v>45030.945138888892</v>
      </c>
      <c r="B1028" s="32">
        <v>0.45956018518518515</v>
      </c>
      <c r="C1028" s="33" t="s">
        <v>8</v>
      </c>
      <c r="D1028" s="33" t="s">
        <v>9</v>
      </c>
      <c r="E1028" s="34">
        <v>91.37</v>
      </c>
      <c r="F1028" s="33">
        <v>1</v>
      </c>
      <c r="G1028" s="34">
        <v>91.37</v>
      </c>
      <c r="H1028" s="33" t="s">
        <v>379</v>
      </c>
      <c r="I1028" s="33" t="str">
        <f t="shared" si="32"/>
        <v>Low sales</v>
      </c>
      <c r="J1028" s="33" t="str">
        <f t="shared" si="33"/>
        <v>not eligible</v>
      </c>
    </row>
    <row r="1029" spans="1:10" x14ac:dyDescent="0.35">
      <c r="A1029" s="31">
        <v>45187.077777777777</v>
      </c>
      <c r="B1029" s="32">
        <v>0.97653935185185192</v>
      </c>
      <c r="C1029" s="33" t="s">
        <v>14</v>
      </c>
      <c r="D1029" s="33" t="s">
        <v>12</v>
      </c>
      <c r="E1029" s="34">
        <v>93.75</v>
      </c>
      <c r="F1029" s="33">
        <v>5</v>
      </c>
      <c r="G1029" s="34">
        <v>468.75</v>
      </c>
      <c r="H1029" s="33" t="s">
        <v>115</v>
      </c>
      <c r="I1029" s="33" t="str">
        <f t="shared" si="32"/>
        <v>Low sales</v>
      </c>
      <c r="J1029" s="33" t="str">
        <f t="shared" si="33"/>
        <v>not eligible</v>
      </c>
    </row>
    <row r="1030" spans="1:10" x14ac:dyDescent="0.35">
      <c r="A1030" s="31">
        <v>45067.5625</v>
      </c>
      <c r="B1030" s="32">
        <v>7.3865740740740746E-2</v>
      </c>
      <c r="C1030" s="33" t="s">
        <v>11</v>
      </c>
      <c r="D1030" s="33" t="s">
        <v>12</v>
      </c>
      <c r="E1030" s="34">
        <v>424.81</v>
      </c>
      <c r="F1030" s="33">
        <v>2</v>
      </c>
      <c r="G1030" s="34">
        <v>849.62</v>
      </c>
      <c r="H1030" s="33" t="s">
        <v>181</v>
      </c>
      <c r="I1030" s="33" t="str">
        <f t="shared" si="32"/>
        <v>Medium sales</v>
      </c>
      <c r="J1030" s="33" t="str">
        <f t="shared" si="33"/>
        <v>not eligible</v>
      </c>
    </row>
    <row r="1031" spans="1:10" x14ac:dyDescent="0.35">
      <c r="A1031" s="31">
        <v>45081.209722222222</v>
      </c>
      <c r="B1031" s="32">
        <v>0.31785879629629626</v>
      </c>
      <c r="C1031" s="33" t="s">
        <v>11</v>
      </c>
      <c r="D1031" s="33" t="s">
        <v>12</v>
      </c>
      <c r="E1031" s="34">
        <v>278.31</v>
      </c>
      <c r="F1031" s="33">
        <v>5</v>
      </c>
      <c r="G1031" s="34">
        <v>1391.55</v>
      </c>
      <c r="H1031" s="33" t="s">
        <v>317</v>
      </c>
      <c r="I1031" s="33" t="str">
        <f t="shared" si="32"/>
        <v>Medium sales</v>
      </c>
      <c r="J1031" s="33" t="str">
        <f t="shared" si="33"/>
        <v>eligible</v>
      </c>
    </row>
    <row r="1032" spans="1:10" x14ac:dyDescent="0.35">
      <c r="A1032" s="31">
        <v>45368.009027777778</v>
      </c>
      <c r="B1032" s="32">
        <v>0.50905092592592593</v>
      </c>
      <c r="C1032" s="33" t="s">
        <v>8</v>
      </c>
      <c r="D1032" s="33" t="s">
        <v>20</v>
      </c>
      <c r="E1032" s="34">
        <v>90.96</v>
      </c>
      <c r="F1032" s="33">
        <v>2</v>
      </c>
      <c r="G1032" s="34">
        <v>181.92</v>
      </c>
      <c r="H1032" s="33" t="s">
        <v>359</v>
      </c>
      <c r="I1032" s="33" t="str">
        <f t="shared" si="32"/>
        <v>Low sales</v>
      </c>
      <c r="J1032" s="33" t="str">
        <f t="shared" si="33"/>
        <v>not eligible</v>
      </c>
    </row>
    <row r="1033" spans="1:10" x14ac:dyDescent="0.35">
      <c r="A1033" s="31">
        <v>45618.9</v>
      </c>
      <c r="B1033" s="32">
        <v>0.87199074074074068</v>
      </c>
      <c r="C1033" s="33" t="s">
        <v>8</v>
      </c>
      <c r="D1033" s="33" t="s">
        <v>27</v>
      </c>
      <c r="E1033" s="34">
        <v>209.9</v>
      </c>
      <c r="F1033" s="33">
        <v>5</v>
      </c>
      <c r="G1033" s="34">
        <v>1049.5</v>
      </c>
      <c r="H1033" s="33" t="s">
        <v>171</v>
      </c>
      <c r="I1033" s="33" t="str">
        <f t="shared" si="32"/>
        <v>Medium sales</v>
      </c>
      <c r="J1033" s="33" t="str">
        <f t="shared" si="33"/>
        <v>not eligible</v>
      </c>
    </row>
    <row r="1034" spans="1:10" x14ac:dyDescent="0.35">
      <c r="A1034" s="31">
        <v>45324.987500000003</v>
      </c>
      <c r="B1034" s="32">
        <v>0.87040509259259258</v>
      </c>
      <c r="C1034" s="33" t="s">
        <v>14</v>
      </c>
      <c r="D1034" s="33" t="s">
        <v>20</v>
      </c>
      <c r="E1034" s="34">
        <v>454.87</v>
      </c>
      <c r="F1034" s="33">
        <v>4</v>
      </c>
      <c r="G1034" s="34">
        <v>1819.48</v>
      </c>
      <c r="H1034" s="33" t="s">
        <v>380</v>
      </c>
      <c r="I1034" s="33" t="str">
        <f t="shared" si="32"/>
        <v>High sales</v>
      </c>
      <c r="J1034" s="33" t="str">
        <f t="shared" si="33"/>
        <v>not eligible</v>
      </c>
    </row>
    <row r="1035" spans="1:10" x14ac:dyDescent="0.35">
      <c r="A1035" s="31">
        <v>45471.81527777778</v>
      </c>
      <c r="B1035" s="32">
        <v>0.6020833333333333</v>
      </c>
      <c r="C1035" s="33" t="s">
        <v>8</v>
      </c>
      <c r="D1035" s="33" t="s">
        <v>9</v>
      </c>
      <c r="E1035" s="34">
        <v>446.97</v>
      </c>
      <c r="F1035" s="33">
        <v>1</v>
      </c>
      <c r="G1035" s="34">
        <v>446.97</v>
      </c>
      <c r="H1035" s="33" t="s">
        <v>153</v>
      </c>
      <c r="I1035" s="33" t="str">
        <f t="shared" si="32"/>
        <v>Low sales</v>
      </c>
      <c r="J1035" s="33" t="str">
        <f t="shared" si="33"/>
        <v>not eligible</v>
      </c>
    </row>
    <row r="1036" spans="1:10" x14ac:dyDescent="0.35">
      <c r="A1036" s="31">
        <v>45583.245833333334</v>
      </c>
      <c r="B1036" s="32">
        <v>0.69488425925925934</v>
      </c>
      <c r="C1036" s="33" t="s">
        <v>14</v>
      </c>
      <c r="D1036" s="33" t="s">
        <v>27</v>
      </c>
      <c r="E1036" s="34">
        <v>352.93</v>
      </c>
      <c r="F1036" s="33">
        <v>5</v>
      </c>
      <c r="G1036" s="34">
        <v>1764.65</v>
      </c>
      <c r="H1036" s="33" t="s">
        <v>276</v>
      </c>
      <c r="I1036" s="33" t="str">
        <f t="shared" si="32"/>
        <v>High sales</v>
      </c>
      <c r="J1036" s="33" t="str">
        <f t="shared" si="33"/>
        <v>not eligible</v>
      </c>
    </row>
    <row r="1037" spans="1:10" x14ac:dyDescent="0.35">
      <c r="A1037" s="31">
        <v>45578.986111111109</v>
      </c>
      <c r="B1037" s="32">
        <v>0.50964120370370369</v>
      </c>
      <c r="C1037" s="33" t="s">
        <v>14</v>
      </c>
      <c r="D1037" s="33" t="s">
        <v>12</v>
      </c>
      <c r="E1037" s="34">
        <v>72.78</v>
      </c>
      <c r="F1037" s="33">
        <v>2</v>
      </c>
      <c r="G1037" s="34">
        <v>145.56</v>
      </c>
      <c r="H1037" s="33" t="s">
        <v>85</v>
      </c>
      <c r="I1037" s="33" t="str">
        <f t="shared" si="32"/>
        <v>Low sales</v>
      </c>
      <c r="J1037" s="33" t="str">
        <f t="shared" si="33"/>
        <v>not eligible</v>
      </c>
    </row>
    <row r="1038" spans="1:10" x14ac:dyDescent="0.35">
      <c r="A1038" s="31">
        <v>45584.708333333336</v>
      </c>
      <c r="B1038" s="32">
        <v>0.57280092592592591</v>
      </c>
      <c r="C1038" s="33" t="s">
        <v>8</v>
      </c>
      <c r="D1038" s="33" t="s">
        <v>27</v>
      </c>
      <c r="E1038" s="34">
        <v>322.44</v>
      </c>
      <c r="F1038" s="33">
        <v>2</v>
      </c>
      <c r="G1038" s="34">
        <v>644.88</v>
      </c>
      <c r="H1038" s="33" t="s">
        <v>381</v>
      </c>
      <c r="I1038" s="33" t="str">
        <f t="shared" si="32"/>
        <v>Medium sales</v>
      </c>
      <c r="J1038" s="33" t="str">
        <f t="shared" si="33"/>
        <v>not eligible</v>
      </c>
    </row>
    <row r="1039" spans="1:10" x14ac:dyDescent="0.35">
      <c r="A1039" s="31">
        <v>45234.474305555559</v>
      </c>
      <c r="B1039" s="32">
        <v>8.997685185185185E-2</v>
      </c>
      <c r="C1039" s="33" t="s">
        <v>14</v>
      </c>
      <c r="D1039" s="33" t="s">
        <v>12</v>
      </c>
      <c r="E1039" s="34">
        <v>148.66999999999999</v>
      </c>
      <c r="F1039" s="33">
        <v>3</v>
      </c>
      <c r="G1039" s="34">
        <v>446.01</v>
      </c>
      <c r="H1039" s="33" t="s">
        <v>161</v>
      </c>
      <c r="I1039" s="33" t="str">
        <f t="shared" si="32"/>
        <v>Low sales</v>
      </c>
      <c r="J1039" s="33" t="str">
        <f t="shared" si="33"/>
        <v>not eligible</v>
      </c>
    </row>
    <row r="1040" spans="1:10" x14ac:dyDescent="0.35">
      <c r="A1040" s="31">
        <v>45498.850694444445</v>
      </c>
      <c r="B1040" s="32">
        <v>0.88064814814814818</v>
      </c>
      <c r="C1040" s="33" t="s">
        <v>14</v>
      </c>
      <c r="D1040" s="33" t="s">
        <v>9</v>
      </c>
      <c r="E1040" s="34">
        <v>125.89</v>
      </c>
      <c r="F1040" s="33">
        <v>5</v>
      </c>
      <c r="G1040" s="34">
        <v>629.45000000000005</v>
      </c>
      <c r="H1040" s="33" t="s">
        <v>152</v>
      </c>
      <c r="I1040" s="33" t="str">
        <f t="shared" si="32"/>
        <v>Medium sales</v>
      </c>
      <c r="J1040" s="33" t="str">
        <f t="shared" si="33"/>
        <v>not eligible</v>
      </c>
    </row>
    <row r="1041" spans="1:10" x14ac:dyDescent="0.35">
      <c r="A1041" s="31">
        <v>45185.247916666667</v>
      </c>
      <c r="B1041" s="32">
        <v>0.19142361111111109</v>
      </c>
      <c r="C1041" s="33" t="s">
        <v>8</v>
      </c>
      <c r="D1041" s="33" t="s">
        <v>16</v>
      </c>
      <c r="E1041" s="34">
        <v>243.29</v>
      </c>
      <c r="F1041" s="33">
        <v>1</v>
      </c>
      <c r="G1041" s="34">
        <v>243.29</v>
      </c>
      <c r="H1041" s="33" t="s">
        <v>200</v>
      </c>
      <c r="I1041" s="33" t="str">
        <f t="shared" si="32"/>
        <v>Low sales</v>
      </c>
      <c r="J1041" s="33" t="str">
        <f t="shared" si="33"/>
        <v>not eligible</v>
      </c>
    </row>
    <row r="1042" spans="1:10" x14ac:dyDescent="0.35">
      <c r="A1042" s="31">
        <v>45605.270833333336</v>
      </c>
      <c r="B1042" s="32">
        <v>4.6377314814814809E-2</v>
      </c>
      <c r="C1042" s="33" t="s">
        <v>14</v>
      </c>
      <c r="D1042" s="33" t="s">
        <v>27</v>
      </c>
      <c r="E1042" s="34">
        <v>458.83</v>
      </c>
      <c r="F1042" s="33">
        <v>3</v>
      </c>
      <c r="G1042" s="34">
        <v>1376.49</v>
      </c>
      <c r="H1042" s="33" t="s">
        <v>211</v>
      </c>
      <c r="I1042" s="33" t="str">
        <f t="shared" si="32"/>
        <v>Medium sales</v>
      </c>
      <c r="J1042" s="33" t="str">
        <f t="shared" si="33"/>
        <v>not eligible</v>
      </c>
    </row>
    <row r="1043" spans="1:10" x14ac:dyDescent="0.35">
      <c r="A1043" s="31">
        <v>45592.670138888891</v>
      </c>
      <c r="B1043" s="32">
        <v>0.805150462962963</v>
      </c>
      <c r="C1043" s="33" t="s">
        <v>11</v>
      </c>
      <c r="D1043" s="33" t="s">
        <v>12</v>
      </c>
      <c r="E1043" s="34">
        <v>454.78</v>
      </c>
      <c r="F1043" s="33">
        <v>4</v>
      </c>
      <c r="G1043" s="34">
        <v>1819.12</v>
      </c>
      <c r="H1043" s="33" t="s">
        <v>34</v>
      </c>
      <c r="I1043" s="33" t="str">
        <f t="shared" si="32"/>
        <v>High sales</v>
      </c>
      <c r="J1043" s="33" t="str">
        <f t="shared" si="33"/>
        <v>eligible</v>
      </c>
    </row>
    <row r="1044" spans="1:10" x14ac:dyDescent="0.35">
      <c r="A1044" s="31">
        <v>45184.48333333333</v>
      </c>
      <c r="B1044" s="32">
        <v>0.39276620370370369</v>
      </c>
      <c r="C1044" s="33" t="s">
        <v>14</v>
      </c>
      <c r="D1044" s="33" t="s">
        <v>27</v>
      </c>
      <c r="E1044" s="34">
        <v>39.31</v>
      </c>
      <c r="F1044" s="33">
        <v>2</v>
      </c>
      <c r="G1044" s="34">
        <v>78.62</v>
      </c>
      <c r="H1044" s="33" t="s">
        <v>260</v>
      </c>
      <c r="I1044" s="33" t="str">
        <f t="shared" si="32"/>
        <v>Low sales</v>
      </c>
      <c r="J1044" s="33" t="str">
        <f t="shared" si="33"/>
        <v>not eligible</v>
      </c>
    </row>
    <row r="1045" spans="1:10" x14ac:dyDescent="0.35">
      <c r="A1045" s="31">
        <v>45230.65347222222</v>
      </c>
      <c r="B1045" s="32">
        <v>0.63643518518518516</v>
      </c>
      <c r="C1045" s="33" t="s">
        <v>8</v>
      </c>
      <c r="D1045" s="33" t="s">
        <v>20</v>
      </c>
      <c r="E1045" s="34">
        <v>303.05</v>
      </c>
      <c r="F1045" s="33">
        <v>2</v>
      </c>
      <c r="G1045" s="34">
        <v>606.1</v>
      </c>
      <c r="H1045" s="33" t="s">
        <v>82</v>
      </c>
      <c r="I1045" s="33" t="str">
        <f t="shared" si="32"/>
        <v>Medium sales</v>
      </c>
      <c r="J1045" s="33" t="str">
        <f t="shared" si="33"/>
        <v>not eligible</v>
      </c>
    </row>
    <row r="1046" spans="1:10" x14ac:dyDescent="0.35">
      <c r="A1046" s="31">
        <v>45235.040972222225</v>
      </c>
      <c r="B1046" s="32">
        <v>0.98416666666666675</v>
      </c>
      <c r="C1046" s="33" t="s">
        <v>8</v>
      </c>
      <c r="D1046" s="33" t="s">
        <v>16</v>
      </c>
      <c r="E1046" s="34">
        <v>321.01</v>
      </c>
      <c r="F1046" s="33">
        <v>3</v>
      </c>
      <c r="G1046" s="34">
        <v>963.03</v>
      </c>
      <c r="H1046" s="33" t="s">
        <v>56</v>
      </c>
      <c r="I1046" s="33" t="str">
        <f t="shared" si="32"/>
        <v>Medium sales</v>
      </c>
      <c r="J1046" s="33" t="str">
        <f t="shared" si="33"/>
        <v>not eligible</v>
      </c>
    </row>
    <row r="1047" spans="1:10" x14ac:dyDescent="0.35">
      <c r="A1047" s="31">
        <v>45194.731249999997</v>
      </c>
      <c r="B1047" s="32">
        <v>0.55268518518518517</v>
      </c>
      <c r="C1047" s="33" t="s">
        <v>11</v>
      </c>
      <c r="D1047" s="33" t="s">
        <v>16</v>
      </c>
      <c r="E1047" s="34">
        <v>397.41</v>
      </c>
      <c r="F1047" s="33">
        <v>4</v>
      </c>
      <c r="G1047" s="34">
        <v>1589.64</v>
      </c>
      <c r="H1047" s="33" t="s">
        <v>281</v>
      </c>
      <c r="I1047" s="33" t="str">
        <f t="shared" si="32"/>
        <v>High sales</v>
      </c>
      <c r="J1047" s="33" t="str">
        <f t="shared" si="33"/>
        <v>eligible</v>
      </c>
    </row>
    <row r="1048" spans="1:10" x14ac:dyDescent="0.35">
      <c r="A1048" s="31">
        <v>45291.384027777778</v>
      </c>
      <c r="B1048" s="32">
        <v>0.59871527777777778</v>
      </c>
      <c r="C1048" s="33" t="s">
        <v>11</v>
      </c>
      <c r="D1048" s="33" t="s">
        <v>20</v>
      </c>
      <c r="E1048" s="34">
        <v>272.64999999999998</v>
      </c>
      <c r="F1048" s="33">
        <v>5</v>
      </c>
      <c r="G1048" s="34">
        <v>1363.25</v>
      </c>
      <c r="H1048" s="33" t="s">
        <v>382</v>
      </c>
      <c r="I1048" s="33" t="str">
        <f t="shared" si="32"/>
        <v>Medium sales</v>
      </c>
      <c r="J1048" s="33" t="str">
        <f t="shared" si="33"/>
        <v>eligible</v>
      </c>
    </row>
    <row r="1049" spans="1:10" x14ac:dyDescent="0.35">
      <c r="A1049" s="31">
        <v>45525.216666666667</v>
      </c>
      <c r="B1049" s="32">
        <v>0.75249999999999995</v>
      </c>
      <c r="C1049" s="33" t="s">
        <v>14</v>
      </c>
      <c r="D1049" s="33" t="s">
        <v>16</v>
      </c>
      <c r="E1049" s="34">
        <v>362.4</v>
      </c>
      <c r="F1049" s="33">
        <v>1</v>
      </c>
      <c r="G1049" s="34">
        <v>362.4</v>
      </c>
      <c r="H1049" s="33" t="s">
        <v>215</v>
      </c>
      <c r="I1049" s="33" t="str">
        <f t="shared" si="32"/>
        <v>Low sales</v>
      </c>
      <c r="J1049" s="33" t="str">
        <f t="shared" si="33"/>
        <v>not eligible</v>
      </c>
    </row>
    <row r="1050" spans="1:10" x14ac:dyDescent="0.35">
      <c r="A1050" s="31">
        <v>45029.477777777778</v>
      </c>
      <c r="B1050" s="32">
        <v>0.71414351851851843</v>
      </c>
      <c r="C1050" s="33" t="s">
        <v>14</v>
      </c>
      <c r="D1050" s="33" t="s">
        <v>9</v>
      </c>
      <c r="E1050" s="34">
        <v>419.19</v>
      </c>
      <c r="F1050" s="33">
        <v>4</v>
      </c>
      <c r="G1050" s="34">
        <v>1676.76</v>
      </c>
      <c r="H1050" s="33" t="s">
        <v>151</v>
      </c>
      <c r="I1050" s="33" t="str">
        <f t="shared" si="32"/>
        <v>High sales</v>
      </c>
      <c r="J1050" s="33" t="str">
        <f t="shared" si="33"/>
        <v>not eligible</v>
      </c>
    </row>
    <row r="1051" spans="1:10" x14ac:dyDescent="0.35">
      <c r="A1051" s="31">
        <v>45338.811111111114</v>
      </c>
      <c r="B1051" s="32">
        <v>0.2597800925925926</v>
      </c>
      <c r="C1051" s="33" t="s">
        <v>8</v>
      </c>
      <c r="D1051" s="33" t="s">
        <v>27</v>
      </c>
      <c r="E1051" s="34">
        <v>381.84</v>
      </c>
      <c r="F1051" s="33">
        <v>3</v>
      </c>
      <c r="G1051" s="34">
        <v>1145.52</v>
      </c>
      <c r="H1051" s="33" t="s">
        <v>127</v>
      </c>
      <c r="I1051" s="33" t="str">
        <f t="shared" si="32"/>
        <v>Medium sales</v>
      </c>
      <c r="J1051" s="33" t="str">
        <f t="shared" si="33"/>
        <v>not eligible</v>
      </c>
    </row>
    <row r="1052" spans="1:10" x14ac:dyDescent="0.35">
      <c r="A1052" s="31">
        <v>45499.887499999997</v>
      </c>
      <c r="B1052" s="32">
        <v>0.9565393518518519</v>
      </c>
      <c r="C1052" s="33" t="s">
        <v>11</v>
      </c>
      <c r="D1052" s="33" t="s">
        <v>20</v>
      </c>
      <c r="E1052" s="34">
        <v>496.98</v>
      </c>
      <c r="F1052" s="33">
        <v>4</v>
      </c>
      <c r="G1052" s="34">
        <v>1987.92</v>
      </c>
      <c r="H1052" s="33" t="s">
        <v>192</v>
      </c>
      <c r="I1052" s="33" t="str">
        <f t="shared" si="32"/>
        <v>High sales</v>
      </c>
      <c r="J1052" s="33" t="str">
        <f t="shared" si="33"/>
        <v>eligible</v>
      </c>
    </row>
    <row r="1053" spans="1:10" x14ac:dyDescent="0.35">
      <c r="A1053" s="31">
        <v>45454.802083333336</v>
      </c>
      <c r="B1053" s="32">
        <v>0.15761574074074072</v>
      </c>
      <c r="C1053" s="33" t="s">
        <v>8</v>
      </c>
      <c r="D1053" s="33" t="s">
        <v>12</v>
      </c>
      <c r="E1053" s="34">
        <v>436.97</v>
      </c>
      <c r="F1053" s="33">
        <v>3</v>
      </c>
      <c r="G1053" s="34">
        <v>1310.91</v>
      </c>
      <c r="H1053" s="33" t="s">
        <v>308</v>
      </c>
      <c r="I1053" s="33" t="str">
        <f t="shared" si="32"/>
        <v>Medium sales</v>
      </c>
      <c r="J1053" s="33" t="str">
        <f t="shared" si="33"/>
        <v>not eligible</v>
      </c>
    </row>
    <row r="1054" spans="1:10" x14ac:dyDescent="0.35">
      <c r="A1054" s="31">
        <v>45244.176388888889</v>
      </c>
      <c r="B1054" s="32">
        <v>0.4727662037037037</v>
      </c>
      <c r="C1054" s="33" t="s">
        <v>11</v>
      </c>
      <c r="D1054" s="33" t="s">
        <v>16</v>
      </c>
      <c r="E1054" s="34">
        <v>71.83</v>
      </c>
      <c r="F1054" s="33">
        <v>1</v>
      </c>
      <c r="G1054" s="34">
        <v>71.83</v>
      </c>
      <c r="H1054" s="33" t="s">
        <v>157</v>
      </c>
      <c r="I1054" s="33" t="str">
        <f t="shared" si="32"/>
        <v>Low sales</v>
      </c>
      <c r="J1054" s="33" t="str">
        <f t="shared" si="33"/>
        <v>not eligible</v>
      </c>
    </row>
    <row r="1055" spans="1:10" x14ac:dyDescent="0.35">
      <c r="A1055" s="31">
        <v>45442.738194444442</v>
      </c>
      <c r="B1055" s="32">
        <v>0.72827546296296297</v>
      </c>
      <c r="C1055" s="33" t="s">
        <v>11</v>
      </c>
      <c r="D1055" s="33" t="s">
        <v>12</v>
      </c>
      <c r="E1055" s="34">
        <v>203.46</v>
      </c>
      <c r="F1055" s="33">
        <v>1</v>
      </c>
      <c r="G1055" s="34">
        <v>203.46</v>
      </c>
      <c r="H1055" s="33" t="s">
        <v>256</v>
      </c>
      <c r="I1055" s="33" t="str">
        <f t="shared" si="32"/>
        <v>Low sales</v>
      </c>
      <c r="J1055" s="33" t="str">
        <f t="shared" si="33"/>
        <v>not eligible</v>
      </c>
    </row>
    <row r="1056" spans="1:10" x14ac:dyDescent="0.35">
      <c r="A1056" s="31">
        <v>45387.330555555556</v>
      </c>
      <c r="B1056" s="32">
        <v>0.28343750000000001</v>
      </c>
      <c r="C1056" s="33" t="s">
        <v>8</v>
      </c>
      <c r="D1056" s="33" t="s">
        <v>12</v>
      </c>
      <c r="E1056" s="34">
        <v>282.22000000000003</v>
      </c>
      <c r="F1056" s="33">
        <v>4</v>
      </c>
      <c r="G1056" s="34">
        <v>1128.8800000000001</v>
      </c>
      <c r="H1056" s="33" t="s">
        <v>273</v>
      </c>
      <c r="I1056" s="33" t="str">
        <f t="shared" si="32"/>
        <v>Medium sales</v>
      </c>
      <c r="J1056" s="33" t="str">
        <f t="shared" si="33"/>
        <v>not eligible</v>
      </c>
    </row>
    <row r="1057" spans="1:10" x14ac:dyDescent="0.35">
      <c r="A1057" s="31">
        <v>45090.916666666664</v>
      </c>
      <c r="B1057" s="32">
        <v>0.18730324074074076</v>
      </c>
      <c r="C1057" s="33" t="s">
        <v>11</v>
      </c>
      <c r="D1057" s="33" t="s">
        <v>12</v>
      </c>
      <c r="E1057" s="34">
        <v>16.420000000000002</v>
      </c>
      <c r="F1057" s="33">
        <v>4</v>
      </c>
      <c r="G1057" s="34">
        <v>65.680000000000007</v>
      </c>
      <c r="H1057" s="33" t="s">
        <v>383</v>
      </c>
      <c r="I1057" s="33" t="str">
        <f t="shared" si="32"/>
        <v>Low sales</v>
      </c>
      <c r="J1057" s="33" t="str">
        <f t="shared" si="33"/>
        <v>not eligible</v>
      </c>
    </row>
    <row r="1058" spans="1:10" x14ac:dyDescent="0.35">
      <c r="A1058" s="31">
        <v>45037.041666666664</v>
      </c>
      <c r="B1058" s="32">
        <v>0.54534722222222221</v>
      </c>
      <c r="C1058" s="33" t="s">
        <v>14</v>
      </c>
      <c r="D1058" s="33" t="s">
        <v>20</v>
      </c>
      <c r="E1058" s="34">
        <v>481.02</v>
      </c>
      <c r="F1058" s="33">
        <v>4</v>
      </c>
      <c r="G1058" s="34">
        <v>1924.08</v>
      </c>
      <c r="H1058" s="33" t="s">
        <v>290</v>
      </c>
      <c r="I1058" s="33" t="str">
        <f t="shared" si="32"/>
        <v>High sales</v>
      </c>
      <c r="J1058" s="33" t="str">
        <f t="shared" si="33"/>
        <v>not eligible</v>
      </c>
    </row>
    <row r="1059" spans="1:10" x14ac:dyDescent="0.35">
      <c r="A1059" s="31">
        <v>45156.529166666667</v>
      </c>
      <c r="B1059" s="32">
        <v>0.63504629629629628</v>
      </c>
      <c r="C1059" s="33" t="s">
        <v>11</v>
      </c>
      <c r="D1059" s="33" t="s">
        <v>9</v>
      </c>
      <c r="E1059" s="34">
        <v>486.15</v>
      </c>
      <c r="F1059" s="33">
        <v>2</v>
      </c>
      <c r="G1059" s="34">
        <v>972.3</v>
      </c>
      <c r="H1059" s="33" t="s">
        <v>229</v>
      </c>
      <c r="I1059" s="33" t="str">
        <f t="shared" si="32"/>
        <v>Medium sales</v>
      </c>
      <c r="J1059" s="33" t="str">
        <f t="shared" si="33"/>
        <v>not eligible</v>
      </c>
    </row>
    <row r="1060" spans="1:10" x14ac:dyDescent="0.35">
      <c r="A1060" s="31">
        <v>45275.193055555559</v>
      </c>
      <c r="B1060" s="32">
        <v>0.83054398148148145</v>
      </c>
      <c r="C1060" s="33" t="s">
        <v>8</v>
      </c>
      <c r="D1060" s="33" t="s">
        <v>27</v>
      </c>
      <c r="E1060" s="34">
        <v>454.2</v>
      </c>
      <c r="F1060" s="33">
        <v>4</v>
      </c>
      <c r="G1060" s="34">
        <v>1816.8</v>
      </c>
      <c r="H1060" s="33" t="s">
        <v>105</v>
      </c>
      <c r="I1060" s="33" t="str">
        <f t="shared" si="32"/>
        <v>High sales</v>
      </c>
      <c r="J1060" s="33" t="str">
        <f t="shared" si="33"/>
        <v>not eligible</v>
      </c>
    </row>
    <row r="1061" spans="1:10" x14ac:dyDescent="0.35">
      <c r="A1061" s="31">
        <v>45246.192361111112</v>
      </c>
      <c r="B1061" s="32">
        <v>0.54266203703703708</v>
      </c>
      <c r="C1061" s="33" t="s">
        <v>8</v>
      </c>
      <c r="D1061" s="33" t="s">
        <v>16</v>
      </c>
      <c r="E1061" s="34">
        <v>424.6</v>
      </c>
      <c r="F1061" s="33">
        <v>2</v>
      </c>
      <c r="G1061" s="34">
        <v>849.2</v>
      </c>
      <c r="H1061" s="33" t="s">
        <v>384</v>
      </c>
      <c r="I1061" s="33" t="str">
        <f t="shared" si="32"/>
        <v>Medium sales</v>
      </c>
      <c r="J1061" s="33" t="str">
        <f t="shared" si="33"/>
        <v>not eligible</v>
      </c>
    </row>
    <row r="1062" spans="1:10" x14ac:dyDescent="0.35">
      <c r="A1062" s="31">
        <v>45071.275694444441</v>
      </c>
      <c r="B1062" s="32">
        <v>0.16596064814814815</v>
      </c>
      <c r="C1062" s="33" t="s">
        <v>8</v>
      </c>
      <c r="D1062" s="33" t="s">
        <v>16</v>
      </c>
      <c r="E1062" s="34">
        <v>69.83</v>
      </c>
      <c r="F1062" s="33">
        <v>5</v>
      </c>
      <c r="G1062" s="34">
        <v>349.15</v>
      </c>
      <c r="H1062" s="33" t="s">
        <v>155</v>
      </c>
      <c r="I1062" s="33" t="str">
        <f t="shared" si="32"/>
        <v>Low sales</v>
      </c>
      <c r="J1062" s="33" t="str">
        <f t="shared" si="33"/>
        <v>not eligible</v>
      </c>
    </row>
    <row r="1063" spans="1:10" x14ac:dyDescent="0.35">
      <c r="A1063" s="31">
        <v>45198.384722222225</v>
      </c>
      <c r="B1063" s="32">
        <v>0.94923611111111106</v>
      </c>
      <c r="C1063" s="33" t="s">
        <v>8</v>
      </c>
      <c r="D1063" s="33" t="s">
        <v>27</v>
      </c>
      <c r="E1063" s="34">
        <v>417.53</v>
      </c>
      <c r="F1063" s="33">
        <v>2</v>
      </c>
      <c r="G1063" s="34">
        <v>835.06</v>
      </c>
      <c r="H1063" s="33" t="s">
        <v>154</v>
      </c>
      <c r="I1063" s="33" t="str">
        <f t="shared" si="32"/>
        <v>Medium sales</v>
      </c>
      <c r="J1063" s="33" t="str">
        <f t="shared" si="33"/>
        <v>not eligible</v>
      </c>
    </row>
    <row r="1064" spans="1:10" x14ac:dyDescent="0.35">
      <c r="A1064" s="31">
        <v>44928.179166666669</v>
      </c>
      <c r="B1064" s="32">
        <v>0.44434027777777779</v>
      </c>
      <c r="C1064" s="33" t="s">
        <v>11</v>
      </c>
      <c r="D1064" s="33" t="s">
        <v>12</v>
      </c>
      <c r="E1064" s="34">
        <v>84.1</v>
      </c>
      <c r="F1064" s="33">
        <v>1</v>
      </c>
      <c r="G1064" s="34">
        <v>84.1</v>
      </c>
      <c r="H1064" s="33" t="s">
        <v>370</v>
      </c>
      <c r="I1064" s="33" t="str">
        <f t="shared" si="32"/>
        <v>Low sales</v>
      </c>
      <c r="J1064" s="33" t="str">
        <f t="shared" si="33"/>
        <v>not eligible</v>
      </c>
    </row>
    <row r="1065" spans="1:10" x14ac:dyDescent="0.35">
      <c r="A1065" s="31">
        <v>45354.754166666666</v>
      </c>
      <c r="B1065" s="32">
        <v>0.73707175925925927</v>
      </c>
      <c r="C1065" s="33" t="s">
        <v>11</v>
      </c>
      <c r="D1065" s="33" t="s">
        <v>9</v>
      </c>
      <c r="E1065" s="34">
        <v>229.59</v>
      </c>
      <c r="F1065" s="33">
        <v>5</v>
      </c>
      <c r="G1065" s="34">
        <v>1147.95</v>
      </c>
      <c r="H1065" s="33" t="s">
        <v>260</v>
      </c>
      <c r="I1065" s="33" t="str">
        <f t="shared" si="32"/>
        <v>Medium sales</v>
      </c>
      <c r="J1065" s="33" t="str">
        <f t="shared" si="33"/>
        <v>eligible</v>
      </c>
    </row>
    <row r="1066" spans="1:10" x14ac:dyDescent="0.35">
      <c r="A1066" s="31">
        <v>45581.206250000003</v>
      </c>
      <c r="B1066" s="32">
        <v>0.81673611111111111</v>
      </c>
      <c r="C1066" s="33" t="s">
        <v>11</v>
      </c>
      <c r="D1066" s="33" t="s">
        <v>27</v>
      </c>
      <c r="E1066" s="34">
        <v>215.66</v>
      </c>
      <c r="F1066" s="33">
        <v>4</v>
      </c>
      <c r="G1066" s="34">
        <v>862.64</v>
      </c>
      <c r="H1066" s="33" t="s">
        <v>89</v>
      </c>
      <c r="I1066" s="33" t="str">
        <f t="shared" si="32"/>
        <v>Medium sales</v>
      </c>
      <c r="J1066" s="33" t="str">
        <f t="shared" si="33"/>
        <v>not eligible</v>
      </c>
    </row>
    <row r="1067" spans="1:10" x14ac:dyDescent="0.35">
      <c r="A1067" s="31">
        <v>44990.381249999999</v>
      </c>
      <c r="B1067" s="32">
        <v>0.54672453703703705</v>
      </c>
      <c r="C1067" s="33" t="s">
        <v>8</v>
      </c>
      <c r="D1067" s="33" t="s">
        <v>12</v>
      </c>
      <c r="E1067" s="34">
        <v>289.02</v>
      </c>
      <c r="F1067" s="33">
        <v>4</v>
      </c>
      <c r="G1067" s="34">
        <v>1156.08</v>
      </c>
      <c r="H1067" s="33" t="s">
        <v>92</v>
      </c>
      <c r="I1067" s="33" t="str">
        <f t="shared" si="32"/>
        <v>Medium sales</v>
      </c>
      <c r="J1067" s="33" t="str">
        <f t="shared" si="33"/>
        <v>not eligible</v>
      </c>
    </row>
    <row r="1068" spans="1:10" x14ac:dyDescent="0.35">
      <c r="A1068" s="31">
        <v>45579.630555555559</v>
      </c>
      <c r="B1068" s="32">
        <v>0.1779398148148148</v>
      </c>
      <c r="C1068" s="33" t="s">
        <v>11</v>
      </c>
      <c r="D1068" s="33" t="s">
        <v>9</v>
      </c>
      <c r="E1068" s="34">
        <v>292.66000000000003</v>
      </c>
      <c r="F1068" s="33">
        <v>5</v>
      </c>
      <c r="G1068" s="34">
        <v>1463.3</v>
      </c>
      <c r="H1068" s="33" t="s">
        <v>337</v>
      </c>
      <c r="I1068" s="33" t="str">
        <f t="shared" si="32"/>
        <v>Medium sales</v>
      </c>
      <c r="J1068" s="33" t="str">
        <f t="shared" si="33"/>
        <v>eligible</v>
      </c>
    </row>
    <row r="1069" spans="1:10" x14ac:dyDescent="0.35">
      <c r="A1069" s="31">
        <v>45365.061111111114</v>
      </c>
      <c r="B1069" s="32">
        <v>0.29354166666666665</v>
      </c>
      <c r="C1069" s="33" t="s">
        <v>14</v>
      </c>
      <c r="D1069" s="33" t="s">
        <v>20</v>
      </c>
      <c r="E1069" s="34">
        <v>254.74</v>
      </c>
      <c r="F1069" s="33">
        <v>3</v>
      </c>
      <c r="G1069" s="34">
        <v>764.22</v>
      </c>
      <c r="H1069" s="33" t="s">
        <v>78</v>
      </c>
      <c r="I1069" s="33" t="str">
        <f t="shared" si="32"/>
        <v>Medium sales</v>
      </c>
      <c r="J1069" s="33" t="str">
        <f t="shared" si="33"/>
        <v>not eligible</v>
      </c>
    </row>
    <row r="1070" spans="1:10" x14ac:dyDescent="0.35">
      <c r="A1070" s="31">
        <v>45502.376388888886</v>
      </c>
      <c r="B1070" s="32">
        <v>0.88719907407407417</v>
      </c>
      <c r="C1070" s="33" t="s">
        <v>11</v>
      </c>
      <c r="D1070" s="33" t="s">
        <v>20</v>
      </c>
      <c r="E1070" s="34">
        <v>137.94</v>
      </c>
      <c r="F1070" s="33">
        <v>5</v>
      </c>
      <c r="G1070" s="34">
        <v>689.7</v>
      </c>
      <c r="H1070" s="33" t="s">
        <v>361</v>
      </c>
      <c r="I1070" s="33" t="str">
        <f t="shared" si="32"/>
        <v>Medium sales</v>
      </c>
      <c r="J1070" s="33" t="str">
        <f t="shared" si="33"/>
        <v>not eligible</v>
      </c>
    </row>
    <row r="1071" spans="1:10" x14ac:dyDescent="0.35">
      <c r="A1071" s="31">
        <v>45266.806250000001</v>
      </c>
      <c r="B1071" s="32">
        <v>0.3142361111111111</v>
      </c>
      <c r="C1071" s="33" t="s">
        <v>11</v>
      </c>
      <c r="D1071" s="33" t="s">
        <v>20</v>
      </c>
      <c r="E1071" s="34">
        <v>307.74</v>
      </c>
      <c r="F1071" s="33">
        <v>4</v>
      </c>
      <c r="G1071" s="34">
        <v>1230.96</v>
      </c>
      <c r="H1071" s="33" t="s">
        <v>142</v>
      </c>
      <c r="I1071" s="33" t="str">
        <f t="shared" si="32"/>
        <v>Medium sales</v>
      </c>
      <c r="J1071" s="33" t="str">
        <f t="shared" si="33"/>
        <v>eligible</v>
      </c>
    </row>
    <row r="1072" spans="1:10" x14ac:dyDescent="0.35">
      <c r="A1072" s="31">
        <v>45527.652083333334</v>
      </c>
      <c r="B1072" s="32">
        <v>0.64399305555555553</v>
      </c>
      <c r="C1072" s="33" t="s">
        <v>14</v>
      </c>
      <c r="D1072" s="33" t="s">
        <v>12</v>
      </c>
      <c r="E1072" s="34">
        <v>298.72000000000003</v>
      </c>
      <c r="F1072" s="33">
        <v>5</v>
      </c>
      <c r="G1072" s="34">
        <v>1493.6</v>
      </c>
      <c r="H1072" s="33" t="s">
        <v>385</v>
      </c>
      <c r="I1072" s="33" t="str">
        <f t="shared" si="32"/>
        <v>Medium sales</v>
      </c>
      <c r="J1072" s="33" t="str">
        <f t="shared" si="33"/>
        <v>not eligible</v>
      </c>
    </row>
    <row r="1073" spans="1:10" x14ac:dyDescent="0.35">
      <c r="A1073" s="31">
        <v>45374.645138888889</v>
      </c>
      <c r="B1073" s="32">
        <v>0.20167824074074073</v>
      </c>
      <c r="C1073" s="33" t="s">
        <v>8</v>
      </c>
      <c r="D1073" s="33" t="s">
        <v>27</v>
      </c>
      <c r="E1073" s="34">
        <v>237.81</v>
      </c>
      <c r="F1073" s="33">
        <v>1</v>
      </c>
      <c r="G1073" s="34">
        <v>237.81</v>
      </c>
      <c r="H1073" s="33" t="s">
        <v>159</v>
      </c>
      <c r="I1073" s="33" t="str">
        <f t="shared" si="32"/>
        <v>Low sales</v>
      </c>
      <c r="J1073" s="33" t="str">
        <f t="shared" si="33"/>
        <v>not eligible</v>
      </c>
    </row>
    <row r="1074" spans="1:10" x14ac:dyDescent="0.35">
      <c r="A1074" s="31">
        <v>45416.613888888889</v>
      </c>
      <c r="B1074" s="32">
        <v>0.77898148148148139</v>
      </c>
      <c r="C1074" s="33" t="s">
        <v>11</v>
      </c>
      <c r="D1074" s="33" t="s">
        <v>20</v>
      </c>
      <c r="E1074" s="34">
        <v>76.400000000000006</v>
      </c>
      <c r="F1074" s="33">
        <v>1</v>
      </c>
      <c r="G1074" s="34">
        <v>76.400000000000006</v>
      </c>
      <c r="H1074" s="33" t="s">
        <v>82</v>
      </c>
      <c r="I1074" s="33" t="str">
        <f t="shared" si="32"/>
        <v>Low sales</v>
      </c>
      <c r="J1074" s="33" t="str">
        <f t="shared" si="33"/>
        <v>not eligible</v>
      </c>
    </row>
    <row r="1075" spans="1:10" x14ac:dyDescent="0.35">
      <c r="A1075" s="31">
        <v>45012.709027777775</v>
      </c>
      <c r="B1075" s="32">
        <v>0.31327546296296299</v>
      </c>
      <c r="C1075" s="33" t="s">
        <v>14</v>
      </c>
      <c r="D1075" s="33" t="s">
        <v>20</v>
      </c>
      <c r="E1075" s="34">
        <v>154.06</v>
      </c>
      <c r="F1075" s="33">
        <v>1</v>
      </c>
      <c r="G1075" s="34">
        <v>154.06</v>
      </c>
      <c r="H1075" s="33" t="s">
        <v>289</v>
      </c>
      <c r="I1075" s="33" t="str">
        <f t="shared" si="32"/>
        <v>Low sales</v>
      </c>
      <c r="J1075" s="33" t="str">
        <f t="shared" si="33"/>
        <v>not eligible</v>
      </c>
    </row>
    <row r="1076" spans="1:10" x14ac:dyDescent="0.35">
      <c r="A1076" s="31">
        <v>45361.064583333333</v>
      </c>
      <c r="B1076" s="32">
        <v>0.47267361111111111</v>
      </c>
      <c r="C1076" s="33" t="s">
        <v>14</v>
      </c>
      <c r="D1076" s="33" t="s">
        <v>12</v>
      </c>
      <c r="E1076" s="34">
        <v>75.02</v>
      </c>
      <c r="F1076" s="33">
        <v>5</v>
      </c>
      <c r="G1076" s="34">
        <v>375.1</v>
      </c>
      <c r="H1076" s="33" t="s">
        <v>212</v>
      </c>
      <c r="I1076" s="33" t="str">
        <f t="shared" si="32"/>
        <v>Low sales</v>
      </c>
      <c r="J1076" s="33" t="str">
        <f t="shared" si="33"/>
        <v>not eligible</v>
      </c>
    </row>
    <row r="1077" spans="1:10" x14ac:dyDescent="0.35">
      <c r="A1077" s="31">
        <v>45241.715277777781</v>
      </c>
      <c r="B1077" s="32">
        <v>0.11495370370370371</v>
      </c>
      <c r="C1077" s="33" t="s">
        <v>11</v>
      </c>
      <c r="D1077" s="33" t="s">
        <v>27</v>
      </c>
      <c r="E1077" s="34">
        <v>35.51</v>
      </c>
      <c r="F1077" s="33">
        <v>1</v>
      </c>
      <c r="G1077" s="34">
        <v>35.51</v>
      </c>
      <c r="H1077" s="33" t="s">
        <v>292</v>
      </c>
      <c r="I1077" s="33" t="str">
        <f t="shared" si="32"/>
        <v>Low sales</v>
      </c>
      <c r="J1077" s="33" t="str">
        <f t="shared" si="33"/>
        <v>not eligible</v>
      </c>
    </row>
    <row r="1078" spans="1:10" x14ac:dyDescent="0.35">
      <c r="A1078" s="31">
        <v>45561.021527777775</v>
      </c>
      <c r="B1078" s="32">
        <v>0.47097222222222218</v>
      </c>
      <c r="C1078" s="33" t="s">
        <v>8</v>
      </c>
      <c r="D1078" s="33" t="s">
        <v>9</v>
      </c>
      <c r="E1078" s="34">
        <v>348.23</v>
      </c>
      <c r="F1078" s="33">
        <v>5</v>
      </c>
      <c r="G1078" s="34">
        <v>1741.15</v>
      </c>
      <c r="H1078" s="33" t="s">
        <v>295</v>
      </c>
      <c r="I1078" s="33" t="str">
        <f t="shared" si="32"/>
        <v>High sales</v>
      </c>
      <c r="J1078" s="33" t="str">
        <f t="shared" si="33"/>
        <v>not eligible</v>
      </c>
    </row>
    <row r="1079" spans="1:10" x14ac:dyDescent="0.35">
      <c r="A1079" s="31">
        <v>45232.03125</v>
      </c>
      <c r="B1079" s="32">
        <v>0.81049768518518517</v>
      </c>
      <c r="C1079" s="33" t="s">
        <v>14</v>
      </c>
      <c r="D1079" s="33" t="s">
        <v>16</v>
      </c>
      <c r="E1079" s="34">
        <v>113.57</v>
      </c>
      <c r="F1079" s="33">
        <v>5</v>
      </c>
      <c r="G1079" s="34">
        <v>567.85</v>
      </c>
      <c r="H1079" s="33" t="s">
        <v>260</v>
      </c>
      <c r="I1079" s="33" t="str">
        <f t="shared" si="32"/>
        <v>Medium sales</v>
      </c>
      <c r="J1079" s="33" t="str">
        <f t="shared" si="33"/>
        <v>not eligible</v>
      </c>
    </row>
    <row r="1080" spans="1:10" x14ac:dyDescent="0.35">
      <c r="A1080" s="31">
        <v>45164.692361111112</v>
      </c>
      <c r="B1080" s="32">
        <v>0.69222222222222218</v>
      </c>
      <c r="C1080" s="33" t="s">
        <v>8</v>
      </c>
      <c r="D1080" s="33" t="s">
        <v>12</v>
      </c>
      <c r="E1080" s="34">
        <v>360.45</v>
      </c>
      <c r="F1080" s="33">
        <v>3</v>
      </c>
      <c r="G1080" s="34">
        <v>1081.3499999999999</v>
      </c>
      <c r="H1080" s="33" t="s">
        <v>23</v>
      </c>
      <c r="I1080" s="33" t="str">
        <f t="shared" si="32"/>
        <v>Medium sales</v>
      </c>
      <c r="J1080" s="33" t="str">
        <f t="shared" si="33"/>
        <v>not eligible</v>
      </c>
    </row>
    <row r="1081" spans="1:10" x14ac:dyDescent="0.35">
      <c r="A1081" s="31">
        <v>45415.5625</v>
      </c>
      <c r="B1081" s="32">
        <v>0.99699074074074068</v>
      </c>
      <c r="C1081" s="33" t="s">
        <v>11</v>
      </c>
      <c r="D1081" s="33" t="s">
        <v>27</v>
      </c>
      <c r="E1081" s="34">
        <v>243.92</v>
      </c>
      <c r="F1081" s="33">
        <v>4</v>
      </c>
      <c r="G1081" s="34">
        <v>975.68</v>
      </c>
      <c r="H1081" s="33" t="s">
        <v>232</v>
      </c>
      <c r="I1081" s="33" t="str">
        <f t="shared" si="32"/>
        <v>Medium sales</v>
      </c>
      <c r="J1081" s="33" t="str">
        <f t="shared" si="33"/>
        <v>not eligible</v>
      </c>
    </row>
    <row r="1082" spans="1:10" x14ac:dyDescent="0.35">
      <c r="A1082" s="31">
        <v>45639.269444444442</v>
      </c>
      <c r="B1082" s="32">
        <v>0.16024305555555554</v>
      </c>
      <c r="C1082" s="33" t="s">
        <v>8</v>
      </c>
      <c r="D1082" s="33" t="s">
        <v>16</v>
      </c>
      <c r="E1082" s="34">
        <v>209.11</v>
      </c>
      <c r="F1082" s="33">
        <v>3</v>
      </c>
      <c r="G1082" s="34">
        <v>627.33000000000004</v>
      </c>
      <c r="H1082" s="33" t="s">
        <v>217</v>
      </c>
      <c r="I1082" s="33" t="str">
        <f t="shared" si="32"/>
        <v>Medium sales</v>
      </c>
      <c r="J1082" s="33" t="str">
        <f t="shared" si="33"/>
        <v>not eligible</v>
      </c>
    </row>
    <row r="1083" spans="1:10" x14ac:dyDescent="0.35">
      <c r="A1083" s="31">
        <v>45256.163194444445</v>
      </c>
      <c r="B1083" s="32">
        <v>0.87748842592592602</v>
      </c>
      <c r="C1083" s="33" t="s">
        <v>11</v>
      </c>
      <c r="D1083" s="33" t="s">
        <v>16</v>
      </c>
      <c r="E1083" s="34">
        <v>204.57</v>
      </c>
      <c r="F1083" s="33">
        <v>3</v>
      </c>
      <c r="G1083" s="34">
        <v>613.71</v>
      </c>
      <c r="H1083" s="33" t="s">
        <v>140</v>
      </c>
      <c r="I1083" s="33" t="str">
        <f t="shared" si="32"/>
        <v>Medium sales</v>
      </c>
      <c r="J1083" s="33" t="str">
        <f t="shared" si="33"/>
        <v>not eligible</v>
      </c>
    </row>
    <row r="1084" spans="1:10" x14ac:dyDescent="0.35">
      <c r="A1084" s="31">
        <v>44957.602083333331</v>
      </c>
      <c r="B1084" s="32">
        <v>7.69675925925926E-3</v>
      </c>
      <c r="C1084" s="33" t="s">
        <v>11</v>
      </c>
      <c r="D1084" s="33" t="s">
        <v>20</v>
      </c>
      <c r="E1084" s="34">
        <v>175.6</v>
      </c>
      <c r="F1084" s="33">
        <v>5</v>
      </c>
      <c r="G1084" s="34">
        <v>878</v>
      </c>
      <c r="H1084" s="33" t="s">
        <v>194</v>
      </c>
      <c r="I1084" s="33" t="str">
        <f t="shared" si="32"/>
        <v>Medium sales</v>
      </c>
      <c r="J1084" s="33" t="str">
        <f t="shared" si="33"/>
        <v>not eligible</v>
      </c>
    </row>
    <row r="1085" spans="1:10" x14ac:dyDescent="0.35">
      <c r="A1085" s="31">
        <v>45272.129861111112</v>
      </c>
      <c r="B1085" s="32">
        <v>0.6072453703703703</v>
      </c>
      <c r="C1085" s="33" t="s">
        <v>11</v>
      </c>
      <c r="D1085" s="33" t="s">
        <v>12</v>
      </c>
      <c r="E1085" s="34">
        <v>39.06</v>
      </c>
      <c r="F1085" s="33">
        <v>2</v>
      </c>
      <c r="G1085" s="34">
        <v>78.12</v>
      </c>
      <c r="H1085" s="33" t="s">
        <v>135</v>
      </c>
      <c r="I1085" s="33" t="str">
        <f t="shared" si="32"/>
        <v>Low sales</v>
      </c>
      <c r="J1085" s="33" t="str">
        <f t="shared" si="33"/>
        <v>not eligible</v>
      </c>
    </row>
    <row r="1086" spans="1:10" x14ac:dyDescent="0.35">
      <c r="A1086" s="31">
        <v>44973.583333333336</v>
      </c>
      <c r="B1086" s="32">
        <v>0.40585648148148151</v>
      </c>
      <c r="C1086" s="33" t="s">
        <v>8</v>
      </c>
      <c r="D1086" s="33" t="s">
        <v>16</v>
      </c>
      <c r="E1086" s="34">
        <v>24.19</v>
      </c>
      <c r="F1086" s="33">
        <v>2</v>
      </c>
      <c r="G1086" s="34">
        <v>48.38</v>
      </c>
      <c r="H1086" s="33" t="s">
        <v>203</v>
      </c>
      <c r="I1086" s="33" t="str">
        <f t="shared" si="32"/>
        <v>Low sales</v>
      </c>
      <c r="J1086" s="33" t="str">
        <f t="shared" si="33"/>
        <v>not eligible</v>
      </c>
    </row>
    <row r="1087" spans="1:10" x14ac:dyDescent="0.35">
      <c r="A1087" s="31">
        <v>45508.706944444442</v>
      </c>
      <c r="B1087" s="32">
        <v>0.62383101851851852</v>
      </c>
      <c r="C1087" s="33" t="s">
        <v>11</v>
      </c>
      <c r="D1087" s="33" t="s">
        <v>9</v>
      </c>
      <c r="E1087" s="34">
        <v>451.01</v>
      </c>
      <c r="F1087" s="33">
        <v>3</v>
      </c>
      <c r="G1087" s="34">
        <v>1353.03</v>
      </c>
      <c r="H1087" s="33" t="s">
        <v>170</v>
      </c>
      <c r="I1087" s="33" t="str">
        <f t="shared" si="32"/>
        <v>Medium sales</v>
      </c>
      <c r="J1087" s="33" t="str">
        <f t="shared" si="33"/>
        <v>eligible</v>
      </c>
    </row>
    <row r="1088" spans="1:10" x14ac:dyDescent="0.35">
      <c r="A1088" s="31">
        <v>45610.520138888889</v>
      </c>
      <c r="B1088" s="32">
        <v>1.6712962962962961E-2</v>
      </c>
      <c r="C1088" s="33" t="s">
        <v>8</v>
      </c>
      <c r="D1088" s="33" t="s">
        <v>16</v>
      </c>
      <c r="E1088" s="34">
        <v>55.27</v>
      </c>
      <c r="F1088" s="33">
        <v>4</v>
      </c>
      <c r="G1088" s="34">
        <v>221.08</v>
      </c>
      <c r="H1088" s="33" t="s">
        <v>169</v>
      </c>
      <c r="I1088" s="33" t="str">
        <f t="shared" si="32"/>
        <v>Low sales</v>
      </c>
      <c r="J1088" s="33" t="str">
        <f t="shared" si="33"/>
        <v>not eligible</v>
      </c>
    </row>
    <row r="1089" spans="1:10" x14ac:dyDescent="0.35">
      <c r="A1089" s="31">
        <v>45424.780555555553</v>
      </c>
      <c r="B1089" s="32">
        <v>0.67762731481481486</v>
      </c>
      <c r="C1089" s="33" t="s">
        <v>11</v>
      </c>
      <c r="D1089" s="33" t="s">
        <v>20</v>
      </c>
      <c r="E1089" s="34">
        <v>252.97</v>
      </c>
      <c r="F1089" s="33">
        <v>3</v>
      </c>
      <c r="G1089" s="34">
        <v>758.91</v>
      </c>
      <c r="H1089" s="33" t="s">
        <v>323</v>
      </c>
      <c r="I1089" s="33" t="str">
        <f t="shared" si="32"/>
        <v>Medium sales</v>
      </c>
      <c r="J1089" s="33" t="str">
        <f t="shared" si="33"/>
        <v>not eligible</v>
      </c>
    </row>
    <row r="1090" spans="1:10" x14ac:dyDescent="0.35">
      <c r="A1090" s="31">
        <v>45387.015277777777</v>
      </c>
      <c r="B1090" s="32">
        <v>0.1642824074074074</v>
      </c>
      <c r="C1090" s="33" t="s">
        <v>11</v>
      </c>
      <c r="D1090" s="33" t="s">
        <v>16</v>
      </c>
      <c r="E1090" s="34">
        <v>92.86</v>
      </c>
      <c r="F1090" s="33">
        <v>5</v>
      </c>
      <c r="G1090" s="34">
        <v>464.3</v>
      </c>
      <c r="H1090" s="33" t="s">
        <v>164</v>
      </c>
      <c r="I1090" s="33" t="str">
        <f t="shared" si="32"/>
        <v>Low sales</v>
      </c>
      <c r="J1090" s="33" t="str">
        <f t="shared" si="33"/>
        <v>not eligible</v>
      </c>
    </row>
    <row r="1091" spans="1:10" x14ac:dyDescent="0.35">
      <c r="A1091" s="31">
        <v>45547.386111111111</v>
      </c>
      <c r="B1091" s="32">
        <v>0.14472222222222222</v>
      </c>
      <c r="C1091" s="33" t="s">
        <v>11</v>
      </c>
      <c r="D1091" s="33" t="s">
        <v>16</v>
      </c>
      <c r="E1091" s="34">
        <v>389.7</v>
      </c>
      <c r="F1091" s="33">
        <v>5</v>
      </c>
      <c r="G1091" s="34">
        <v>1948.5</v>
      </c>
      <c r="H1091" s="33" t="s">
        <v>152</v>
      </c>
      <c r="I1091" s="33" t="str">
        <f t="shared" ref="I1091:I1154" si="34">IF(G1091&gt;1500,"High sales", IF(G1091&gt;500,"Medium sales", "Low sales"))</f>
        <v>High sales</v>
      </c>
      <c r="J1091" s="33" t="str">
        <f t="shared" ref="J1091:J1154" si="35">IF(AND(G1091&gt;1000,C1091="Premium"), "eligible", "not eligible")</f>
        <v>eligible</v>
      </c>
    </row>
    <row r="1092" spans="1:10" x14ac:dyDescent="0.35">
      <c r="A1092" s="31">
        <v>45179.317361111112</v>
      </c>
      <c r="B1092" s="32">
        <v>0.97271990740740744</v>
      </c>
      <c r="C1092" s="33" t="s">
        <v>14</v>
      </c>
      <c r="D1092" s="33" t="s">
        <v>12</v>
      </c>
      <c r="E1092" s="34">
        <v>166.74</v>
      </c>
      <c r="F1092" s="33">
        <v>4</v>
      </c>
      <c r="G1092" s="34">
        <v>666.96</v>
      </c>
      <c r="H1092" s="33" t="s">
        <v>74</v>
      </c>
      <c r="I1092" s="33" t="str">
        <f t="shared" si="34"/>
        <v>Medium sales</v>
      </c>
      <c r="J1092" s="33" t="str">
        <f t="shared" si="35"/>
        <v>not eligible</v>
      </c>
    </row>
    <row r="1093" spans="1:10" x14ac:dyDescent="0.35">
      <c r="A1093" s="31">
        <v>45592.456944444442</v>
      </c>
      <c r="B1093" s="32">
        <v>0.86736111111111114</v>
      </c>
      <c r="C1093" s="33" t="s">
        <v>14</v>
      </c>
      <c r="D1093" s="33" t="s">
        <v>27</v>
      </c>
      <c r="E1093" s="34">
        <v>263.95999999999998</v>
      </c>
      <c r="F1093" s="33">
        <v>1</v>
      </c>
      <c r="G1093" s="34">
        <v>263.95999999999998</v>
      </c>
      <c r="H1093" s="33" t="s">
        <v>125</v>
      </c>
      <c r="I1093" s="33" t="str">
        <f t="shared" si="34"/>
        <v>Low sales</v>
      </c>
      <c r="J1093" s="33" t="str">
        <f t="shared" si="35"/>
        <v>not eligible</v>
      </c>
    </row>
    <row r="1094" spans="1:10" x14ac:dyDescent="0.35">
      <c r="A1094" s="31">
        <v>45567.152777777781</v>
      </c>
      <c r="B1094" s="32">
        <v>0.50660879629629629</v>
      </c>
      <c r="C1094" s="33" t="s">
        <v>8</v>
      </c>
      <c r="D1094" s="33" t="s">
        <v>20</v>
      </c>
      <c r="E1094" s="34">
        <v>253.91</v>
      </c>
      <c r="F1094" s="33">
        <v>1</v>
      </c>
      <c r="G1094" s="34">
        <v>253.91</v>
      </c>
      <c r="H1094" s="33" t="s">
        <v>102</v>
      </c>
      <c r="I1094" s="33" t="str">
        <f t="shared" si="34"/>
        <v>Low sales</v>
      </c>
      <c r="J1094" s="33" t="str">
        <f t="shared" si="35"/>
        <v>not eligible</v>
      </c>
    </row>
    <row r="1095" spans="1:10" x14ac:dyDescent="0.35">
      <c r="A1095" s="31">
        <v>45273.095138888886</v>
      </c>
      <c r="B1095" s="32">
        <v>0.83853009259259259</v>
      </c>
      <c r="C1095" s="33" t="s">
        <v>11</v>
      </c>
      <c r="D1095" s="33" t="s">
        <v>20</v>
      </c>
      <c r="E1095" s="34">
        <v>476.31</v>
      </c>
      <c r="F1095" s="33">
        <v>1</v>
      </c>
      <c r="G1095" s="34">
        <v>476.31</v>
      </c>
      <c r="H1095" s="33" t="s">
        <v>318</v>
      </c>
      <c r="I1095" s="33" t="str">
        <f t="shared" si="34"/>
        <v>Low sales</v>
      </c>
      <c r="J1095" s="33" t="str">
        <f t="shared" si="35"/>
        <v>not eligible</v>
      </c>
    </row>
    <row r="1096" spans="1:10" x14ac:dyDescent="0.35">
      <c r="A1096" s="31">
        <v>44958.947222222225</v>
      </c>
      <c r="B1096" s="32">
        <v>0.80688657407407405</v>
      </c>
      <c r="C1096" s="33" t="s">
        <v>11</v>
      </c>
      <c r="D1096" s="33" t="s">
        <v>20</v>
      </c>
      <c r="E1096" s="34">
        <v>75.73</v>
      </c>
      <c r="F1096" s="33">
        <v>4</v>
      </c>
      <c r="G1096" s="34">
        <v>302.92</v>
      </c>
      <c r="H1096" s="33" t="s">
        <v>272</v>
      </c>
      <c r="I1096" s="33" t="str">
        <f t="shared" si="34"/>
        <v>Low sales</v>
      </c>
      <c r="J1096" s="33" t="str">
        <f t="shared" si="35"/>
        <v>not eligible</v>
      </c>
    </row>
    <row r="1097" spans="1:10" x14ac:dyDescent="0.35">
      <c r="A1097" s="31">
        <v>44981.550694444442</v>
      </c>
      <c r="B1097" s="32">
        <v>0.8522453703703704</v>
      </c>
      <c r="C1097" s="33" t="s">
        <v>11</v>
      </c>
      <c r="D1097" s="33" t="s">
        <v>16</v>
      </c>
      <c r="E1097" s="34">
        <v>14.31</v>
      </c>
      <c r="F1097" s="33">
        <v>2</v>
      </c>
      <c r="G1097" s="34">
        <v>28.62</v>
      </c>
      <c r="H1097" s="33" t="s">
        <v>121</v>
      </c>
      <c r="I1097" s="33" t="str">
        <f t="shared" si="34"/>
        <v>Low sales</v>
      </c>
      <c r="J1097" s="33" t="str">
        <f t="shared" si="35"/>
        <v>not eligible</v>
      </c>
    </row>
    <row r="1098" spans="1:10" x14ac:dyDescent="0.35">
      <c r="A1098" s="31">
        <v>45222.279861111114</v>
      </c>
      <c r="B1098" s="32">
        <v>0.65400462962962969</v>
      </c>
      <c r="C1098" s="33" t="s">
        <v>14</v>
      </c>
      <c r="D1098" s="33" t="s">
        <v>27</v>
      </c>
      <c r="E1098" s="34">
        <v>261.2</v>
      </c>
      <c r="F1098" s="33">
        <v>3</v>
      </c>
      <c r="G1098" s="34">
        <v>783.6</v>
      </c>
      <c r="H1098" s="33" t="s">
        <v>61</v>
      </c>
      <c r="I1098" s="33" t="str">
        <f t="shared" si="34"/>
        <v>Medium sales</v>
      </c>
      <c r="J1098" s="33" t="str">
        <f t="shared" si="35"/>
        <v>not eligible</v>
      </c>
    </row>
    <row r="1099" spans="1:10" x14ac:dyDescent="0.35">
      <c r="A1099" s="31">
        <v>45044.006944444445</v>
      </c>
      <c r="B1099" s="32">
        <v>0.82596064814814818</v>
      </c>
      <c r="C1099" s="33" t="s">
        <v>8</v>
      </c>
      <c r="D1099" s="33" t="s">
        <v>20</v>
      </c>
      <c r="E1099" s="34">
        <v>42.52</v>
      </c>
      <c r="F1099" s="33">
        <v>2</v>
      </c>
      <c r="G1099" s="34">
        <v>85.04</v>
      </c>
      <c r="H1099" s="33" t="s">
        <v>89</v>
      </c>
      <c r="I1099" s="33" t="str">
        <f t="shared" si="34"/>
        <v>Low sales</v>
      </c>
      <c r="J1099" s="33" t="str">
        <f t="shared" si="35"/>
        <v>not eligible</v>
      </c>
    </row>
    <row r="1100" spans="1:10" x14ac:dyDescent="0.35">
      <c r="A1100" s="31">
        <v>45156.71875</v>
      </c>
      <c r="B1100" s="32">
        <v>2.4699074074074078E-2</v>
      </c>
      <c r="C1100" s="33" t="s">
        <v>14</v>
      </c>
      <c r="D1100" s="33" t="s">
        <v>20</v>
      </c>
      <c r="E1100" s="34">
        <v>382.83</v>
      </c>
      <c r="F1100" s="33">
        <v>1</v>
      </c>
      <c r="G1100" s="34">
        <v>382.83</v>
      </c>
      <c r="H1100" s="33" t="s">
        <v>213</v>
      </c>
      <c r="I1100" s="33" t="str">
        <f t="shared" si="34"/>
        <v>Low sales</v>
      </c>
      <c r="J1100" s="33" t="str">
        <f t="shared" si="35"/>
        <v>not eligible</v>
      </c>
    </row>
    <row r="1101" spans="1:10" x14ac:dyDescent="0.35">
      <c r="A1101" s="31">
        <v>44954.137499999997</v>
      </c>
      <c r="B1101" s="32">
        <v>0.64466435185185189</v>
      </c>
      <c r="C1101" s="33" t="s">
        <v>14</v>
      </c>
      <c r="D1101" s="33" t="s">
        <v>20</v>
      </c>
      <c r="E1101" s="34">
        <v>187.15</v>
      </c>
      <c r="F1101" s="33">
        <v>4</v>
      </c>
      <c r="G1101" s="34">
        <v>748.6</v>
      </c>
      <c r="H1101" s="33" t="s">
        <v>372</v>
      </c>
      <c r="I1101" s="33" t="str">
        <f t="shared" si="34"/>
        <v>Medium sales</v>
      </c>
      <c r="J1101" s="33" t="str">
        <f t="shared" si="35"/>
        <v>not eligible</v>
      </c>
    </row>
    <row r="1102" spans="1:10" x14ac:dyDescent="0.35">
      <c r="A1102" s="31">
        <v>45427.893055555556</v>
      </c>
      <c r="B1102" s="32">
        <v>0.31616898148148148</v>
      </c>
      <c r="C1102" s="33" t="s">
        <v>14</v>
      </c>
      <c r="D1102" s="33" t="s">
        <v>20</v>
      </c>
      <c r="E1102" s="34">
        <v>36.35</v>
      </c>
      <c r="F1102" s="33">
        <v>2</v>
      </c>
      <c r="G1102" s="34">
        <v>72.7</v>
      </c>
      <c r="H1102" s="33" t="s">
        <v>312</v>
      </c>
      <c r="I1102" s="33" t="str">
        <f t="shared" si="34"/>
        <v>Low sales</v>
      </c>
      <c r="J1102" s="33" t="str">
        <f t="shared" si="35"/>
        <v>not eligible</v>
      </c>
    </row>
    <row r="1103" spans="1:10" x14ac:dyDescent="0.35">
      <c r="A1103" s="31">
        <v>45103.220833333333</v>
      </c>
      <c r="B1103" s="32">
        <v>0.4244560185185185</v>
      </c>
      <c r="C1103" s="33" t="s">
        <v>14</v>
      </c>
      <c r="D1103" s="33" t="s">
        <v>9</v>
      </c>
      <c r="E1103" s="34">
        <v>369.92</v>
      </c>
      <c r="F1103" s="33">
        <v>5</v>
      </c>
      <c r="G1103" s="34">
        <v>1849.6</v>
      </c>
      <c r="H1103" s="33" t="s">
        <v>250</v>
      </c>
      <c r="I1103" s="33" t="str">
        <f t="shared" si="34"/>
        <v>High sales</v>
      </c>
      <c r="J1103" s="33" t="str">
        <f t="shared" si="35"/>
        <v>not eligible</v>
      </c>
    </row>
    <row r="1104" spans="1:10" x14ac:dyDescent="0.35">
      <c r="A1104" s="31">
        <v>44990.114583333336</v>
      </c>
      <c r="B1104" s="32">
        <v>0.15752314814814813</v>
      </c>
      <c r="C1104" s="33" t="s">
        <v>8</v>
      </c>
      <c r="D1104" s="33" t="s">
        <v>27</v>
      </c>
      <c r="E1104" s="34">
        <v>360.06</v>
      </c>
      <c r="F1104" s="33">
        <v>1</v>
      </c>
      <c r="G1104" s="34">
        <v>360.06</v>
      </c>
      <c r="H1104" s="33" t="s">
        <v>179</v>
      </c>
      <c r="I1104" s="33" t="str">
        <f t="shared" si="34"/>
        <v>Low sales</v>
      </c>
      <c r="J1104" s="33" t="str">
        <f t="shared" si="35"/>
        <v>not eligible</v>
      </c>
    </row>
    <row r="1105" spans="1:10" x14ac:dyDescent="0.35">
      <c r="A1105" s="31">
        <v>45654.478472222225</v>
      </c>
      <c r="B1105" s="32">
        <v>0.77630787037037041</v>
      </c>
      <c r="C1105" s="33" t="s">
        <v>11</v>
      </c>
      <c r="D1105" s="33" t="s">
        <v>20</v>
      </c>
      <c r="E1105" s="34">
        <v>226.8</v>
      </c>
      <c r="F1105" s="33">
        <v>3</v>
      </c>
      <c r="G1105" s="34">
        <v>680.4</v>
      </c>
      <c r="H1105" s="33" t="s">
        <v>310</v>
      </c>
      <c r="I1105" s="33" t="str">
        <f t="shared" si="34"/>
        <v>Medium sales</v>
      </c>
      <c r="J1105" s="33" t="str">
        <f t="shared" si="35"/>
        <v>not eligible</v>
      </c>
    </row>
    <row r="1106" spans="1:10" x14ac:dyDescent="0.35">
      <c r="A1106" s="31">
        <v>44977.579861111109</v>
      </c>
      <c r="B1106" s="32">
        <v>0.89369212962962974</v>
      </c>
      <c r="C1106" s="33" t="s">
        <v>14</v>
      </c>
      <c r="D1106" s="33" t="s">
        <v>16</v>
      </c>
      <c r="E1106" s="34">
        <v>414.5</v>
      </c>
      <c r="F1106" s="33">
        <v>4</v>
      </c>
      <c r="G1106" s="34">
        <v>1658</v>
      </c>
      <c r="H1106" s="33" t="s">
        <v>386</v>
      </c>
      <c r="I1106" s="33" t="str">
        <f t="shared" si="34"/>
        <v>High sales</v>
      </c>
      <c r="J1106" s="33" t="str">
        <f t="shared" si="35"/>
        <v>not eligible</v>
      </c>
    </row>
    <row r="1107" spans="1:10" x14ac:dyDescent="0.35">
      <c r="A1107" s="31">
        <v>45381.715277777781</v>
      </c>
      <c r="B1107" s="32">
        <v>0.84167824074074071</v>
      </c>
      <c r="C1107" s="33" t="s">
        <v>11</v>
      </c>
      <c r="D1107" s="33" t="s">
        <v>20</v>
      </c>
      <c r="E1107" s="34">
        <v>481.81</v>
      </c>
      <c r="F1107" s="33">
        <v>3</v>
      </c>
      <c r="G1107" s="34">
        <v>1445.43</v>
      </c>
      <c r="H1107" s="33" t="s">
        <v>225</v>
      </c>
      <c r="I1107" s="33" t="str">
        <f t="shared" si="34"/>
        <v>Medium sales</v>
      </c>
      <c r="J1107" s="33" t="str">
        <f t="shared" si="35"/>
        <v>eligible</v>
      </c>
    </row>
    <row r="1108" spans="1:10" x14ac:dyDescent="0.35">
      <c r="A1108" s="31">
        <v>45629.230555555558</v>
      </c>
      <c r="B1108" s="32">
        <v>0.37885416666666666</v>
      </c>
      <c r="C1108" s="33" t="s">
        <v>11</v>
      </c>
      <c r="D1108" s="33" t="s">
        <v>12</v>
      </c>
      <c r="E1108" s="34">
        <v>362.29</v>
      </c>
      <c r="F1108" s="33">
        <v>2</v>
      </c>
      <c r="G1108" s="34">
        <v>724.58</v>
      </c>
      <c r="H1108" s="33" t="s">
        <v>105</v>
      </c>
      <c r="I1108" s="33" t="str">
        <f t="shared" si="34"/>
        <v>Medium sales</v>
      </c>
      <c r="J1108" s="33" t="str">
        <f t="shared" si="35"/>
        <v>not eligible</v>
      </c>
    </row>
    <row r="1109" spans="1:10" x14ac:dyDescent="0.35">
      <c r="A1109" s="31">
        <v>45513.227083333331</v>
      </c>
      <c r="B1109" s="32">
        <v>0.94335648148148143</v>
      </c>
      <c r="C1109" s="33" t="s">
        <v>11</v>
      </c>
      <c r="D1109" s="33" t="s">
        <v>12</v>
      </c>
      <c r="E1109" s="34">
        <v>247.94</v>
      </c>
      <c r="F1109" s="33">
        <v>2</v>
      </c>
      <c r="G1109" s="34">
        <v>495.88</v>
      </c>
      <c r="H1109" s="33" t="s">
        <v>97</v>
      </c>
      <c r="I1109" s="33" t="str">
        <f t="shared" si="34"/>
        <v>Low sales</v>
      </c>
      <c r="J1109" s="33" t="str">
        <f t="shared" si="35"/>
        <v>not eligible</v>
      </c>
    </row>
    <row r="1110" spans="1:10" x14ac:dyDescent="0.35">
      <c r="A1110" s="31">
        <v>45073.96875</v>
      </c>
      <c r="B1110" s="32">
        <v>0.38961805555555556</v>
      </c>
      <c r="C1110" s="33" t="s">
        <v>14</v>
      </c>
      <c r="D1110" s="33" t="s">
        <v>12</v>
      </c>
      <c r="E1110" s="34">
        <v>179</v>
      </c>
      <c r="F1110" s="33">
        <v>5</v>
      </c>
      <c r="G1110" s="34">
        <v>895</v>
      </c>
      <c r="H1110" s="33" t="s">
        <v>360</v>
      </c>
      <c r="I1110" s="33" t="str">
        <f t="shared" si="34"/>
        <v>Medium sales</v>
      </c>
      <c r="J1110" s="33" t="str">
        <f t="shared" si="35"/>
        <v>not eligible</v>
      </c>
    </row>
    <row r="1111" spans="1:10" x14ac:dyDescent="0.35">
      <c r="A1111" s="31">
        <v>45158.26458333333</v>
      </c>
      <c r="B1111" s="32">
        <v>0.87165509259259266</v>
      </c>
      <c r="C1111" s="33" t="s">
        <v>14</v>
      </c>
      <c r="D1111" s="33" t="s">
        <v>9</v>
      </c>
      <c r="E1111" s="34">
        <v>298.64</v>
      </c>
      <c r="F1111" s="33">
        <v>3</v>
      </c>
      <c r="G1111" s="34">
        <v>895.92</v>
      </c>
      <c r="H1111" s="33" t="s">
        <v>40</v>
      </c>
      <c r="I1111" s="33" t="str">
        <f t="shared" si="34"/>
        <v>Medium sales</v>
      </c>
      <c r="J1111" s="33" t="str">
        <f t="shared" si="35"/>
        <v>not eligible</v>
      </c>
    </row>
    <row r="1112" spans="1:10" x14ac:dyDescent="0.35">
      <c r="A1112" s="31">
        <v>45619.536805555559</v>
      </c>
      <c r="B1112" s="32">
        <v>0.96483796296296298</v>
      </c>
      <c r="C1112" s="33" t="s">
        <v>11</v>
      </c>
      <c r="D1112" s="33" t="s">
        <v>9</v>
      </c>
      <c r="E1112" s="34">
        <v>101.21</v>
      </c>
      <c r="F1112" s="33">
        <v>3</v>
      </c>
      <c r="G1112" s="34">
        <v>303.63</v>
      </c>
      <c r="H1112" s="33" t="s">
        <v>172</v>
      </c>
      <c r="I1112" s="33" t="str">
        <f t="shared" si="34"/>
        <v>Low sales</v>
      </c>
      <c r="J1112" s="33" t="str">
        <f t="shared" si="35"/>
        <v>not eligible</v>
      </c>
    </row>
    <row r="1113" spans="1:10" x14ac:dyDescent="0.35">
      <c r="A1113" s="31">
        <v>45206.005555555559</v>
      </c>
      <c r="B1113" s="32">
        <v>9.9618055555555543E-2</v>
      </c>
      <c r="C1113" s="33" t="s">
        <v>8</v>
      </c>
      <c r="D1113" s="33" t="s">
        <v>12</v>
      </c>
      <c r="E1113" s="34">
        <v>479.58</v>
      </c>
      <c r="F1113" s="33">
        <v>1</v>
      </c>
      <c r="G1113" s="34">
        <v>479.58</v>
      </c>
      <c r="H1113" s="33" t="s">
        <v>296</v>
      </c>
      <c r="I1113" s="33" t="str">
        <f t="shared" si="34"/>
        <v>Low sales</v>
      </c>
      <c r="J1113" s="33" t="str">
        <f t="shared" si="35"/>
        <v>not eligible</v>
      </c>
    </row>
    <row r="1114" spans="1:10" x14ac:dyDescent="0.35">
      <c r="A1114" s="31">
        <v>45130.286111111112</v>
      </c>
      <c r="B1114" s="32">
        <v>0.91850694444444436</v>
      </c>
      <c r="C1114" s="33" t="s">
        <v>11</v>
      </c>
      <c r="D1114" s="33" t="s">
        <v>16</v>
      </c>
      <c r="E1114" s="34">
        <v>177.73</v>
      </c>
      <c r="F1114" s="33">
        <v>1</v>
      </c>
      <c r="G1114" s="34">
        <v>177.73</v>
      </c>
      <c r="H1114" s="33" t="s">
        <v>372</v>
      </c>
      <c r="I1114" s="33" t="str">
        <f t="shared" si="34"/>
        <v>Low sales</v>
      </c>
      <c r="J1114" s="33" t="str">
        <f t="shared" si="35"/>
        <v>not eligible</v>
      </c>
    </row>
    <row r="1115" spans="1:10" x14ac:dyDescent="0.35">
      <c r="A1115" s="31">
        <v>45490.168055555558</v>
      </c>
      <c r="B1115" s="32">
        <v>1.0856481481481481E-2</v>
      </c>
      <c r="C1115" s="33" t="s">
        <v>11</v>
      </c>
      <c r="D1115" s="33" t="s">
        <v>27</v>
      </c>
      <c r="E1115" s="34">
        <v>59.37</v>
      </c>
      <c r="F1115" s="33">
        <v>4</v>
      </c>
      <c r="G1115" s="34">
        <v>237.48</v>
      </c>
      <c r="H1115" s="33" t="s">
        <v>239</v>
      </c>
      <c r="I1115" s="33" t="str">
        <f t="shared" si="34"/>
        <v>Low sales</v>
      </c>
      <c r="J1115" s="33" t="str">
        <f t="shared" si="35"/>
        <v>not eligible</v>
      </c>
    </row>
    <row r="1116" spans="1:10" x14ac:dyDescent="0.35">
      <c r="A1116" s="31">
        <v>45393.785416666666</v>
      </c>
      <c r="B1116" s="32">
        <v>0.6127083333333333</v>
      </c>
      <c r="C1116" s="33" t="s">
        <v>11</v>
      </c>
      <c r="D1116" s="33" t="s">
        <v>20</v>
      </c>
      <c r="E1116" s="34">
        <v>300.45</v>
      </c>
      <c r="F1116" s="33">
        <v>4</v>
      </c>
      <c r="G1116" s="34">
        <v>1201.8</v>
      </c>
      <c r="H1116" s="33" t="s">
        <v>248</v>
      </c>
      <c r="I1116" s="33" t="str">
        <f t="shared" si="34"/>
        <v>Medium sales</v>
      </c>
      <c r="J1116" s="33" t="str">
        <f t="shared" si="35"/>
        <v>eligible</v>
      </c>
    </row>
    <row r="1117" spans="1:10" x14ac:dyDescent="0.35">
      <c r="A1117" s="31">
        <v>44989.726388888892</v>
      </c>
      <c r="B1117" s="32">
        <v>0.66690972222222211</v>
      </c>
      <c r="C1117" s="33" t="s">
        <v>11</v>
      </c>
      <c r="D1117" s="33" t="s">
        <v>27</v>
      </c>
      <c r="E1117" s="34">
        <v>69.81</v>
      </c>
      <c r="F1117" s="33">
        <v>4</v>
      </c>
      <c r="G1117" s="34">
        <v>279.24</v>
      </c>
      <c r="H1117" s="33" t="s">
        <v>121</v>
      </c>
      <c r="I1117" s="33" t="str">
        <f t="shared" si="34"/>
        <v>Low sales</v>
      </c>
      <c r="J1117" s="33" t="str">
        <f t="shared" si="35"/>
        <v>not eligible</v>
      </c>
    </row>
    <row r="1118" spans="1:10" x14ac:dyDescent="0.35">
      <c r="A1118" s="31">
        <v>45363.379166666666</v>
      </c>
      <c r="B1118" s="32">
        <v>0.26503472222222219</v>
      </c>
      <c r="C1118" s="33" t="s">
        <v>11</v>
      </c>
      <c r="D1118" s="33" t="s">
        <v>12</v>
      </c>
      <c r="E1118" s="34">
        <v>310.81</v>
      </c>
      <c r="F1118" s="33">
        <v>4</v>
      </c>
      <c r="G1118" s="34">
        <v>1243.24</v>
      </c>
      <c r="H1118" s="33" t="s">
        <v>286</v>
      </c>
      <c r="I1118" s="33" t="str">
        <f t="shared" si="34"/>
        <v>Medium sales</v>
      </c>
      <c r="J1118" s="33" t="str">
        <f t="shared" si="35"/>
        <v>eligible</v>
      </c>
    </row>
    <row r="1119" spans="1:10" x14ac:dyDescent="0.35">
      <c r="A1119" s="31">
        <v>45459.310416666667</v>
      </c>
      <c r="B1119" s="32">
        <v>0.48700231481481482</v>
      </c>
      <c r="C1119" s="33" t="s">
        <v>14</v>
      </c>
      <c r="D1119" s="33" t="s">
        <v>9</v>
      </c>
      <c r="E1119" s="34">
        <v>69.41</v>
      </c>
      <c r="F1119" s="33">
        <v>5</v>
      </c>
      <c r="G1119" s="34">
        <v>347.05</v>
      </c>
      <c r="H1119" s="33" t="s">
        <v>101</v>
      </c>
      <c r="I1119" s="33" t="str">
        <f t="shared" si="34"/>
        <v>Low sales</v>
      </c>
      <c r="J1119" s="33" t="str">
        <f t="shared" si="35"/>
        <v>not eligible</v>
      </c>
    </row>
    <row r="1120" spans="1:10" x14ac:dyDescent="0.35">
      <c r="A1120" s="31">
        <v>45156.840277777781</v>
      </c>
      <c r="B1120" s="32">
        <v>0.82887731481481486</v>
      </c>
      <c r="C1120" s="33" t="s">
        <v>8</v>
      </c>
      <c r="D1120" s="33" t="s">
        <v>12</v>
      </c>
      <c r="E1120" s="34">
        <v>482.69</v>
      </c>
      <c r="F1120" s="33">
        <v>4</v>
      </c>
      <c r="G1120" s="34">
        <v>1930.76</v>
      </c>
      <c r="H1120" s="33" t="s">
        <v>387</v>
      </c>
      <c r="I1120" s="33" t="str">
        <f t="shared" si="34"/>
        <v>High sales</v>
      </c>
      <c r="J1120" s="33" t="str">
        <f t="shared" si="35"/>
        <v>not eligible</v>
      </c>
    </row>
    <row r="1121" spans="1:10" x14ac:dyDescent="0.35">
      <c r="A1121" s="31">
        <v>45486.130555555559</v>
      </c>
      <c r="B1121" s="32">
        <v>0.90425925925925921</v>
      </c>
      <c r="C1121" s="33" t="s">
        <v>11</v>
      </c>
      <c r="D1121" s="33" t="s">
        <v>9</v>
      </c>
      <c r="E1121" s="34">
        <v>86.42</v>
      </c>
      <c r="F1121" s="33">
        <v>2</v>
      </c>
      <c r="G1121" s="34">
        <v>172.84</v>
      </c>
      <c r="H1121" s="33" t="s">
        <v>243</v>
      </c>
      <c r="I1121" s="33" t="str">
        <f t="shared" si="34"/>
        <v>Low sales</v>
      </c>
      <c r="J1121" s="33" t="str">
        <f t="shared" si="35"/>
        <v>not eligible</v>
      </c>
    </row>
    <row r="1122" spans="1:10" x14ac:dyDescent="0.35">
      <c r="A1122" s="31">
        <v>45618.681944444441</v>
      </c>
      <c r="B1122" s="32">
        <v>0.96931712962962957</v>
      </c>
      <c r="C1122" s="33" t="s">
        <v>11</v>
      </c>
      <c r="D1122" s="33" t="s">
        <v>27</v>
      </c>
      <c r="E1122" s="34">
        <v>320.68</v>
      </c>
      <c r="F1122" s="33">
        <v>3</v>
      </c>
      <c r="G1122" s="34">
        <v>962.04</v>
      </c>
      <c r="H1122" s="33" t="s">
        <v>315</v>
      </c>
      <c r="I1122" s="33" t="str">
        <f t="shared" si="34"/>
        <v>Medium sales</v>
      </c>
      <c r="J1122" s="33" t="str">
        <f t="shared" si="35"/>
        <v>not eligible</v>
      </c>
    </row>
    <row r="1123" spans="1:10" x14ac:dyDescent="0.35">
      <c r="A1123" s="31">
        <v>45446.782638888886</v>
      </c>
      <c r="B1123" s="32">
        <v>0.72401620370370379</v>
      </c>
      <c r="C1123" s="33" t="s">
        <v>11</v>
      </c>
      <c r="D1123" s="33" t="s">
        <v>20</v>
      </c>
      <c r="E1123" s="34">
        <v>104.56</v>
      </c>
      <c r="F1123" s="33">
        <v>4</v>
      </c>
      <c r="G1123" s="34">
        <v>418.24</v>
      </c>
      <c r="H1123" s="33" t="s">
        <v>173</v>
      </c>
      <c r="I1123" s="33" t="str">
        <f t="shared" si="34"/>
        <v>Low sales</v>
      </c>
      <c r="J1123" s="33" t="str">
        <f t="shared" si="35"/>
        <v>not eligible</v>
      </c>
    </row>
    <row r="1124" spans="1:10" x14ac:dyDescent="0.35">
      <c r="A1124" s="31">
        <v>45190.302777777775</v>
      </c>
      <c r="B1124" s="32">
        <v>0.27568287037037037</v>
      </c>
      <c r="C1124" s="33" t="s">
        <v>8</v>
      </c>
      <c r="D1124" s="33" t="s">
        <v>27</v>
      </c>
      <c r="E1124" s="34">
        <v>326.10000000000002</v>
      </c>
      <c r="F1124" s="33">
        <v>3</v>
      </c>
      <c r="G1124" s="34">
        <v>978.3</v>
      </c>
      <c r="H1124" s="33" t="s">
        <v>23</v>
      </c>
      <c r="I1124" s="33" t="str">
        <f t="shared" si="34"/>
        <v>Medium sales</v>
      </c>
      <c r="J1124" s="33" t="str">
        <f t="shared" si="35"/>
        <v>not eligible</v>
      </c>
    </row>
    <row r="1125" spans="1:10" x14ac:dyDescent="0.35">
      <c r="A1125" s="31">
        <v>45580.011111111111</v>
      </c>
      <c r="B1125" s="32">
        <v>0.27552083333333333</v>
      </c>
      <c r="C1125" s="33" t="s">
        <v>8</v>
      </c>
      <c r="D1125" s="33" t="s">
        <v>9</v>
      </c>
      <c r="E1125" s="34">
        <v>277.38</v>
      </c>
      <c r="F1125" s="33">
        <v>3</v>
      </c>
      <c r="G1125" s="34">
        <v>832.14</v>
      </c>
      <c r="H1125" s="33" t="s">
        <v>335</v>
      </c>
      <c r="I1125" s="33" t="str">
        <f t="shared" si="34"/>
        <v>Medium sales</v>
      </c>
      <c r="J1125" s="33" t="str">
        <f t="shared" si="35"/>
        <v>not eligible</v>
      </c>
    </row>
    <row r="1126" spans="1:10" x14ac:dyDescent="0.35">
      <c r="A1126" s="31">
        <v>44995.396527777775</v>
      </c>
      <c r="B1126" s="32">
        <v>0.26060185185185186</v>
      </c>
      <c r="C1126" s="33" t="s">
        <v>11</v>
      </c>
      <c r="D1126" s="33" t="s">
        <v>12</v>
      </c>
      <c r="E1126" s="34">
        <v>417.81</v>
      </c>
      <c r="F1126" s="33">
        <v>3</v>
      </c>
      <c r="G1126" s="34">
        <v>1253.43</v>
      </c>
      <c r="H1126" s="33" t="s">
        <v>187</v>
      </c>
      <c r="I1126" s="33" t="str">
        <f t="shared" si="34"/>
        <v>Medium sales</v>
      </c>
      <c r="J1126" s="33" t="str">
        <f t="shared" si="35"/>
        <v>eligible</v>
      </c>
    </row>
    <row r="1127" spans="1:10" x14ac:dyDescent="0.35">
      <c r="A1127" s="31">
        <v>45461.963194444441</v>
      </c>
      <c r="B1127" s="32">
        <v>0.18096064814814816</v>
      </c>
      <c r="C1127" s="33" t="s">
        <v>8</v>
      </c>
      <c r="D1127" s="33" t="s">
        <v>20</v>
      </c>
      <c r="E1127" s="34">
        <v>356.61</v>
      </c>
      <c r="F1127" s="33">
        <v>2</v>
      </c>
      <c r="G1127" s="34">
        <v>713.22</v>
      </c>
      <c r="H1127" s="33" t="s">
        <v>388</v>
      </c>
      <c r="I1127" s="33" t="str">
        <f t="shared" si="34"/>
        <v>Medium sales</v>
      </c>
      <c r="J1127" s="33" t="str">
        <f t="shared" si="35"/>
        <v>not eligible</v>
      </c>
    </row>
    <row r="1128" spans="1:10" x14ac:dyDescent="0.35">
      <c r="A1128" s="31">
        <v>44940.647916666669</v>
      </c>
      <c r="B1128" s="32">
        <v>0.30715277777777777</v>
      </c>
      <c r="C1128" s="33" t="s">
        <v>11</v>
      </c>
      <c r="D1128" s="33" t="s">
        <v>20</v>
      </c>
      <c r="E1128" s="34">
        <v>361.38</v>
      </c>
      <c r="F1128" s="33">
        <v>3</v>
      </c>
      <c r="G1128" s="34">
        <v>1084.1400000000001</v>
      </c>
      <c r="H1128" s="33" t="s">
        <v>280</v>
      </c>
      <c r="I1128" s="33" t="str">
        <f t="shared" si="34"/>
        <v>Medium sales</v>
      </c>
      <c r="J1128" s="33" t="str">
        <f t="shared" si="35"/>
        <v>eligible</v>
      </c>
    </row>
    <row r="1129" spans="1:10" x14ac:dyDescent="0.35">
      <c r="A1129" s="31">
        <v>45257.272222222222</v>
      </c>
      <c r="B1129" s="32">
        <v>0.88936342592592599</v>
      </c>
      <c r="C1129" s="33" t="s">
        <v>8</v>
      </c>
      <c r="D1129" s="33" t="s">
        <v>27</v>
      </c>
      <c r="E1129" s="34">
        <v>84.74</v>
      </c>
      <c r="F1129" s="33">
        <v>1</v>
      </c>
      <c r="G1129" s="34">
        <v>84.74</v>
      </c>
      <c r="H1129" s="33" t="s">
        <v>389</v>
      </c>
      <c r="I1129" s="33" t="str">
        <f t="shared" si="34"/>
        <v>Low sales</v>
      </c>
      <c r="J1129" s="33" t="str">
        <f t="shared" si="35"/>
        <v>not eligible</v>
      </c>
    </row>
    <row r="1130" spans="1:10" x14ac:dyDescent="0.35">
      <c r="A1130" s="31">
        <v>44976.904166666667</v>
      </c>
      <c r="B1130" s="32">
        <v>0.9665625000000001</v>
      </c>
      <c r="C1130" s="33" t="s">
        <v>8</v>
      </c>
      <c r="D1130" s="33" t="s">
        <v>27</v>
      </c>
      <c r="E1130" s="34">
        <v>282.45999999999998</v>
      </c>
      <c r="F1130" s="33">
        <v>2</v>
      </c>
      <c r="G1130" s="34">
        <v>564.91999999999996</v>
      </c>
      <c r="H1130" s="33" t="s">
        <v>68</v>
      </c>
      <c r="I1130" s="33" t="str">
        <f t="shared" si="34"/>
        <v>Medium sales</v>
      </c>
      <c r="J1130" s="33" t="str">
        <f t="shared" si="35"/>
        <v>not eligible</v>
      </c>
    </row>
    <row r="1131" spans="1:10" x14ac:dyDescent="0.35">
      <c r="A1131" s="31">
        <v>44959.336111111108</v>
      </c>
      <c r="B1131" s="32">
        <v>0.3104513888888889</v>
      </c>
      <c r="C1131" s="33" t="s">
        <v>14</v>
      </c>
      <c r="D1131" s="33" t="s">
        <v>12</v>
      </c>
      <c r="E1131" s="34">
        <v>40.07</v>
      </c>
      <c r="F1131" s="33">
        <v>4</v>
      </c>
      <c r="G1131" s="34">
        <v>160.28</v>
      </c>
      <c r="H1131" s="33" t="s">
        <v>262</v>
      </c>
      <c r="I1131" s="33" t="str">
        <f t="shared" si="34"/>
        <v>Low sales</v>
      </c>
      <c r="J1131" s="33" t="str">
        <f t="shared" si="35"/>
        <v>not eligible</v>
      </c>
    </row>
    <row r="1132" spans="1:10" x14ac:dyDescent="0.35">
      <c r="A1132" s="31">
        <v>45370.265277777777</v>
      </c>
      <c r="B1132" s="32">
        <v>0.8781944444444445</v>
      </c>
      <c r="C1132" s="33" t="s">
        <v>8</v>
      </c>
      <c r="D1132" s="33" t="s">
        <v>27</v>
      </c>
      <c r="E1132" s="34">
        <v>151.59</v>
      </c>
      <c r="F1132" s="33">
        <v>4</v>
      </c>
      <c r="G1132" s="34">
        <v>606.36</v>
      </c>
      <c r="H1132" s="33" t="s">
        <v>364</v>
      </c>
      <c r="I1132" s="33" t="str">
        <f t="shared" si="34"/>
        <v>Medium sales</v>
      </c>
      <c r="J1132" s="33" t="str">
        <f t="shared" si="35"/>
        <v>not eligible</v>
      </c>
    </row>
    <row r="1133" spans="1:10" x14ac:dyDescent="0.35">
      <c r="A1133" s="31">
        <v>45259.973611111112</v>
      </c>
      <c r="B1133" s="32">
        <v>0.98315972222222225</v>
      </c>
      <c r="C1133" s="33" t="s">
        <v>11</v>
      </c>
      <c r="D1133" s="33" t="s">
        <v>12</v>
      </c>
      <c r="E1133" s="34">
        <v>182.72</v>
      </c>
      <c r="F1133" s="33">
        <v>4</v>
      </c>
      <c r="G1133" s="34">
        <v>730.88</v>
      </c>
      <c r="H1133" s="33" t="s">
        <v>281</v>
      </c>
      <c r="I1133" s="33" t="str">
        <f t="shared" si="34"/>
        <v>Medium sales</v>
      </c>
      <c r="J1133" s="33" t="str">
        <f t="shared" si="35"/>
        <v>not eligible</v>
      </c>
    </row>
    <row r="1134" spans="1:10" x14ac:dyDescent="0.35">
      <c r="A1134" s="31">
        <v>44965.488888888889</v>
      </c>
      <c r="B1134" s="32">
        <v>0.32609953703703703</v>
      </c>
      <c r="C1134" s="33" t="s">
        <v>8</v>
      </c>
      <c r="D1134" s="33" t="s">
        <v>9</v>
      </c>
      <c r="E1134" s="34">
        <v>478.03</v>
      </c>
      <c r="F1134" s="33">
        <v>4</v>
      </c>
      <c r="G1134" s="34">
        <v>1912.12</v>
      </c>
      <c r="H1134" s="33" t="s">
        <v>380</v>
      </c>
      <c r="I1134" s="33" t="str">
        <f t="shared" si="34"/>
        <v>High sales</v>
      </c>
      <c r="J1134" s="33" t="str">
        <f t="shared" si="35"/>
        <v>not eligible</v>
      </c>
    </row>
    <row r="1135" spans="1:10" x14ac:dyDescent="0.35">
      <c r="A1135" s="31">
        <v>45628.038194444445</v>
      </c>
      <c r="B1135" s="32">
        <v>0.81344907407407396</v>
      </c>
      <c r="C1135" s="33" t="s">
        <v>11</v>
      </c>
      <c r="D1135" s="33" t="s">
        <v>9</v>
      </c>
      <c r="E1135" s="34">
        <v>331.4</v>
      </c>
      <c r="F1135" s="33">
        <v>4</v>
      </c>
      <c r="G1135" s="34">
        <v>1325.6</v>
      </c>
      <c r="H1135" s="33" t="s">
        <v>39</v>
      </c>
      <c r="I1135" s="33" t="str">
        <f t="shared" si="34"/>
        <v>Medium sales</v>
      </c>
      <c r="J1135" s="33" t="str">
        <f t="shared" si="35"/>
        <v>eligible</v>
      </c>
    </row>
    <row r="1136" spans="1:10" x14ac:dyDescent="0.35">
      <c r="A1136" s="31">
        <v>45194.334027777775</v>
      </c>
      <c r="B1136" s="32">
        <v>0.53500000000000003</v>
      </c>
      <c r="C1136" s="33" t="s">
        <v>8</v>
      </c>
      <c r="D1136" s="33" t="s">
        <v>12</v>
      </c>
      <c r="E1136" s="34">
        <v>100.39</v>
      </c>
      <c r="F1136" s="33">
        <v>1</v>
      </c>
      <c r="G1136" s="34">
        <v>100.39</v>
      </c>
      <c r="H1136" s="33" t="s">
        <v>390</v>
      </c>
      <c r="I1136" s="33" t="str">
        <f t="shared" si="34"/>
        <v>Low sales</v>
      </c>
      <c r="J1136" s="33" t="str">
        <f t="shared" si="35"/>
        <v>not eligible</v>
      </c>
    </row>
    <row r="1137" spans="1:10" x14ac:dyDescent="0.35">
      <c r="A1137" s="31">
        <v>45218.283333333333</v>
      </c>
      <c r="B1137" s="32">
        <v>0.89341435185185192</v>
      </c>
      <c r="C1137" s="33" t="s">
        <v>8</v>
      </c>
      <c r="D1137" s="33" t="s">
        <v>20</v>
      </c>
      <c r="E1137" s="34">
        <v>251.14</v>
      </c>
      <c r="F1137" s="33">
        <v>5</v>
      </c>
      <c r="G1137" s="34">
        <v>1255.7</v>
      </c>
      <c r="H1137" s="33" t="s">
        <v>168</v>
      </c>
      <c r="I1137" s="33" t="str">
        <f t="shared" si="34"/>
        <v>Medium sales</v>
      </c>
      <c r="J1137" s="33" t="str">
        <f t="shared" si="35"/>
        <v>not eligible</v>
      </c>
    </row>
    <row r="1138" spans="1:10" x14ac:dyDescent="0.35">
      <c r="A1138" s="31">
        <v>45264.283333333333</v>
      </c>
      <c r="B1138" s="32">
        <v>0.74331018518518521</v>
      </c>
      <c r="C1138" s="33" t="s">
        <v>8</v>
      </c>
      <c r="D1138" s="33" t="s">
        <v>27</v>
      </c>
      <c r="E1138" s="34">
        <v>62.15</v>
      </c>
      <c r="F1138" s="33">
        <v>4</v>
      </c>
      <c r="G1138" s="34">
        <v>248.6</v>
      </c>
      <c r="H1138" s="33" t="s">
        <v>53</v>
      </c>
      <c r="I1138" s="33" t="str">
        <f t="shared" si="34"/>
        <v>Low sales</v>
      </c>
      <c r="J1138" s="33" t="str">
        <f t="shared" si="35"/>
        <v>not eligible</v>
      </c>
    </row>
    <row r="1139" spans="1:10" x14ac:dyDescent="0.35">
      <c r="A1139" s="31">
        <v>45469.291666666664</v>
      </c>
      <c r="B1139" s="32">
        <v>0.46430555555555553</v>
      </c>
      <c r="C1139" s="33" t="s">
        <v>8</v>
      </c>
      <c r="D1139" s="33" t="s">
        <v>27</v>
      </c>
      <c r="E1139" s="34">
        <v>28.49</v>
      </c>
      <c r="F1139" s="33">
        <v>5</v>
      </c>
      <c r="G1139" s="34">
        <v>142.44999999999999</v>
      </c>
      <c r="H1139" s="33" t="s">
        <v>375</v>
      </c>
      <c r="I1139" s="33" t="str">
        <f t="shared" si="34"/>
        <v>Low sales</v>
      </c>
      <c r="J1139" s="33" t="str">
        <f t="shared" si="35"/>
        <v>not eligible</v>
      </c>
    </row>
    <row r="1140" spans="1:10" x14ac:dyDescent="0.35">
      <c r="A1140" s="31">
        <v>45369.426388888889</v>
      </c>
      <c r="B1140" s="32">
        <v>0.42486111111111113</v>
      </c>
      <c r="C1140" s="33" t="s">
        <v>11</v>
      </c>
      <c r="D1140" s="33" t="s">
        <v>9</v>
      </c>
      <c r="E1140" s="34">
        <v>224.83</v>
      </c>
      <c r="F1140" s="33">
        <v>1</v>
      </c>
      <c r="G1140" s="34">
        <v>224.83</v>
      </c>
      <c r="H1140" s="33" t="s">
        <v>140</v>
      </c>
      <c r="I1140" s="33" t="str">
        <f t="shared" si="34"/>
        <v>Low sales</v>
      </c>
      <c r="J1140" s="33" t="str">
        <f t="shared" si="35"/>
        <v>not eligible</v>
      </c>
    </row>
    <row r="1141" spans="1:10" x14ac:dyDescent="0.35">
      <c r="A1141" s="31">
        <v>45552.861111111109</v>
      </c>
      <c r="B1141" s="32">
        <v>0.33277777777777778</v>
      </c>
      <c r="C1141" s="33" t="s">
        <v>8</v>
      </c>
      <c r="D1141" s="33" t="s">
        <v>12</v>
      </c>
      <c r="E1141" s="34">
        <v>354.04</v>
      </c>
      <c r="F1141" s="33">
        <v>3</v>
      </c>
      <c r="G1141" s="34">
        <v>1062.1199999999999</v>
      </c>
      <c r="H1141" s="33" t="s">
        <v>56</v>
      </c>
      <c r="I1141" s="33" t="str">
        <f t="shared" si="34"/>
        <v>Medium sales</v>
      </c>
      <c r="J1141" s="33" t="str">
        <f t="shared" si="35"/>
        <v>not eligible</v>
      </c>
    </row>
    <row r="1142" spans="1:10" x14ac:dyDescent="0.35">
      <c r="A1142" s="31">
        <v>45659.106249999997</v>
      </c>
      <c r="B1142" s="32">
        <v>0.2402199074074074</v>
      </c>
      <c r="C1142" s="33" t="s">
        <v>14</v>
      </c>
      <c r="D1142" s="33" t="s">
        <v>20</v>
      </c>
      <c r="E1142" s="34">
        <v>457.77</v>
      </c>
      <c r="F1142" s="33">
        <v>5</v>
      </c>
      <c r="G1142" s="34">
        <v>2288.85</v>
      </c>
      <c r="H1142" s="33" t="s">
        <v>174</v>
      </c>
      <c r="I1142" s="33" t="str">
        <f t="shared" si="34"/>
        <v>High sales</v>
      </c>
      <c r="J1142" s="33" t="str">
        <f t="shared" si="35"/>
        <v>not eligible</v>
      </c>
    </row>
    <row r="1143" spans="1:10" x14ac:dyDescent="0.35">
      <c r="A1143" s="31">
        <v>45591.890277777777</v>
      </c>
      <c r="B1143" s="32">
        <v>3.3680555555555554E-2</v>
      </c>
      <c r="C1143" s="33" t="s">
        <v>14</v>
      </c>
      <c r="D1143" s="33" t="s">
        <v>9</v>
      </c>
      <c r="E1143" s="34">
        <v>54.2</v>
      </c>
      <c r="F1143" s="33">
        <v>4</v>
      </c>
      <c r="G1143" s="34">
        <v>216.8</v>
      </c>
      <c r="H1143" s="33" t="s">
        <v>224</v>
      </c>
      <c r="I1143" s="33" t="str">
        <f t="shared" si="34"/>
        <v>Low sales</v>
      </c>
      <c r="J1143" s="33" t="str">
        <f t="shared" si="35"/>
        <v>not eligible</v>
      </c>
    </row>
    <row r="1144" spans="1:10" x14ac:dyDescent="0.35">
      <c r="A1144" s="31">
        <v>45074.875</v>
      </c>
      <c r="B1144" s="32">
        <v>0.70922453703703703</v>
      </c>
      <c r="C1144" s="33" t="s">
        <v>14</v>
      </c>
      <c r="D1144" s="33" t="s">
        <v>20</v>
      </c>
      <c r="E1144" s="34">
        <v>479.93</v>
      </c>
      <c r="F1144" s="33">
        <v>5</v>
      </c>
      <c r="G1144" s="34">
        <v>2399.65</v>
      </c>
      <c r="H1144" s="33" t="s">
        <v>377</v>
      </c>
      <c r="I1144" s="33" t="str">
        <f t="shared" si="34"/>
        <v>High sales</v>
      </c>
      <c r="J1144" s="33" t="str">
        <f t="shared" si="35"/>
        <v>not eligible</v>
      </c>
    </row>
    <row r="1145" spans="1:10" x14ac:dyDescent="0.35">
      <c r="A1145" s="31">
        <v>45062.209027777775</v>
      </c>
      <c r="B1145" s="32">
        <v>0.41541666666666671</v>
      </c>
      <c r="C1145" s="33" t="s">
        <v>11</v>
      </c>
      <c r="D1145" s="33" t="s">
        <v>20</v>
      </c>
      <c r="E1145" s="34">
        <v>304.57</v>
      </c>
      <c r="F1145" s="33">
        <v>5</v>
      </c>
      <c r="G1145" s="34">
        <v>1522.85</v>
      </c>
      <c r="H1145" s="33" t="s">
        <v>329</v>
      </c>
      <c r="I1145" s="33" t="str">
        <f t="shared" si="34"/>
        <v>High sales</v>
      </c>
      <c r="J1145" s="33" t="str">
        <f t="shared" si="35"/>
        <v>eligible</v>
      </c>
    </row>
    <row r="1146" spans="1:10" x14ac:dyDescent="0.35">
      <c r="A1146" s="31">
        <v>44956.999305555553</v>
      </c>
      <c r="B1146" s="32">
        <v>0.44483796296296302</v>
      </c>
      <c r="C1146" s="33" t="s">
        <v>8</v>
      </c>
      <c r="D1146" s="33" t="s">
        <v>27</v>
      </c>
      <c r="E1146" s="34">
        <v>280.29000000000002</v>
      </c>
      <c r="F1146" s="33">
        <v>2</v>
      </c>
      <c r="G1146" s="34">
        <v>560.58000000000004</v>
      </c>
      <c r="H1146" s="33" t="s">
        <v>375</v>
      </c>
      <c r="I1146" s="33" t="str">
        <f t="shared" si="34"/>
        <v>Medium sales</v>
      </c>
      <c r="J1146" s="33" t="str">
        <f t="shared" si="35"/>
        <v>not eligible</v>
      </c>
    </row>
    <row r="1147" spans="1:10" x14ac:dyDescent="0.35">
      <c r="A1147" s="31">
        <v>45181.361111111109</v>
      </c>
      <c r="B1147" s="32">
        <v>0.65917824074074072</v>
      </c>
      <c r="C1147" s="33" t="s">
        <v>11</v>
      </c>
      <c r="D1147" s="33" t="s">
        <v>20</v>
      </c>
      <c r="E1147" s="34">
        <v>379.54</v>
      </c>
      <c r="F1147" s="33">
        <v>2</v>
      </c>
      <c r="G1147" s="34">
        <v>759.08</v>
      </c>
      <c r="H1147" s="33" t="s">
        <v>283</v>
      </c>
      <c r="I1147" s="33" t="str">
        <f t="shared" si="34"/>
        <v>Medium sales</v>
      </c>
      <c r="J1147" s="33" t="str">
        <f t="shared" si="35"/>
        <v>not eligible</v>
      </c>
    </row>
    <row r="1148" spans="1:10" x14ac:dyDescent="0.35">
      <c r="A1148" s="31">
        <v>45629.565972222219</v>
      </c>
      <c r="B1148" s="32">
        <v>0.82006944444444441</v>
      </c>
      <c r="C1148" s="33" t="s">
        <v>11</v>
      </c>
      <c r="D1148" s="33" t="s">
        <v>20</v>
      </c>
      <c r="E1148" s="34">
        <v>96.64</v>
      </c>
      <c r="F1148" s="33">
        <v>3</v>
      </c>
      <c r="G1148" s="34">
        <v>289.92</v>
      </c>
      <c r="H1148" s="33" t="s">
        <v>170</v>
      </c>
      <c r="I1148" s="33" t="str">
        <f t="shared" si="34"/>
        <v>Low sales</v>
      </c>
      <c r="J1148" s="33" t="str">
        <f t="shared" si="35"/>
        <v>not eligible</v>
      </c>
    </row>
    <row r="1149" spans="1:10" x14ac:dyDescent="0.35">
      <c r="A1149" s="31">
        <v>44929.109722222223</v>
      </c>
      <c r="B1149" s="32">
        <v>0.1431712962962963</v>
      </c>
      <c r="C1149" s="33" t="s">
        <v>11</v>
      </c>
      <c r="D1149" s="33" t="s">
        <v>20</v>
      </c>
      <c r="E1149" s="34">
        <v>487.31</v>
      </c>
      <c r="F1149" s="33">
        <v>4</v>
      </c>
      <c r="G1149" s="34">
        <v>1949.24</v>
      </c>
      <c r="H1149" s="33" t="s">
        <v>41</v>
      </c>
      <c r="I1149" s="33" t="str">
        <f t="shared" si="34"/>
        <v>High sales</v>
      </c>
      <c r="J1149" s="33" t="str">
        <f t="shared" si="35"/>
        <v>eligible</v>
      </c>
    </row>
    <row r="1150" spans="1:10" x14ac:dyDescent="0.35">
      <c r="A1150" s="31">
        <v>45012.449305555558</v>
      </c>
      <c r="B1150" s="32">
        <v>0.2194675925925926</v>
      </c>
      <c r="C1150" s="33" t="s">
        <v>8</v>
      </c>
      <c r="D1150" s="33" t="s">
        <v>12</v>
      </c>
      <c r="E1150" s="34">
        <v>379.41</v>
      </c>
      <c r="F1150" s="33">
        <v>5</v>
      </c>
      <c r="G1150" s="34">
        <v>1897.05</v>
      </c>
      <c r="H1150" s="33" t="s">
        <v>340</v>
      </c>
      <c r="I1150" s="33" t="str">
        <f t="shared" si="34"/>
        <v>High sales</v>
      </c>
      <c r="J1150" s="33" t="str">
        <f t="shared" si="35"/>
        <v>not eligible</v>
      </c>
    </row>
    <row r="1151" spans="1:10" x14ac:dyDescent="0.35">
      <c r="A1151" s="31">
        <v>45177.772916666669</v>
      </c>
      <c r="B1151" s="32">
        <v>0.25559027777777776</v>
      </c>
      <c r="C1151" s="33" t="s">
        <v>8</v>
      </c>
      <c r="D1151" s="33" t="s">
        <v>9</v>
      </c>
      <c r="E1151" s="34">
        <v>263.32</v>
      </c>
      <c r="F1151" s="33">
        <v>4</v>
      </c>
      <c r="G1151" s="34">
        <v>1053.28</v>
      </c>
      <c r="H1151" s="33" t="s">
        <v>274</v>
      </c>
      <c r="I1151" s="33" t="str">
        <f t="shared" si="34"/>
        <v>Medium sales</v>
      </c>
      <c r="J1151" s="33" t="str">
        <f t="shared" si="35"/>
        <v>not eligible</v>
      </c>
    </row>
    <row r="1152" spans="1:10" x14ac:dyDescent="0.35">
      <c r="A1152" s="31">
        <v>45607.723611111112</v>
      </c>
      <c r="B1152" s="32">
        <v>0.52590277777777772</v>
      </c>
      <c r="C1152" s="33" t="s">
        <v>8</v>
      </c>
      <c r="D1152" s="33" t="s">
        <v>9</v>
      </c>
      <c r="E1152" s="34">
        <v>206.52</v>
      </c>
      <c r="F1152" s="33">
        <v>5</v>
      </c>
      <c r="G1152" s="34">
        <v>1032.5999999999999</v>
      </c>
      <c r="H1152" s="33" t="s">
        <v>102</v>
      </c>
      <c r="I1152" s="33" t="str">
        <f t="shared" si="34"/>
        <v>Medium sales</v>
      </c>
      <c r="J1152" s="33" t="str">
        <f t="shared" si="35"/>
        <v>not eligible</v>
      </c>
    </row>
    <row r="1153" spans="1:10" x14ac:dyDescent="0.35">
      <c r="A1153" s="31">
        <v>45278.155555555553</v>
      </c>
      <c r="B1153" s="32">
        <v>0.97612268518518519</v>
      </c>
      <c r="C1153" s="33" t="s">
        <v>11</v>
      </c>
      <c r="D1153" s="33" t="s">
        <v>27</v>
      </c>
      <c r="E1153" s="34">
        <v>342.59</v>
      </c>
      <c r="F1153" s="33">
        <v>3</v>
      </c>
      <c r="G1153" s="34">
        <v>1027.77</v>
      </c>
      <c r="H1153" s="33" t="s">
        <v>271</v>
      </c>
      <c r="I1153" s="33" t="str">
        <f t="shared" si="34"/>
        <v>Medium sales</v>
      </c>
      <c r="J1153" s="33" t="str">
        <f t="shared" si="35"/>
        <v>eligible</v>
      </c>
    </row>
    <row r="1154" spans="1:10" x14ac:dyDescent="0.35">
      <c r="A1154" s="31">
        <v>45160.186111111114</v>
      </c>
      <c r="B1154" s="32">
        <v>0.22062499999999999</v>
      </c>
      <c r="C1154" s="33" t="s">
        <v>8</v>
      </c>
      <c r="D1154" s="33" t="s">
        <v>27</v>
      </c>
      <c r="E1154" s="34">
        <v>203.22</v>
      </c>
      <c r="F1154" s="33">
        <v>1</v>
      </c>
      <c r="G1154" s="34">
        <v>203.22</v>
      </c>
      <c r="H1154" s="33" t="s">
        <v>237</v>
      </c>
      <c r="I1154" s="33" t="str">
        <f t="shared" si="34"/>
        <v>Low sales</v>
      </c>
      <c r="J1154" s="33" t="str">
        <f t="shared" si="35"/>
        <v>not eligible</v>
      </c>
    </row>
    <row r="1155" spans="1:10" x14ac:dyDescent="0.35">
      <c r="A1155" s="31">
        <v>45110.003472222219</v>
      </c>
      <c r="B1155" s="32">
        <v>0.43431712962962959</v>
      </c>
      <c r="C1155" s="33" t="s">
        <v>14</v>
      </c>
      <c r="D1155" s="33" t="s">
        <v>27</v>
      </c>
      <c r="E1155" s="34">
        <v>169.42</v>
      </c>
      <c r="F1155" s="33">
        <v>5</v>
      </c>
      <c r="G1155" s="34">
        <v>847.1</v>
      </c>
      <c r="H1155" s="33" t="s">
        <v>310</v>
      </c>
      <c r="I1155" s="33" t="str">
        <f t="shared" ref="I1155:I1218" si="36">IF(G1155&gt;1500,"High sales", IF(G1155&gt;500,"Medium sales", "Low sales"))</f>
        <v>Medium sales</v>
      </c>
      <c r="J1155" s="33" t="str">
        <f t="shared" ref="J1155:J1218" si="37">IF(AND(G1155&gt;1000,C1155="Premium"), "eligible", "not eligible")</f>
        <v>not eligible</v>
      </c>
    </row>
    <row r="1156" spans="1:10" x14ac:dyDescent="0.35">
      <c r="A1156" s="31">
        <v>45304.746527777781</v>
      </c>
      <c r="B1156" s="32">
        <v>0.8507407407407408</v>
      </c>
      <c r="C1156" s="33" t="s">
        <v>14</v>
      </c>
      <c r="D1156" s="33" t="s">
        <v>27</v>
      </c>
      <c r="E1156" s="34">
        <v>214.17</v>
      </c>
      <c r="F1156" s="33">
        <v>1</v>
      </c>
      <c r="G1156" s="34">
        <v>214.17</v>
      </c>
      <c r="H1156" s="33" t="s">
        <v>70</v>
      </c>
      <c r="I1156" s="33" t="str">
        <f t="shared" si="36"/>
        <v>Low sales</v>
      </c>
      <c r="J1156" s="33" t="str">
        <f t="shared" si="37"/>
        <v>not eligible</v>
      </c>
    </row>
    <row r="1157" spans="1:10" x14ac:dyDescent="0.35">
      <c r="A1157" s="31">
        <v>45172.367361111108</v>
      </c>
      <c r="B1157" s="32">
        <v>0.68140046296296297</v>
      </c>
      <c r="C1157" s="33" t="s">
        <v>14</v>
      </c>
      <c r="D1157" s="33" t="s">
        <v>16</v>
      </c>
      <c r="E1157" s="34">
        <v>485.3</v>
      </c>
      <c r="F1157" s="33">
        <v>3</v>
      </c>
      <c r="G1157" s="34">
        <v>1455.9</v>
      </c>
      <c r="H1157" s="33" t="s">
        <v>121</v>
      </c>
      <c r="I1157" s="33" t="str">
        <f t="shared" si="36"/>
        <v>Medium sales</v>
      </c>
      <c r="J1157" s="33" t="str">
        <f t="shared" si="37"/>
        <v>not eligible</v>
      </c>
    </row>
    <row r="1158" spans="1:10" x14ac:dyDescent="0.35">
      <c r="A1158" s="31">
        <v>45047.214583333334</v>
      </c>
      <c r="B1158" s="32">
        <v>4.2222222222222223E-2</v>
      </c>
      <c r="C1158" s="33" t="s">
        <v>11</v>
      </c>
      <c r="D1158" s="33" t="s">
        <v>16</v>
      </c>
      <c r="E1158" s="34">
        <v>430.49</v>
      </c>
      <c r="F1158" s="33">
        <v>4</v>
      </c>
      <c r="G1158" s="34">
        <v>1721.96</v>
      </c>
      <c r="H1158" s="33" t="s">
        <v>45</v>
      </c>
      <c r="I1158" s="33" t="str">
        <f t="shared" si="36"/>
        <v>High sales</v>
      </c>
      <c r="J1158" s="33" t="str">
        <f t="shared" si="37"/>
        <v>eligible</v>
      </c>
    </row>
    <row r="1159" spans="1:10" x14ac:dyDescent="0.35">
      <c r="A1159" s="31">
        <v>45227.956250000003</v>
      </c>
      <c r="B1159" s="32">
        <v>7.7939814814814809E-2</v>
      </c>
      <c r="C1159" s="33" t="s">
        <v>11</v>
      </c>
      <c r="D1159" s="33" t="s">
        <v>16</v>
      </c>
      <c r="E1159" s="34">
        <v>372.85</v>
      </c>
      <c r="F1159" s="33">
        <v>1</v>
      </c>
      <c r="G1159" s="34">
        <v>372.85</v>
      </c>
      <c r="H1159" s="33" t="s">
        <v>368</v>
      </c>
      <c r="I1159" s="33" t="str">
        <f t="shared" si="36"/>
        <v>Low sales</v>
      </c>
      <c r="J1159" s="33" t="str">
        <f t="shared" si="37"/>
        <v>not eligible</v>
      </c>
    </row>
    <row r="1160" spans="1:10" x14ac:dyDescent="0.35">
      <c r="A1160" s="31">
        <v>44980.518750000003</v>
      </c>
      <c r="B1160" s="32">
        <v>0.24592592592592591</v>
      </c>
      <c r="C1160" s="33" t="s">
        <v>11</v>
      </c>
      <c r="D1160" s="33" t="s">
        <v>16</v>
      </c>
      <c r="E1160" s="34">
        <v>455.44</v>
      </c>
      <c r="F1160" s="33">
        <v>5</v>
      </c>
      <c r="G1160" s="34">
        <v>2277.1999999999998</v>
      </c>
      <c r="H1160" s="33" t="s">
        <v>306</v>
      </c>
      <c r="I1160" s="33" t="str">
        <f t="shared" si="36"/>
        <v>High sales</v>
      </c>
      <c r="J1160" s="33" t="str">
        <f t="shared" si="37"/>
        <v>eligible</v>
      </c>
    </row>
    <row r="1161" spans="1:10" x14ac:dyDescent="0.35">
      <c r="A1161" s="31">
        <v>45377.238194444442</v>
      </c>
      <c r="B1161" s="32">
        <v>0.50954861111111105</v>
      </c>
      <c r="C1161" s="33" t="s">
        <v>11</v>
      </c>
      <c r="D1161" s="33" t="s">
        <v>16</v>
      </c>
      <c r="E1161" s="34">
        <v>384.76</v>
      </c>
      <c r="F1161" s="33">
        <v>4</v>
      </c>
      <c r="G1161" s="34">
        <v>1539.04</v>
      </c>
      <c r="H1161" s="33" t="s">
        <v>375</v>
      </c>
      <c r="I1161" s="33" t="str">
        <f t="shared" si="36"/>
        <v>High sales</v>
      </c>
      <c r="J1161" s="33" t="str">
        <f t="shared" si="37"/>
        <v>eligible</v>
      </c>
    </row>
    <row r="1162" spans="1:10" x14ac:dyDescent="0.35">
      <c r="A1162" s="31">
        <v>45344.166666666664</v>
      </c>
      <c r="B1162" s="32">
        <v>0.99353009259259262</v>
      </c>
      <c r="C1162" s="33" t="s">
        <v>11</v>
      </c>
      <c r="D1162" s="33" t="s">
        <v>9</v>
      </c>
      <c r="E1162" s="34">
        <v>82.14</v>
      </c>
      <c r="F1162" s="33">
        <v>4</v>
      </c>
      <c r="G1162" s="34">
        <v>328.56</v>
      </c>
      <c r="H1162" s="33" t="s">
        <v>316</v>
      </c>
      <c r="I1162" s="33" t="str">
        <f t="shared" si="36"/>
        <v>Low sales</v>
      </c>
      <c r="J1162" s="33" t="str">
        <f t="shared" si="37"/>
        <v>not eligible</v>
      </c>
    </row>
    <row r="1163" spans="1:10" x14ac:dyDescent="0.35">
      <c r="A1163" s="31">
        <v>45455.944444444445</v>
      </c>
      <c r="B1163" s="32">
        <v>0.45037037037037037</v>
      </c>
      <c r="C1163" s="33" t="s">
        <v>8</v>
      </c>
      <c r="D1163" s="33" t="s">
        <v>16</v>
      </c>
      <c r="E1163" s="34">
        <v>372.16</v>
      </c>
      <c r="F1163" s="33">
        <v>1</v>
      </c>
      <c r="G1163" s="34">
        <v>372.16</v>
      </c>
      <c r="H1163" s="33" t="s">
        <v>132</v>
      </c>
      <c r="I1163" s="33" t="str">
        <f t="shared" si="36"/>
        <v>Low sales</v>
      </c>
      <c r="J1163" s="33" t="str">
        <f t="shared" si="37"/>
        <v>not eligible</v>
      </c>
    </row>
    <row r="1164" spans="1:10" x14ac:dyDescent="0.35">
      <c r="A1164" s="31">
        <v>45639.502083333333</v>
      </c>
      <c r="B1164" s="32">
        <v>0.44976851851851851</v>
      </c>
      <c r="C1164" s="33" t="s">
        <v>11</v>
      </c>
      <c r="D1164" s="33" t="s">
        <v>27</v>
      </c>
      <c r="E1164" s="34">
        <v>254.82</v>
      </c>
      <c r="F1164" s="33">
        <v>2</v>
      </c>
      <c r="G1164" s="34">
        <v>509.64</v>
      </c>
      <c r="H1164" s="33" t="s">
        <v>278</v>
      </c>
      <c r="I1164" s="33" t="str">
        <f t="shared" si="36"/>
        <v>Medium sales</v>
      </c>
      <c r="J1164" s="33" t="str">
        <f t="shared" si="37"/>
        <v>not eligible</v>
      </c>
    </row>
    <row r="1165" spans="1:10" x14ac:dyDescent="0.35">
      <c r="A1165" s="31">
        <v>45424.948611111111</v>
      </c>
      <c r="B1165" s="32">
        <v>0.77098379629629632</v>
      </c>
      <c r="C1165" s="33" t="s">
        <v>14</v>
      </c>
      <c r="D1165" s="33" t="s">
        <v>16</v>
      </c>
      <c r="E1165" s="34">
        <v>42.19</v>
      </c>
      <c r="F1165" s="33">
        <v>5</v>
      </c>
      <c r="G1165" s="34">
        <v>210.95</v>
      </c>
      <c r="H1165" s="33" t="s">
        <v>363</v>
      </c>
      <c r="I1165" s="33" t="str">
        <f t="shared" si="36"/>
        <v>Low sales</v>
      </c>
      <c r="J1165" s="33" t="str">
        <f t="shared" si="37"/>
        <v>not eligible</v>
      </c>
    </row>
    <row r="1166" spans="1:10" x14ac:dyDescent="0.35">
      <c r="A1166" s="31">
        <v>45418.220138888886</v>
      </c>
      <c r="B1166" s="32">
        <v>0.88836805555555554</v>
      </c>
      <c r="C1166" s="33" t="s">
        <v>11</v>
      </c>
      <c r="D1166" s="33" t="s">
        <v>20</v>
      </c>
      <c r="E1166" s="34">
        <v>176.08</v>
      </c>
      <c r="F1166" s="33">
        <v>1</v>
      </c>
      <c r="G1166" s="34">
        <v>176.08</v>
      </c>
      <c r="H1166" s="33" t="s">
        <v>252</v>
      </c>
      <c r="I1166" s="33" t="str">
        <f t="shared" si="36"/>
        <v>Low sales</v>
      </c>
      <c r="J1166" s="33" t="str">
        <f t="shared" si="37"/>
        <v>not eligible</v>
      </c>
    </row>
    <row r="1167" spans="1:10" x14ac:dyDescent="0.35">
      <c r="A1167" s="31">
        <v>44979.477777777778</v>
      </c>
      <c r="B1167" s="32">
        <v>0.55628472222222225</v>
      </c>
      <c r="C1167" s="33" t="s">
        <v>11</v>
      </c>
      <c r="D1167" s="33" t="s">
        <v>12</v>
      </c>
      <c r="E1167" s="34">
        <v>344.54</v>
      </c>
      <c r="F1167" s="33">
        <v>3</v>
      </c>
      <c r="G1167" s="34">
        <v>1033.6199999999999</v>
      </c>
      <c r="H1167" s="33" t="s">
        <v>241</v>
      </c>
      <c r="I1167" s="33" t="str">
        <f t="shared" si="36"/>
        <v>Medium sales</v>
      </c>
      <c r="J1167" s="33" t="str">
        <f t="shared" si="37"/>
        <v>eligible</v>
      </c>
    </row>
    <row r="1168" spans="1:10" x14ac:dyDescent="0.35">
      <c r="A1168" s="31">
        <v>45617.355555555558</v>
      </c>
      <c r="B1168" s="32">
        <v>0.82525462962962959</v>
      </c>
      <c r="C1168" s="33" t="s">
        <v>11</v>
      </c>
      <c r="D1168" s="33" t="s">
        <v>16</v>
      </c>
      <c r="E1168" s="34">
        <v>189.4</v>
      </c>
      <c r="F1168" s="33">
        <v>2</v>
      </c>
      <c r="G1168" s="34">
        <v>378.8</v>
      </c>
      <c r="H1168" s="33" t="s">
        <v>90</v>
      </c>
      <c r="I1168" s="33" t="str">
        <f t="shared" si="36"/>
        <v>Low sales</v>
      </c>
      <c r="J1168" s="33" t="str">
        <f t="shared" si="37"/>
        <v>not eligible</v>
      </c>
    </row>
    <row r="1169" spans="1:10" x14ac:dyDescent="0.35">
      <c r="A1169" s="31">
        <v>45478.724305555559</v>
      </c>
      <c r="B1169" s="32">
        <v>0.52890046296296289</v>
      </c>
      <c r="C1169" s="33" t="s">
        <v>11</v>
      </c>
      <c r="D1169" s="33" t="s">
        <v>16</v>
      </c>
      <c r="E1169" s="34">
        <v>442.6</v>
      </c>
      <c r="F1169" s="33">
        <v>1</v>
      </c>
      <c r="G1169" s="34">
        <v>442.6</v>
      </c>
      <c r="H1169" s="33" t="s">
        <v>104</v>
      </c>
      <c r="I1169" s="33" t="str">
        <f t="shared" si="36"/>
        <v>Low sales</v>
      </c>
      <c r="J1169" s="33" t="str">
        <f t="shared" si="37"/>
        <v>not eligible</v>
      </c>
    </row>
    <row r="1170" spans="1:10" x14ac:dyDescent="0.35">
      <c r="A1170" s="31">
        <v>45212.536111111112</v>
      </c>
      <c r="B1170" s="32">
        <v>0.18547453703703706</v>
      </c>
      <c r="C1170" s="33" t="s">
        <v>14</v>
      </c>
      <c r="D1170" s="33" t="s">
        <v>12</v>
      </c>
      <c r="E1170" s="34">
        <v>413.75</v>
      </c>
      <c r="F1170" s="33">
        <v>1</v>
      </c>
      <c r="G1170" s="34">
        <v>413.75</v>
      </c>
      <c r="H1170" s="33" t="s">
        <v>182</v>
      </c>
      <c r="I1170" s="33" t="str">
        <f t="shared" si="36"/>
        <v>Low sales</v>
      </c>
      <c r="J1170" s="33" t="str">
        <f t="shared" si="37"/>
        <v>not eligible</v>
      </c>
    </row>
    <row r="1171" spans="1:10" x14ac:dyDescent="0.35">
      <c r="A1171" s="31">
        <v>45379.436805555553</v>
      </c>
      <c r="B1171" s="32">
        <v>0.42212962962962958</v>
      </c>
      <c r="C1171" s="33" t="s">
        <v>14</v>
      </c>
      <c r="D1171" s="33" t="s">
        <v>12</v>
      </c>
      <c r="E1171" s="34">
        <v>129.86000000000001</v>
      </c>
      <c r="F1171" s="33">
        <v>3</v>
      </c>
      <c r="G1171" s="34">
        <v>389.58</v>
      </c>
      <c r="H1171" s="33" t="s">
        <v>158</v>
      </c>
      <c r="I1171" s="33" t="str">
        <f t="shared" si="36"/>
        <v>Low sales</v>
      </c>
      <c r="J1171" s="33" t="str">
        <f t="shared" si="37"/>
        <v>not eligible</v>
      </c>
    </row>
    <row r="1172" spans="1:10" x14ac:dyDescent="0.35">
      <c r="A1172" s="31">
        <v>45582.320138888892</v>
      </c>
      <c r="B1172" s="32">
        <v>0.77653935185185186</v>
      </c>
      <c r="C1172" s="33" t="s">
        <v>14</v>
      </c>
      <c r="D1172" s="33" t="s">
        <v>9</v>
      </c>
      <c r="E1172" s="34">
        <v>142.91999999999999</v>
      </c>
      <c r="F1172" s="33">
        <v>4</v>
      </c>
      <c r="G1172" s="34">
        <v>571.67999999999995</v>
      </c>
      <c r="H1172" s="33" t="s">
        <v>118</v>
      </c>
      <c r="I1172" s="33" t="str">
        <f t="shared" si="36"/>
        <v>Medium sales</v>
      </c>
      <c r="J1172" s="33" t="str">
        <f t="shared" si="37"/>
        <v>not eligible</v>
      </c>
    </row>
    <row r="1173" spans="1:10" x14ac:dyDescent="0.35">
      <c r="A1173" s="31">
        <v>45148.541666666664</v>
      </c>
      <c r="B1173" s="32">
        <v>0.20269675925925926</v>
      </c>
      <c r="C1173" s="33" t="s">
        <v>11</v>
      </c>
      <c r="D1173" s="33" t="s">
        <v>9</v>
      </c>
      <c r="E1173" s="34">
        <v>499.03</v>
      </c>
      <c r="F1173" s="33">
        <v>2</v>
      </c>
      <c r="G1173" s="34">
        <v>998.06</v>
      </c>
      <c r="H1173" s="33" t="s">
        <v>66</v>
      </c>
      <c r="I1173" s="33" t="str">
        <f t="shared" si="36"/>
        <v>Medium sales</v>
      </c>
      <c r="J1173" s="33" t="str">
        <f t="shared" si="37"/>
        <v>not eligible</v>
      </c>
    </row>
    <row r="1174" spans="1:10" x14ac:dyDescent="0.35">
      <c r="A1174" s="31">
        <v>45456.379166666666</v>
      </c>
      <c r="B1174" s="32">
        <v>0.13746527777777778</v>
      </c>
      <c r="C1174" s="33" t="s">
        <v>8</v>
      </c>
      <c r="D1174" s="33" t="s">
        <v>9</v>
      </c>
      <c r="E1174" s="34">
        <v>491.81</v>
      </c>
      <c r="F1174" s="33">
        <v>3</v>
      </c>
      <c r="G1174" s="34">
        <v>1475.43</v>
      </c>
      <c r="H1174" s="33" t="s">
        <v>111</v>
      </c>
      <c r="I1174" s="33" t="str">
        <f t="shared" si="36"/>
        <v>Medium sales</v>
      </c>
      <c r="J1174" s="33" t="str">
        <f t="shared" si="37"/>
        <v>not eligible</v>
      </c>
    </row>
    <row r="1175" spans="1:10" x14ac:dyDescent="0.35">
      <c r="A1175" s="31">
        <v>45064.258333333331</v>
      </c>
      <c r="B1175" s="32">
        <v>0.6555671296296296</v>
      </c>
      <c r="C1175" s="33" t="s">
        <v>8</v>
      </c>
      <c r="D1175" s="33" t="s">
        <v>16</v>
      </c>
      <c r="E1175" s="34">
        <v>183.51</v>
      </c>
      <c r="F1175" s="33">
        <v>3</v>
      </c>
      <c r="G1175" s="34">
        <v>550.53</v>
      </c>
      <c r="H1175" s="33" t="s">
        <v>79</v>
      </c>
      <c r="I1175" s="33" t="str">
        <f t="shared" si="36"/>
        <v>Medium sales</v>
      </c>
      <c r="J1175" s="33" t="str">
        <f t="shared" si="37"/>
        <v>not eligible</v>
      </c>
    </row>
    <row r="1176" spans="1:10" x14ac:dyDescent="0.35">
      <c r="A1176" s="31">
        <v>45365.361111111109</v>
      </c>
      <c r="B1176" s="32">
        <v>0.55476851851851849</v>
      </c>
      <c r="C1176" s="33" t="s">
        <v>14</v>
      </c>
      <c r="D1176" s="33" t="s">
        <v>27</v>
      </c>
      <c r="E1176" s="34">
        <v>187.35</v>
      </c>
      <c r="F1176" s="33">
        <v>1</v>
      </c>
      <c r="G1176" s="34">
        <v>187.35</v>
      </c>
      <c r="H1176" s="33" t="s">
        <v>255</v>
      </c>
      <c r="I1176" s="33" t="str">
        <f t="shared" si="36"/>
        <v>Low sales</v>
      </c>
      <c r="J1176" s="33" t="str">
        <f t="shared" si="37"/>
        <v>not eligible</v>
      </c>
    </row>
    <row r="1177" spans="1:10" x14ac:dyDescent="0.35">
      <c r="A1177" s="31">
        <v>44989.314583333333</v>
      </c>
      <c r="B1177" s="32">
        <v>0.54031249999999997</v>
      </c>
      <c r="C1177" s="33" t="s">
        <v>8</v>
      </c>
      <c r="D1177" s="33" t="s">
        <v>16</v>
      </c>
      <c r="E1177" s="34">
        <v>126.75</v>
      </c>
      <c r="F1177" s="33">
        <v>2</v>
      </c>
      <c r="G1177" s="34">
        <v>253.5</v>
      </c>
      <c r="H1177" s="33" t="s">
        <v>385</v>
      </c>
      <c r="I1177" s="33" t="str">
        <f t="shared" si="36"/>
        <v>Low sales</v>
      </c>
      <c r="J1177" s="33" t="str">
        <f t="shared" si="37"/>
        <v>not eligible</v>
      </c>
    </row>
    <row r="1178" spans="1:10" x14ac:dyDescent="0.35">
      <c r="A1178" s="31">
        <v>45251.535416666666</v>
      </c>
      <c r="B1178" s="32">
        <v>0.33692129629629625</v>
      </c>
      <c r="C1178" s="33" t="s">
        <v>8</v>
      </c>
      <c r="D1178" s="33" t="s">
        <v>27</v>
      </c>
      <c r="E1178" s="34">
        <v>128.30000000000001</v>
      </c>
      <c r="F1178" s="33">
        <v>4</v>
      </c>
      <c r="G1178" s="34">
        <v>513.20000000000005</v>
      </c>
      <c r="H1178" s="33" t="s">
        <v>391</v>
      </c>
      <c r="I1178" s="33" t="str">
        <f t="shared" si="36"/>
        <v>Medium sales</v>
      </c>
      <c r="J1178" s="33" t="str">
        <f t="shared" si="37"/>
        <v>not eligible</v>
      </c>
    </row>
    <row r="1179" spans="1:10" x14ac:dyDescent="0.35">
      <c r="A1179" s="31">
        <v>45161.13958333333</v>
      </c>
      <c r="B1179" s="32">
        <v>0.62800925925925932</v>
      </c>
      <c r="C1179" s="33" t="s">
        <v>11</v>
      </c>
      <c r="D1179" s="33" t="s">
        <v>27</v>
      </c>
      <c r="E1179" s="34">
        <v>190.11</v>
      </c>
      <c r="F1179" s="33">
        <v>2</v>
      </c>
      <c r="G1179" s="34">
        <v>380.22</v>
      </c>
      <c r="H1179" s="33" t="s">
        <v>224</v>
      </c>
      <c r="I1179" s="33" t="str">
        <f t="shared" si="36"/>
        <v>Low sales</v>
      </c>
      <c r="J1179" s="33" t="str">
        <f t="shared" si="37"/>
        <v>not eligible</v>
      </c>
    </row>
    <row r="1180" spans="1:10" x14ac:dyDescent="0.35">
      <c r="A1180" s="31">
        <v>45216.831944444442</v>
      </c>
      <c r="B1180" s="32">
        <v>0.4572222222222222</v>
      </c>
      <c r="C1180" s="33" t="s">
        <v>8</v>
      </c>
      <c r="D1180" s="33" t="s">
        <v>9</v>
      </c>
      <c r="E1180" s="34">
        <v>13.91</v>
      </c>
      <c r="F1180" s="33">
        <v>4</v>
      </c>
      <c r="G1180" s="34">
        <v>55.64</v>
      </c>
      <c r="H1180" s="33" t="s">
        <v>82</v>
      </c>
      <c r="I1180" s="33" t="str">
        <f t="shared" si="36"/>
        <v>Low sales</v>
      </c>
      <c r="J1180" s="33" t="str">
        <f t="shared" si="37"/>
        <v>not eligible</v>
      </c>
    </row>
    <row r="1181" spans="1:10" x14ac:dyDescent="0.35">
      <c r="A1181" s="31">
        <v>44950.726388888892</v>
      </c>
      <c r="B1181" s="32">
        <v>0.70611111111111102</v>
      </c>
      <c r="C1181" s="33" t="s">
        <v>11</v>
      </c>
      <c r="D1181" s="33" t="s">
        <v>12</v>
      </c>
      <c r="E1181" s="34">
        <v>89.12</v>
      </c>
      <c r="F1181" s="33">
        <v>4</v>
      </c>
      <c r="G1181" s="34">
        <v>356.48</v>
      </c>
      <c r="H1181" s="33" t="s">
        <v>335</v>
      </c>
      <c r="I1181" s="33" t="str">
        <f t="shared" si="36"/>
        <v>Low sales</v>
      </c>
      <c r="J1181" s="33" t="str">
        <f t="shared" si="37"/>
        <v>not eligible</v>
      </c>
    </row>
    <row r="1182" spans="1:10" x14ac:dyDescent="0.35">
      <c r="A1182" s="31">
        <v>45087.432638888888</v>
      </c>
      <c r="B1182" s="32">
        <v>0.42160879629629627</v>
      </c>
      <c r="C1182" s="33" t="s">
        <v>8</v>
      </c>
      <c r="D1182" s="33" t="s">
        <v>16</v>
      </c>
      <c r="E1182" s="34">
        <v>416.65</v>
      </c>
      <c r="F1182" s="33">
        <v>4</v>
      </c>
      <c r="G1182" s="34">
        <v>1666.6</v>
      </c>
      <c r="H1182" s="33" t="s">
        <v>18</v>
      </c>
      <c r="I1182" s="33" t="str">
        <f t="shared" si="36"/>
        <v>High sales</v>
      </c>
      <c r="J1182" s="33" t="str">
        <f t="shared" si="37"/>
        <v>not eligible</v>
      </c>
    </row>
    <row r="1183" spans="1:10" x14ac:dyDescent="0.35">
      <c r="A1183" s="31">
        <v>44928.126388888886</v>
      </c>
      <c r="B1183" s="32">
        <v>0.93297453703703714</v>
      </c>
      <c r="C1183" s="33" t="s">
        <v>8</v>
      </c>
      <c r="D1183" s="33" t="s">
        <v>16</v>
      </c>
      <c r="E1183" s="34">
        <v>282.33</v>
      </c>
      <c r="F1183" s="33">
        <v>5</v>
      </c>
      <c r="G1183" s="34">
        <v>1411.65</v>
      </c>
      <c r="H1183" s="33" t="s">
        <v>42</v>
      </c>
      <c r="I1183" s="33" t="str">
        <f t="shared" si="36"/>
        <v>Medium sales</v>
      </c>
      <c r="J1183" s="33" t="str">
        <f t="shared" si="37"/>
        <v>not eligible</v>
      </c>
    </row>
    <row r="1184" spans="1:10" x14ac:dyDescent="0.35">
      <c r="A1184" s="31">
        <v>45431.011111111111</v>
      </c>
      <c r="B1184" s="32">
        <v>0.54018518518518521</v>
      </c>
      <c r="C1184" s="33" t="s">
        <v>8</v>
      </c>
      <c r="D1184" s="33" t="s">
        <v>12</v>
      </c>
      <c r="E1184" s="34">
        <v>495.95</v>
      </c>
      <c r="F1184" s="33">
        <v>2</v>
      </c>
      <c r="G1184" s="34">
        <v>991.9</v>
      </c>
      <c r="H1184" s="33" t="s">
        <v>290</v>
      </c>
      <c r="I1184" s="33" t="str">
        <f t="shared" si="36"/>
        <v>Medium sales</v>
      </c>
      <c r="J1184" s="33" t="str">
        <f t="shared" si="37"/>
        <v>not eligible</v>
      </c>
    </row>
    <row r="1185" spans="1:10" x14ac:dyDescent="0.35">
      <c r="A1185" s="31">
        <v>45321.245138888888</v>
      </c>
      <c r="B1185" s="32">
        <v>0.54246527777777775</v>
      </c>
      <c r="C1185" s="33" t="s">
        <v>14</v>
      </c>
      <c r="D1185" s="33" t="s">
        <v>9</v>
      </c>
      <c r="E1185" s="34">
        <v>350.13</v>
      </c>
      <c r="F1185" s="33">
        <v>3</v>
      </c>
      <c r="G1185" s="34">
        <v>1050.3900000000001</v>
      </c>
      <c r="H1185" s="33" t="s">
        <v>325</v>
      </c>
      <c r="I1185" s="33" t="str">
        <f t="shared" si="36"/>
        <v>Medium sales</v>
      </c>
      <c r="J1185" s="33" t="str">
        <f t="shared" si="37"/>
        <v>not eligible</v>
      </c>
    </row>
    <row r="1186" spans="1:10" x14ac:dyDescent="0.35">
      <c r="A1186" s="31">
        <v>45591.540277777778</v>
      </c>
      <c r="B1186" s="32">
        <v>0.42344907407407412</v>
      </c>
      <c r="C1186" s="33" t="s">
        <v>8</v>
      </c>
      <c r="D1186" s="33" t="s">
        <v>12</v>
      </c>
      <c r="E1186" s="34">
        <v>204.76</v>
      </c>
      <c r="F1186" s="33">
        <v>4</v>
      </c>
      <c r="G1186" s="34">
        <v>819.04</v>
      </c>
      <c r="H1186" s="33" t="s">
        <v>166</v>
      </c>
      <c r="I1186" s="33" t="str">
        <f t="shared" si="36"/>
        <v>Medium sales</v>
      </c>
      <c r="J1186" s="33" t="str">
        <f t="shared" si="37"/>
        <v>not eligible</v>
      </c>
    </row>
    <row r="1187" spans="1:10" x14ac:dyDescent="0.35">
      <c r="A1187" s="31">
        <v>45192.366666666669</v>
      </c>
      <c r="B1187" s="32">
        <v>0.6569328703703704</v>
      </c>
      <c r="C1187" s="33" t="s">
        <v>8</v>
      </c>
      <c r="D1187" s="33" t="s">
        <v>20</v>
      </c>
      <c r="E1187" s="34">
        <v>165.65</v>
      </c>
      <c r="F1187" s="33">
        <v>3</v>
      </c>
      <c r="G1187" s="34">
        <v>496.95</v>
      </c>
      <c r="H1187" s="33" t="s">
        <v>13</v>
      </c>
      <c r="I1187" s="33" t="str">
        <f t="shared" si="36"/>
        <v>Low sales</v>
      </c>
      <c r="J1187" s="33" t="str">
        <f t="shared" si="37"/>
        <v>not eligible</v>
      </c>
    </row>
    <row r="1188" spans="1:10" x14ac:dyDescent="0.35">
      <c r="A1188" s="31">
        <v>45467.32916666667</v>
      </c>
      <c r="B1188" s="32">
        <v>0.22362268518518516</v>
      </c>
      <c r="C1188" s="33" t="s">
        <v>11</v>
      </c>
      <c r="D1188" s="33" t="s">
        <v>9</v>
      </c>
      <c r="E1188" s="34">
        <v>150.80000000000001</v>
      </c>
      <c r="F1188" s="33">
        <v>5</v>
      </c>
      <c r="G1188" s="34">
        <v>754</v>
      </c>
      <c r="H1188" s="33" t="s">
        <v>137</v>
      </c>
      <c r="I1188" s="33" t="str">
        <f t="shared" si="36"/>
        <v>Medium sales</v>
      </c>
      <c r="J1188" s="33" t="str">
        <f t="shared" si="37"/>
        <v>not eligible</v>
      </c>
    </row>
    <row r="1189" spans="1:10" x14ac:dyDescent="0.35">
      <c r="A1189" s="31">
        <v>45497.75</v>
      </c>
      <c r="B1189" s="32">
        <v>0.1655439814814815</v>
      </c>
      <c r="C1189" s="33" t="s">
        <v>14</v>
      </c>
      <c r="D1189" s="33" t="s">
        <v>9</v>
      </c>
      <c r="E1189" s="34">
        <v>424.32</v>
      </c>
      <c r="F1189" s="33">
        <v>1</v>
      </c>
      <c r="G1189" s="34">
        <v>424.32</v>
      </c>
      <c r="H1189" s="33" t="s">
        <v>262</v>
      </c>
      <c r="I1189" s="33" t="str">
        <f t="shared" si="36"/>
        <v>Low sales</v>
      </c>
      <c r="J1189" s="33" t="str">
        <f t="shared" si="37"/>
        <v>not eligible</v>
      </c>
    </row>
    <row r="1190" spans="1:10" x14ac:dyDescent="0.35">
      <c r="A1190" s="31">
        <v>45362.925694444442</v>
      </c>
      <c r="B1190" s="32">
        <v>0.32188657407407406</v>
      </c>
      <c r="C1190" s="33" t="s">
        <v>11</v>
      </c>
      <c r="D1190" s="33" t="s">
        <v>27</v>
      </c>
      <c r="E1190" s="34">
        <v>16.100000000000001</v>
      </c>
      <c r="F1190" s="33">
        <v>5</v>
      </c>
      <c r="G1190" s="34">
        <v>80.5</v>
      </c>
      <c r="H1190" s="33" t="s">
        <v>313</v>
      </c>
      <c r="I1190" s="33" t="str">
        <f t="shared" si="36"/>
        <v>Low sales</v>
      </c>
      <c r="J1190" s="33" t="str">
        <f t="shared" si="37"/>
        <v>not eligible</v>
      </c>
    </row>
    <row r="1191" spans="1:10" x14ac:dyDescent="0.35">
      <c r="A1191" s="31">
        <v>44996.86041666667</v>
      </c>
      <c r="B1191" s="32">
        <v>0.50856481481481486</v>
      </c>
      <c r="C1191" s="33" t="s">
        <v>11</v>
      </c>
      <c r="D1191" s="33" t="s">
        <v>27</v>
      </c>
      <c r="E1191" s="34">
        <v>358.63</v>
      </c>
      <c r="F1191" s="33">
        <v>4</v>
      </c>
      <c r="G1191" s="34">
        <v>1434.52</v>
      </c>
      <c r="H1191" s="33" t="s">
        <v>382</v>
      </c>
      <c r="I1191" s="33" t="str">
        <f t="shared" si="36"/>
        <v>Medium sales</v>
      </c>
      <c r="J1191" s="33" t="str">
        <f t="shared" si="37"/>
        <v>eligible</v>
      </c>
    </row>
    <row r="1192" spans="1:10" x14ac:dyDescent="0.35">
      <c r="A1192" s="31">
        <v>45203.378472222219</v>
      </c>
      <c r="B1192" s="32">
        <v>3.3576388888888892E-2</v>
      </c>
      <c r="C1192" s="33" t="s">
        <v>8</v>
      </c>
      <c r="D1192" s="33" t="s">
        <v>12</v>
      </c>
      <c r="E1192" s="34">
        <v>45.72</v>
      </c>
      <c r="F1192" s="33">
        <v>3</v>
      </c>
      <c r="G1192" s="34">
        <v>137.16</v>
      </c>
      <c r="H1192" s="33" t="s">
        <v>178</v>
      </c>
      <c r="I1192" s="33" t="str">
        <f t="shared" si="36"/>
        <v>Low sales</v>
      </c>
      <c r="J1192" s="33" t="str">
        <f t="shared" si="37"/>
        <v>not eligible</v>
      </c>
    </row>
    <row r="1193" spans="1:10" x14ac:dyDescent="0.35">
      <c r="A1193" s="31">
        <v>45527.928472222222</v>
      </c>
      <c r="B1193" s="32">
        <v>0.84331018518518519</v>
      </c>
      <c r="C1193" s="33" t="s">
        <v>8</v>
      </c>
      <c r="D1193" s="33" t="s">
        <v>27</v>
      </c>
      <c r="E1193" s="34">
        <v>35.409999999999997</v>
      </c>
      <c r="F1193" s="33">
        <v>1</v>
      </c>
      <c r="G1193" s="34">
        <v>35.409999999999997</v>
      </c>
      <c r="H1193" s="33" t="s">
        <v>323</v>
      </c>
      <c r="I1193" s="33" t="str">
        <f t="shared" si="36"/>
        <v>Low sales</v>
      </c>
      <c r="J1193" s="33" t="str">
        <f t="shared" si="37"/>
        <v>not eligible</v>
      </c>
    </row>
    <row r="1194" spans="1:10" x14ac:dyDescent="0.35">
      <c r="A1194" s="31">
        <v>45587.229861111111</v>
      </c>
      <c r="B1194" s="32">
        <v>4.3425925925925923E-2</v>
      </c>
      <c r="C1194" s="33" t="s">
        <v>11</v>
      </c>
      <c r="D1194" s="33" t="s">
        <v>9</v>
      </c>
      <c r="E1194" s="34">
        <v>144.29</v>
      </c>
      <c r="F1194" s="33">
        <v>4</v>
      </c>
      <c r="G1194" s="34">
        <v>577.16</v>
      </c>
      <c r="H1194" s="33" t="s">
        <v>360</v>
      </c>
      <c r="I1194" s="33" t="str">
        <f t="shared" si="36"/>
        <v>Medium sales</v>
      </c>
      <c r="J1194" s="33" t="str">
        <f t="shared" si="37"/>
        <v>not eligible</v>
      </c>
    </row>
    <row r="1195" spans="1:10" x14ac:dyDescent="0.35">
      <c r="A1195" s="31">
        <v>45349.521527777775</v>
      </c>
      <c r="B1195" s="32">
        <v>0.72862268518518514</v>
      </c>
      <c r="C1195" s="33" t="s">
        <v>11</v>
      </c>
      <c r="D1195" s="33" t="s">
        <v>12</v>
      </c>
      <c r="E1195" s="34">
        <v>149.55000000000001</v>
      </c>
      <c r="F1195" s="33">
        <v>5</v>
      </c>
      <c r="G1195" s="34">
        <v>747.75</v>
      </c>
      <c r="H1195" s="33" t="s">
        <v>94</v>
      </c>
      <c r="I1195" s="33" t="str">
        <f t="shared" si="36"/>
        <v>Medium sales</v>
      </c>
      <c r="J1195" s="33" t="str">
        <f t="shared" si="37"/>
        <v>not eligible</v>
      </c>
    </row>
    <row r="1196" spans="1:10" x14ac:dyDescent="0.35">
      <c r="A1196" s="31">
        <v>45014.525694444441</v>
      </c>
      <c r="B1196" s="32">
        <v>0.68145833333333339</v>
      </c>
      <c r="C1196" s="33" t="s">
        <v>8</v>
      </c>
      <c r="D1196" s="33" t="s">
        <v>16</v>
      </c>
      <c r="E1196" s="34">
        <v>197.37</v>
      </c>
      <c r="F1196" s="33">
        <v>3</v>
      </c>
      <c r="G1196" s="34">
        <v>592.11</v>
      </c>
      <c r="H1196" s="33" t="s">
        <v>269</v>
      </c>
      <c r="I1196" s="33" t="str">
        <f t="shared" si="36"/>
        <v>Medium sales</v>
      </c>
      <c r="J1196" s="33" t="str">
        <f t="shared" si="37"/>
        <v>not eligible</v>
      </c>
    </row>
    <row r="1197" spans="1:10" x14ac:dyDescent="0.35">
      <c r="A1197" s="31">
        <v>45320.784722222219</v>
      </c>
      <c r="B1197" s="32">
        <v>0.51493055555555556</v>
      </c>
      <c r="C1197" s="33" t="s">
        <v>11</v>
      </c>
      <c r="D1197" s="33" t="s">
        <v>9</v>
      </c>
      <c r="E1197" s="34">
        <v>345.58</v>
      </c>
      <c r="F1197" s="33">
        <v>5</v>
      </c>
      <c r="G1197" s="34">
        <v>1727.9</v>
      </c>
      <c r="H1197" s="33" t="s">
        <v>353</v>
      </c>
      <c r="I1197" s="33" t="str">
        <f t="shared" si="36"/>
        <v>High sales</v>
      </c>
      <c r="J1197" s="33" t="str">
        <f t="shared" si="37"/>
        <v>eligible</v>
      </c>
    </row>
    <row r="1198" spans="1:10" x14ac:dyDescent="0.35">
      <c r="A1198" s="31">
        <v>44976.436111111114</v>
      </c>
      <c r="B1198" s="32">
        <v>0.1645486111111111</v>
      </c>
      <c r="C1198" s="33" t="s">
        <v>11</v>
      </c>
      <c r="D1198" s="33" t="s">
        <v>12</v>
      </c>
      <c r="E1198" s="34">
        <v>36.090000000000003</v>
      </c>
      <c r="F1198" s="33">
        <v>4</v>
      </c>
      <c r="G1198" s="34">
        <v>144.36000000000001</v>
      </c>
      <c r="H1198" s="33" t="s">
        <v>391</v>
      </c>
      <c r="I1198" s="33" t="str">
        <f t="shared" si="36"/>
        <v>Low sales</v>
      </c>
      <c r="J1198" s="33" t="str">
        <f t="shared" si="37"/>
        <v>not eligible</v>
      </c>
    </row>
    <row r="1199" spans="1:10" x14ac:dyDescent="0.35">
      <c r="A1199" s="31">
        <v>45652.622916666667</v>
      </c>
      <c r="B1199" s="32">
        <v>0.41292824074074069</v>
      </c>
      <c r="C1199" s="33" t="s">
        <v>11</v>
      </c>
      <c r="D1199" s="33" t="s">
        <v>9</v>
      </c>
      <c r="E1199" s="34">
        <v>139.75</v>
      </c>
      <c r="F1199" s="33">
        <v>3</v>
      </c>
      <c r="G1199" s="34">
        <v>419.25</v>
      </c>
      <c r="H1199" s="33" t="s">
        <v>186</v>
      </c>
      <c r="I1199" s="33" t="str">
        <f t="shared" si="36"/>
        <v>Low sales</v>
      </c>
      <c r="J1199" s="33" t="str">
        <f t="shared" si="37"/>
        <v>not eligible</v>
      </c>
    </row>
    <row r="1200" spans="1:10" x14ac:dyDescent="0.35">
      <c r="A1200" s="31">
        <v>45180.318055555559</v>
      </c>
      <c r="B1200" s="32">
        <v>0.95697916666666671</v>
      </c>
      <c r="C1200" s="33" t="s">
        <v>8</v>
      </c>
      <c r="D1200" s="33" t="s">
        <v>12</v>
      </c>
      <c r="E1200" s="34">
        <v>356.64</v>
      </c>
      <c r="F1200" s="33">
        <v>3</v>
      </c>
      <c r="G1200" s="34">
        <v>1069.92</v>
      </c>
      <c r="H1200" s="33" t="s">
        <v>183</v>
      </c>
      <c r="I1200" s="33" t="str">
        <f t="shared" si="36"/>
        <v>Medium sales</v>
      </c>
      <c r="J1200" s="33" t="str">
        <f t="shared" si="37"/>
        <v>not eligible</v>
      </c>
    </row>
    <row r="1201" spans="1:10" x14ac:dyDescent="0.35">
      <c r="A1201" s="31">
        <v>45073.456250000003</v>
      </c>
      <c r="B1201" s="32">
        <v>0.71391203703703709</v>
      </c>
      <c r="C1201" s="33" t="s">
        <v>8</v>
      </c>
      <c r="D1201" s="33" t="s">
        <v>20</v>
      </c>
      <c r="E1201" s="34">
        <v>477.42</v>
      </c>
      <c r="F1201" s="33">
        <v>5</v>
      </c>
      <c r="G1201" s="34">
        <v>2387.1</v>
      </c>
      <c r="H1201" s="33" t="s">
        <v>334</v>
      </c>
      <c r="I1201" s="33" t="str">
        <f t="shared" si="36"/>
        <v>High sales</v>
      </c>
      <c r="J1201" s="33" t="str">
        <f t="shared" si="37"/>
        <v>not eligible</v>
      </c>
    </row>
    <row r="1202" spans="1:10" x14ac:dyDescent="0.35">
      <c r="A1202" s="31">
        <v>45588.269444444442</v>
      </c>
      <c r="B1202" s="32">
        <v>0.22262731481481482</v>
      </c>
      <c r="C1202" s="33" t="s">
        <v>11</v>
      </c>
      <c r="D1202" s="33" t="s">
        <v>27</v>
      </c>
      <c r="E1202" s="34">
        <v>97.9</v>
      </c>
      <c r="F1202" s="33">
        <v>4</v>
      </c>
      <c r="G1202" s="34">
        <v>391.6</v>
      </c>
      <c r="H1202" s="33" t="s">
        <v>224</v>
      </c>
      <c r="I1202" s="33" t="str">
        <f t="shared" si="36"/>
        <v>Low sales</v>
      </c>
      <c r="J1202" s="33" t="str">
        <f t="shared" si="37"/>
        <v>not eligible</v>
      </c>
    </row>
    <row r="1203" spans="1:10" x14ac:dyDescent="0.35">
      <c r="A1203" s="31">
        <v>45033.711111111108</v>
      </c>
      <c r="B1203" s="32">
        <v>0.71542824074074074</v>
      </c>
      <c r="C1203" s="33" t="s">
        <v>14</v>
      </c>
      <c r="D1203" s="33" t="s">
        <v>9</v>
      </c>
      <c r="E1203" s="34">
        <v>168.05</v>
      </c>
      <c r="F1203" s="33">
        <v>2</v>
      </c>
      <c r="G1203" s="34">
        <v>336.1</v>
      </c>
      <c r="H1203" s="33" t="s">
        <v>269</v>
      </c>
      <c r="I1203" s="33" t="str">
        <f t="shared" si="36"/>
        <v>Low sales</v>
      </c>
      <c r="J1203" s="33" t="str">
        <f t="shared" si="37"/>
        <v>not eligible</v>
      </c>
    </row>
    <row r="1204" spans="1:10" x14ac:dyDescent="0.35">
      <c r="A1204" s="31">
        <v>45580.702777777777</v>
      </c>
      <c r="B1204" s="32">
        <v>0.71697916666666661</v>
      </c>
      <c r="C1204" s="33" t="s">
        <v>14</v>
      </c>
      <c r="D1204" s="33" t="s">
        <v>9</v>
      </c>
      <c r="E1204" s="34">
        <v>369.94</v>
      </c>
      <c r="F1204" s="33">
        <v>5</v>
      </c>
      <c r="G1204" s="34">
        <v>1849.7</v>
      </c>
      <c r="H1204" s="33" t="s">
        <v>392</v>
      </c>
      <c r="I1204" s="33" t="str">
        <f t="shared" si="36"/>
        <v>High sales</v>
      </c>
      <c r="J1204" s="33" t="str">
        <f t="shared" si="37"/>
        <v>not eligible</v>
      </c>
    </row>
    <row r="1205" spans="1:10" x14ac:dyDescent="0.35">
      <c r="A1205" s="31">
        <v>45336.197222222225</v>
      </c>
      <c r="B1205" s="32">
        <v>0.33591435185185187</v>
      </c>
      <c r="C1205" s="33" t="s">
        <v>11</v>
      </c>
      <c r="D1205" s="33" t="s">
        <v>20</v>
      </c>
      <c r="E1205" s="34">
        <v>131.52000000000001</v>
      </c>
      <c r="F1205" s="33">
        <v>2</v>
      </c>
      <c r="G1205" s="34">
        <v>263.04000000000002</v>
      </c>
      <c r="H1205" s="33" t="s">
        <v>368</v>
      </c>
      <c r="I1205" s="33" t="str">
        <f t="shared" si="36"/>
        <v>Low sales</v>
      </c>
      <c r="J1205" s="33" t="str">
        <f t="shared" si="37"/>
        <v>not eligible</v>
      </c>
    </row>
    <row r="1206" spans="1:10" x14ac:dyDescent="0.35">
      <c r="A1206" s="31">
        <v>45226.895833333336</v>
      </c>
      <c r="B1206" s="32">
        <v>0.57745370370370364</v>
      </c>
      <c r="C1206" s="33" t="s">
        <v>14</v>
      </c>
      <c r="D1206" s="33" t="s">
        <v>9</v>
      </c>
      <c r="E1206" s="34">
        <v>487.29</v>
      </c>
      <c r="F1206" s="33">
        <v>3</v>
      </c>
      <c r="G1206" s="34">
        <v>1461.87</v>
      </c>
      <c r="H1206" s="33" t="s">
        <v>393</v>
      </c>
      <c r="I1206" s="33" t="str">
        <f t="shared" si="36"/>
        <v>Medium sales</v>
      </c>
      <c r="J1206" s="33" t="str">
        <f t="shared" si="37"/>
        <v>not eligible</v>
      </c>
    </row>
    <row r="1207" spans="1:10" x14ac:dyDescent="0.35">
      <c r="A1207" s="31">
        <v>45021.813194444447</v>
      </c>
      <c r="B1207" s="32">
        <v>0.6244791666666667</v>
      </c>
      <c r="C1207" s="33" t="s">
        <v>11</v>
      </c>
      <c r="D1207" s="33" t="s">
        <v>27</v>
      </c>
      <c r="E1207" s="34">
        <v>112.08</v>
      </c>
      <c r="F1207" s="33">
        <v>3</v>
      </c>
      <c r="G1207" s="34">
        <v>336.24</v>
      </c>
      <c r="H1207" s="33" t="s">
        <v>47</v>
      </c>
      <c r="I1207" s="33" t="str">
        <f t="shared" si="36"/>
        <v>Low sales</v>
      </c>
      <c r="J1207" s="33" t="str">
        <f t="shared" si="37"/>
        <v>not eligible</v>
      </c>
    </row>
    <row r="1208" spans="1:10" x14ac:dyDescent="0.35">
      <c r="A1208" s="31">
        <v>45266.511805555558</v>
      </c>
      <c r="B1208" s="32">
        <v>0.37864583333333335</v>
      </c>
      <c r="C1208" s="33" t="s">
        <v>8</v>
      </c>
      <c r="D1208" s="33" t="s">
        <v>9</v>
      </c>
      <c r="E1208" s="34">
        <v>57.86</v>
      </c>
      <c r="F1208" s="33">
        <v>3</v>
      </c>
      <c r="G1208" s="34">
        <v>173.58</v>
      </c>
      <c r="H1208" s="33" t="s">
        <v>379</v>
      </c>
      <c r="I1208" s="33" t="str">
        <f t="shared" si="36"/>
        <v>Low sales</v>
      </c>
      <c r="J1208" s="33" t="str">
        <f t="shared" si="37"/>
        <v>not eligible</v>
      </c>
    </row>
    <row r="1209" spans="1:10" x14ac:dyDescent="0.35">
      <c r="A1209" s="31">
        <v>45032.488888888889</v>
      </c>
      <c r="B1209" s="32">
        <v>0.53388888888888886</v>
      </c>
      <c r="C1209" s="33" t="s">
        <v>14</v>
      </c>
      <c r="D1209" s="33" t="s">
        <v>16</v>
      </c>
      <c r="E1209" s="34">
        <v>374.95</v>
      </c>
      <c r="F1209" s="33">
        <v>1</v>
      </c>
      <c r="G1209" s="34">
        <v>374.95</v>
      </c>
      <c r="H1209" s="33" t="s">
        <v>36</v>
      </c>
      <c r="I1209" s="33" t="str">
        <f t="shared" si="36"/>
        <v>Low sales</v>
      </c>
      <c r="J1209" s="33" t="str">
        <f t="shared" si="37"/>
        <v>not eligible</v>
      </c>
    </row>
    <row r="1210" spans="1:10" x14ac:dyDescent="0.35">
      <c r="A1210" s="31">
        <v>45313.091666666667</v>
      </c>
      <c r="B1210" s="32">
        <v>0.78008101851851863</v>
      </c>
      <c r="C1210" s="33" t="s">
        <v>14</v>
      </c>
      <c r="D1210" s="33" t="s">
        <v>12</v>
      </c>
      <c r="E1210" s="34">
        <v>217.43</v>
      </c>
      <c r="F1210" s="33">
        <v>3</v>
      </c>
      <c r="G1210" s="34">
        <v>652.29</v>
      </c>
      <c r="H1210" s="33" t="s">
        <v>276</v>
      </c>
      <c r="I1210" s="33" t="str">
        <f t="shared" si="36"/>
        <v>Medium sales</v>
      </c>
      <c r="J1210" s="33" t="str">
        <f t="shared" si="37"/>
        <v>not eligible</v>
      </c>
    </row>
    <row r="1211" spans="1:10" x14ac:dyDescent="0.35">
      <c r="A1211" s="31">
        <v>45004.617361111108</v>
      </c>
      <c r="B1211" s="32">
        <v>9.1041666666666674E-2</v>
      </c>
      <c r="C1211" s="33" t="s">
        <v>11</v>
      </c>
      <c r="D1211" s="33" t="s">
        <v>16</v>
      </c>
      <c r="E1211" s="34">
        <v>95.34</v>
      </c>
      <c r="F1211" s="33">
        <v>1</v>
      </c>
      <c r="G1211" s="34">
        <v>95.34</v>
      </c>
      <c r="H1211" s="33" t="s">
        <v>74</v>
      </c>
      <c r="I1211" s="33" t="str">
        <f t="shared" si="36"/>
        <v>Low sales</v>
      </c>
      <c r="J1211" s="33" t="str">
        <f t="shared" si="37"/>
        <v>not eligible</v>
      </c>
    </row>
    <row r="1212" spans="1:10" x14ac:dyDescent="0.35">
      <c r="A1212" s="31">
        <v>45314.989583333336</v>
      </c>
      <c r="B1212" s="32">
        <v>0.26043981481481482</v>
      </c>
      <c r="C1212" s="33" t="s">
        <v>14</v>
      </c>
      <c r="D1212" s="33" t="s">
        <v>16</v>
      </c>
      <c r="E1212" s="34">
        <v>24.96</v>
      </c>
      <c r="F1212" s="33">
        <v>4</v>
      </c>
      <c r="G1212" s="34">
        <v>99.84</v>
      </c>
      <c r="H1212" s="33" t="s">
        <v>394</v>
      </c>
      <c r="I1212" s="33" t="str">
        <f t="shared" si="36"/>
        <v>Low sales</v>
      </c>
      <c r="J1212" s="33" t="str">
        <f t="shared" si="37"/>
        <v>not eligible</v>
      </c>
    </row>
    <row r="1213" spans="1:10" x14ac:dyDescent="0.35">
      <c r="A1213" s="31">
        <v>45588.1</v>
      </c>
      <c r="B1213" s="32">
        <v>0.54415509259259254</v>
      </c>
      <c r="C1213" s="33" t="s">
        <v>8</v>
      </c>
      <c r="D1213" s="33" t="s">
        <v>16</v>
      </c>
      <c r="E1213" s="34">
        <v>32.299999999999997</v>
      </c>
      <c r="F1213" s="33">
        <v>4</v>
      </c>
      <c r="G1213" s="34">
        <v>129.19999999999999</v>
      </c>
      <c r="H1213" s="33" t="s">
        <v>22</v>
      </c>
      <c r="I1213" s="33" t="str">
        <f t="shared" si="36"/>
        <v>Low sales</v>
      </c>
      <c r="J1213" s="33" t="str">
        <f t="shared" si="37"/>
        <v>not eligible</v>
      </c>
    </row>
    <row r="1214" spans="1:10" x14ac:dyDescent="0.35">
      <c r="A1214" s="31">
        <v>44945.286805555559</v>
      </c>
      <c r="B1214" s="32">
        <v>0.57619212962962962</v>
      </c>
      <c r="C1214" s="33" t="s">
        <v>11</v>
      </c>
      <c r="D1214" s="33" t="s">
        <v>20</v>
      </c>
      <c r="E1214" s="34">
        <v>211.34</v>
      </c>
      <c r="F1214" s="33">
        <v>4</v>
      </c>
      <c r="G1214" s="34">
        <v>845.36</v>
      </c>
      <c r="H1214" s="33" t="s">
        <v>190</v>
      </c>
      <c r="I1214" s="33" t="str">
        <f t="shared" si="36"/>
        <v>Medium sales</v>
      </c>
      <c r="J1214" s="33" t="str">
        <f t="shared" si="37"/>
        <v>not eligible</v>
      </c>
    </row>
    <row r="1215" spans="1:10" x14ac:dyDescent="0.35">
      <c r="A1215" s="31">
        <v>45267.675694444442</v>
      </c>
      <c r="B1215" s="32">
        <v>0.63215277777777779</v>
      </c>
      <c r="C1215" s="33" t="s">
        <v>8</v>
      </c>
      <c r="D1215" s="33" t="s">
        <v>16</v>
      </c>
      <c r="E1215" s="34">
        <v>314.8</v>
      </c>
      <c r="F1215" s="33">
        <v>1</v>
      </c>
      <c r="G1215" s="34">
        <v>314.8</v>
      </c>
      <c r="H1215" s="33" t="s">
        <v>75</v>
      </c>
      <c r="I1215" s="33" t="str">
        <f t="shared" si="36"/>
        <v>Low sales</v>
      </c>
      <c r="J1215" s="33" t="str">
        <f t="shared" si="37"/>
        <v>not eligible</v>
      </c>
    </row>
    <row r="1216" spans="1:10" x14ac:dyDescent="0.35">
      <c r="A1216" s="31">
        <v>44953.07916666667</v>
      </c>
      <c r="B1216" s="32">
        <v>0.91365740740740742</v>
      </c>
      <c r="C1216" s="33" t="s">
        <v>14</v>
      </c>
      <c r="D1216" s="33" t="s">
        <v>9</v>
      </c>
      <c r="E1216" s="34">
        <v>439.48</v>
      </c>
      <c r="F1216" s="33">
        <v>3</v>
      </c>
      <c r="G1216" s="34">
        <v>1318.44</v>
      </c>
      <c r="H1216" s="33" t="s">
        <v>206</v>
      </c>
      <c r="I1216" s="33" t="str">
        <f t="shared" si="36"/>
        <v>Medium sales</v>
      </c>
      <c r="J1216" s="33" t="str">
        <f t="shared" si="37"/>
        <v>not eligible</v>
      </c>
    </row>
    <row r="1217" spans="1:10" x14ac:dyDescent="0.35">
      <c r="A1217" s="31">
        <v>45505.541666666664</v>
      </c>
      <c r="B1217" s="32">
        <v>0.76278935185185182</v>
      </c>
      <c r="C1217" s="33" t="s">
        <v>14</v>
      </c>
      <c r="D1217" s="33" t="s">
        <v>9</v>
      </c>
      <c r="E1217" s="34">
        <v>213.91</v>
      </c>
      <c r="F1217" s="33">
        <v>1</v>
      </c>
      <c r="G1217" s="34">
        <v>213.91</v>
      </c>
      <c r="H1217" s="33" t="s">
        <v>196</v>
      </c>
      <c r="I1217" s="33" t="str">
        <f t="shared" si="36"/>
        <v>Low sales</v>
      </c>
      <c r="J1217" s="33" t="str">
        <f t="shared" si="37"/>
        <v>not eligible</v>
      </c>
    </row>
    <row r="1218" spans="1:10" x14ac:dyDescent="0.35">
      <c r="A1218" s="31">
        <v>45196.53402777778</v>
      </c>
      <c r="B1218" s="32">
        <v>0.43344907407407413</v>
      </c>
      <c r="C1218" s="33" t="s">
        <v>14</v>
      </c>
      <c r="D1218" s="33" t="s">
        <v>9</v>
      </c>
      <c r="E1218" s="34">
        <v>204.9</v>
      </c>
      <c r="F1218" s="33">
        <v>1</v>
      </c>
      <c r="G1218" s="34">
        <v>204.9</v>
      </c>
      <c r="H1218" s="33" t="s">
        <v>170</v>
      </c>
      <c r="I1218" s="33" t="str">
        <f t="shared" si="36"/>
        <v>Low sales</v>
      </c>
      <c r="J1218" s="33" t="str">
        <f t="shared" si="37"/>
        <v>not eligible</v>
      </c>
    </row>
    <row r="1219" spans="1:10" x14ac:dyDescent="0.35">
      <c r="A1219" s="31">
        <v>45024.972916666666</v>
      </c>
      <c r="B1219" s="32">
        <v>0.19854166666666664</v>
      </c>
      <c r="C1219" s="33" t="s">
        <v>14</v>
      </c>
      <c r="D1219" s="33" t="s">
        <v>27</v>
      </c>
      <c r="E1219" s="34">
        <v>471.7</v>
      </c>
      <c r="F1219" s="33">
        <v>5</v>
      </c>
      <c r="G1219" s="34">
        <v>2358.5</v>
      </c>
      <c r="H1219" s="33" t="s">
        <v>77</v>
      </c>
      <c r="I1219" s="33" t="str">
        <f t="shared" ref="I1219:I1282" si="38">IF(G1219&gt;1500,"High sales", IF(G1219&gt;500,"Medium sales", "Low sales"))</f>
        <v>High sales</v>
      </c>
      <c r="J1219" s="33" t="str">
        <f t="shared" ref="J1219:J1282" si="39">IF(AND(G1219&gt;1000,C1219="Premium"), "eligible", "not eligible")</f>
        <v>not eligible</v>
      </c>
    </row>
    <row r="1220" spans="1:10" x14ac:dyDescent="0.35">
      <c r="A1220" s="31">
        <v>45109.106249999997</v>
      </c>
      <c r="B1220" s="32">
        <v>0.22186342592592592</v>
      </c>
      <c r="C1220" s="33" t="s">
        <v>11</v>
      </c>
      <c r="D1220" s="33" t="s">
        <v>12</v>
      </c>
      <c r="E1220" s="34">
        <v>280.99</v>
      </c>
      <c r="F1220" s="33">
        <v>3</v>
      </c>
      <c r="G1220" s="34">
        <v>842.97</v>
      </c>
      <c r="H1220" s="33" t="s">
        <v>395</v>
      </c>
      <c r="I1220" s="33" t="str">
        <f t="shared" si="38"/>
        <v>Medium sales</v>
      </c>
      <c r="J1220" s="33" t="str">
        <f t="shared" si="39"/>
        <v>not eligible</v>
      </c>
    </row>
    <row r="1221" spans="1:10" x14ac:dyDescent="0.35">
      <c r="A1221" s="31">
        <v>45160.204861111109</v>
      </c>
      <c r="B1221" s="32">
        <v>0.48025462962962967</v>
      </c>
      <c r="C1221" s="33" t="s">
        <v>8</v>
      </c>
      <c r="D1221" s="33" t="s">
        <v>27</v>
      </c>
      <c r="E1221" s="34">
        <v>383.34</v>
      </c>
      <c r="F1221" s="33">
        <v>2</v>
      </c>
      <c r="G1221" s="34">
        <v>766.68</v>
      </c>
      <c r="H1221" s="33" t="s">
        <v>29</v>
      </c>
      <c r="I1221" s="33" t="str">
        <f t="shared" si="38"/>
        <v>Medium sales</v>
      </c>
      <c r="J1221" s="33" t="str">
        <f t="shared" si="39"/>
        <v>not eligible</v>
      </c>
    </row>
    <row r="1222" spans="1:10" x14ac:dyDescent="0.35">
      <c r="A1222" s="31">
        <v>45413.090277777781</v>
      </c>
      <c r="B1222" s="32">
        <v>0.85837962962962966</v>
      </c>
      <c r="C1222" s="33" t="s">
        <v>14</v>
      </c>
      <c r="D1222" s="33" t="s">
        <v>12</v>
      </c>
      <c r="E1222" s="34">
        <v>281.58999999999997</v>
      </c>
      <c r="F1222" s="33">
        <v>5</v>
      </c>
      <c r="G1222" s="34">
        <v>1407.95</v>
      </c>
      <c r="H1222" s="33" t="s">
        <v>180</v>
      </c>
      <c r="I1222" s="33" t="str">
        <f t="shared" si="38"/>
        <v>Medium sales</v>
      </c>
      <c r="J1222" s="33" t="str">
        <f t="shared" si="39"/>
        <v>not eligible</v>
      </c>
    </row>
    <row r="1223" spans="1:10" x14ac:dyDescent="0.35">
      <c r="A1223" s="31">
        <v>45543.810416666667</v>
      </c>
      <c r="B1223" s="32">
        <v>0.85146990740740736</v>
      </c>
      <c r="C1223" s="33" t="s">
        <v>14</v>
      </c>
      <c r="D1223" s="33" t="s">
        <v>9</v>
      </c>
      <c r="E1223" s="34">
        <v>445.66</v>
      </c>
      <c r="F1223" s="33">
        <v>1</v>
      </c>
      <c r="G1223" s="34">
        <v>445.66</v>
      </c>
      <c r="H1223" s="33" t="s">
        <v>286</v>
      </c>
      <c r="I1223" s="33" t="str">
        <f t="shared" si="38"/>
        <v>Low sales</v>
      </c>
      <c r="J1223" s="33" t="str">
        <f t="shared" si="39"/>
        <v>not eligible</v>
      </c>
    </row>
    <row r="1224" spans="1:10" x14ac:dyDescent="0.35">
      <c r="A1224" s="31">
        <v>45426.847916666666</v>
      </c>
      <c r="B1224" s="32">
        <v>4.9826388888888885E-2</v>
      </c>
      <c r="C1224" s="33" t="s">
        <v>11</v>
      </c>
      <c r="D1224" s="33" t="s">
        <v>16</v>
      </c>
      <c r="E1224" s="34">
        <v>90.16</v>
      </c>
      <c r="F1224" s="33">
        <v>1</v>
      </c>
      <c r="G1224" s="34">
        <v>90.16</v>
      </c>
      <c r="H1224" s="33" t="s">
        <v>115</v>
      </c>
      <c r="I1224" s="33" t="str">
        <f t="shared" si="38"/>
        <v>Low sales</v>
      </c>
      <c r="J1224" s="33" t="str">
        <f t="shared" si="39"/>
        <v>not eligible</v>
      </c>
    </row>
    <row r="1225" spans="1:10" x14ac:dyDescent="0.35">
      <c r="A1225" s="31">
        <v>44992.237500000003</v>
      </c>
      <c r="B1225" s="32">
        <v>8.3217592592592593E-2</v>
      </c>
      <c r="C1225" s="33" t="s">
        <v>11</v>
      </c>
      <c r="D1225" s="33" t="s">
        <v>20</v>
      </c>
      <c r="E1225" s="34">
        <v>350.76</v>
      </c>
      <c r="F1225" s="33">
        <v>2</v>
      </c>
      <c r="G1225" s="34">
        <v>701.52</v>
      </c>
      <c r="H1225" s="33" t="s">
        <v>390</v>
      </c>
      <c r="I1225" s="33" t="str">
        <f t="shared" si="38"/>
        <v>Medium sales</v>
      </c>
      <c r="J1225" s="33" t="str">
        <f t="shared" si="39"/>
        <v>not eligible</v>
      </c>
    </row>
    <row r="1226" spans="1:10" x14ac:dyDescent="0.35">
      <c r="A1226" s="31">
        <v>45514.252083333333</v>
      </c>
      <c r="B1226" s="32">
        <v>9.7152777777777768E-2</v>
      </c>
      <c r="C1226" s="33" t="s">
        <v>11</v>
      </c>
      <c r="D1226" s="33" t="s">
        <v>9</v>
      </c>
      <c r="E1226" s="34">
        <v>129.07</v>
      </c>
      <c r="F1226" s="33">
        <v>1</v>
      </c>
      <c r="G1226" s="34">
        <v>129.07</v>
      </c>
      <c r="H1226" s="33" t="s">
        <v>34</v>
      </c>
      <c r="I1226" s="33" t="str">
        <f t="shared" si="38"/>
        <v>Low sales</v>
      </c>
      <c r="J1226" s="33" t="str">
        <f t="shared" si="39"/>
        <v>not eligible</v>
      </c>
    </row>
    <row r="1227" spans="1:10" x14ac:dyDescent="0.35">
      <c r="A1227" s="31">
        <v>45524.288194444445</v>
      </c>
      <c r="B1227" s="32">
        <v>0.85658564814814808</v>
      </c>
      <c r="C1227" s="33" t="s">
        <v>11</v>
      </c>
      <c r="D1227" s="33" t="s">
        <v>20</v>
      </c>
      <c r="E1227" s="34">
        <v>17.57</v>
      </c>
      <c r="F1227" s="33">
        <v>1</v>
      </c>
      <c r="G1227" s="34">
        <v>17.57</v>
      </c>
      <c r="H1227" s="33" t="s">
        <v>220</v>
      </c>
      <c r="I1227" s="33" t="str">
        <f t="shared" si="38"/>
        <v>Low sales</v>
      </c>
      <c r="J1227" s="33" t="str">
        <f t="shared" si="39"/>
        <v>not eligible</v>
      </c>
    </row>
    <row r="1228" spans="1:10" x14ac:dyDescent="0.35">
      <c r="A1228" s="31">
        <v>45277.542361111111</v>
      </c>
      <c r="B1228" s="32">
        <v>0.30300925925925926</v>
      </c>
      <c r="C1228" s="33" t="s">
        <v>8</v>
      </c>
      <c r="D1228" s="33" t="s">
        <v>9</v>
      </c>
      <c r="E1228" s="34">
        <v>454.56</v>
      </c>
      <c r="F1228" s="33">
        <v>3</v>
      </c>
      <c r="G1228" s="34">
        <v>1363.68</v>
      </c>
      <c r="H1228" s="33" t="s">
        <v>66</v>
      </c>
      <c r="I1228" s="33" t="str">
        <f t="shared" si="38"/>
        <v>Medium sales</v>
      </c>
      <c r="J1228" s="33" t="str">
        <f t="shared" si="39"/>
        <v>not eligible</v>
      </c>
    </row>
    <row r="1229" spans="1:10" x14ac:dyDescent="0.35">
      <c r="A1229" s="31">
        <v>45603.677083333336</v>
      </c>
      <c r="B1229" s="32">
        <v>0.25443287037037038</v>
      </c>
      <c r="C1229" s="33" t="s">
        <v>11</v>
      </c>
      <c r="D1229" s="33" t="s">
        <v>16</v>
      </c>
      <c r="E1229" s="34">
        <v>199.27</v>
      </c>
      <c r="F1229" s="33">
        <v>4</v>
      </c>
      <c r="G1229" s="34">
        <v>797.08</v>
      </c>
      <c r="H1229" s="33" t="s">
        <v>134</v>
      </c>
      <c r="I1229" s="33" t="str">
        <f t="shared" si="38"/>
        <v>Medium sales</v>
      </c>
      <c r="J1229" s="33" t="str">
        <f t="shared" si="39"/>
        <v>not eligible</v>
      </c>
    </row>
    <row r="1230" spans="1:10" x14ac:dyDescent="0.35">
      <c r="A1230" s="31">
        <v>45134.381944444445</v>
      </c>
      <c r="B1230" s="32">
        <v>7.4340277777777783E-2</v>
      </c>
      <c r="C1230" s="33" t="s">
        <v>8</v>
      </c>
      <c r="D1230" s="33" t="s">
        <v>27</v>
      </c>
      <c r="E1230" s="34">
        <v>399.72</v>
      </c>
      <c r="F1230" s="33">
        <v>3</v>
      </c>
      <c r="G1230" s="34">
        <v>1199.1600000000001</v>
      </c>
      <c r="H1230" s="33" t="s">
        <v>220</v>
      </c>
      <c r="I1230" s="33" t="str">
        <f t="shared" si="38"/>
        <v>Medium sales</v>
      </c>
      <c r="J1230" s="33" t="str">
        <f t="shared" si="39"/>
        <v>not eligible</v>
      </c>
    </row>
    <row r="1231" spans="1:10" x14ac:dyDescent="0.35">
      <c r="A1231" s="31">
        <v>45595.55972222222</v>
      </c>
      <c r="B1231" s="32">
        <v>0.93672453703703706</v>
      </c>
      <c r="C1231" s="33" t="s">
        <v>8</v>
      </c>
      <c r="D1231" s="33" t="s">
        <v>16</v>
      </c>
      <c r="E1231" s="34">
        <v>84.98</v>
      </c>
      <c r="F1231" s="33">
        <v>5</v>
      </c>
      <c r="G1231" s="34">
        <v>424.9</v>
      </c>
      <c r="H1231" s="33" t="s">
        <v>157</v>
      </c>
      <c r="I1231" s="33" t="str">
        <f t="shared" si="38"/>
        <v>Low sales</v>
      </c>
      <c r="J1231" s="33" t="str">
        <f t="shared" si="39"/>
        <v>not eligible</v>
      </c>
    </row>
    <row r="1232" spans="1:10" x14ac:dyDescent="0.35">
      <c r="A1232" s="31">
        <v>44932.885416666664</v>
      </c>
      <c r="B1232" s="32">
        <v>0.91385416666666675</v>
      </c>
      <c r="C1232" s="33" t="s">
        <v>11</v>
      </c>
      <c r="D1232" s="33" t="s">
        <v>20</v>
      </c>
      <c r="E1232" s="34">
        <v>447.85</v>
      </c>
      <c r="F1232" s="33">
        <v>5</v>
      </c>
      <c r="G1232" s="34">
        <v>2239.25</v>
      </c>
      <c r="H1232" s="33" t="s">
        <v>396</v>
      </c>
      <c r="I1232" s="33" t="str">
        <f t="shared" si="38"/>
        <v>High sales</v>
      </c>
      <c r="J1232" s="33" t="str">
        <f t="shared" si="39"/>
        <v>eligible</v>
      </c>
    </row>
    <row r="1233" spans="1:10" x14ac:dyDescent="0.35">
      <c r="A1233" s="31">
        <v>45473.152777777781</v>
      </c>
      <c r="B1233" s="32">
        <v>0.36090277777777779</v>
      </c>
      <c r="C1233" s="33" t="s">
        <v>14</v>
      </c>
      <c r="D1233" s="33" t="s">
        <v>16</v>
      </c>
      <c r="E1233" s="34">
        <v>65.319999999999993</v>
      </c>
      <c r="F1233" s="33">
        <v>3</v>
      </c>
      <c r="G1233" s="34">
        <v>195.96</v>
      </c>
      <c r="H1233" s="33" t="s">
        <v>302</v>
      </c>
      <c r="I1233" s="33" t="str">
        <f t="shared" si="38"/>
        <v>Low sales</v>
      </c>
      <c r="J1233" s="33" t="str">
        <f t="shared" si="39"/>
        <v>not eligible</v>
      </c>
    </row>
    <row r="1234" spans="1:10" x14ac:dyDescent="0.35">
      <c r="A1234" s="31">
        <v>45448.692361111112</v>
      </c>
      <c r="B1234" s="32">
        <v>0.3294212962962963</v>
      </c>
      <c r="C1234" s="33" t="s">
        <v>8</v>
      </c>
      <c r="D1234" s="33" t="s">
        <v>9</v>
      </c>
      <c r="E1234" s="34">
        <v>165.52</v>
      </c>
      <c r="F1234" s="33">
        <v>5</v>
      </c>
      <c r="G1234" s="34">
        <v>827.6</v>
      </c>
      <c r="H1234" s="33" t="s">
        <v>141</v>
      </c>
      <c r="I1234" s="33" t="str">
        <f t="shared" si="38"/>
        <v>Medium sales</v>
      </c>
      <c r="J1234" s="33" t="str">
        <f t="shared" si="39"/>
        <v>not eligible</v>
      </c>
    </row>
    <row r="1235" spans="1:10" x14ac:dyDescent="0.35">
      <c r="A1235" s="31">
        <v>45092.552083333336</v>
      </c>
      <c r="B1235" s="32">
        <v>0.9339467592592593</v>
      </c>
      <c r="C1235" s="33" t="s">
        <v>8</v>
      </c>
      <c r="D1235" s="33" t="s">
        <v>12</v>
      </c>
      <c r="E1235" s="34">
        <v>407.01</v>
      </c>
      <c r="F1235" s="33">
        <v>3</v>
      </c>
      <c r="G1235" s="34">
        <v>1221.03</v>
      </c>
      <c r="H1235" s="33" t="s">
        <v>342</v>
      </c>
      <c r="I1235" s="33" t="str">
        <f t="shared" si="38"/>
        <v>Medium sales</v>
      </c>
      <c r="J1235" s="33" t="str">
        <f t="shared" si="39"/>
        <v>not eligible</v>
      </c>
    </row>
    <row r="1236" spans="1:10" x14ac:dyDescent="0.35">
      <c r="A1236" s="31">
        <v>45549.72152777778</v>
      </c>
      <c r="B1236" s="32">
        <v>0.22351851851851853</v>
      </c>
      <c r="C1236" s="33" t="s">
        <v>8</v>
      </c>
      <c r="D1236" s="33" t="s">
        <v>12</v>
      </c>
      <c r="E1236" s="34">
        <v>345.91</v>
      </c>
      <c r="F1236" s="33">
        <v>2</v>
      </c>
      <c r="G1236" s="34">
        <v>691.82</v>
      </c>
      <c r="H1236" s="33" t="s">
        <v>61</v>
      </c>
      <c r="I1236" s="33" t="str">
        <f t="shared" si="38"/>
        <v>Medium sales</v>
      </c>
      <c r="J1236" s="33" t="str">
        <f t="shared" si="39"/>
        <v>not eligible</v>
      </c>
    </row>
    <row r="1237" spans="1:10" x14ac:dyDescent="0.35">
      <c r="A1237" s="31">
        <v>45267.960416666669</v>
      </c>
      <c r="B1237" s="32">
        <v>0.41572916666666665</v>
      </c>
      <c r="C1237" s="33" t="s">
        <v>14</v>
      </c>
      <c r="D1237" s="33" t="s">
        <v>12</v>
      </c>
      <c r="E1237" s="34">
        <v>116.87</v>
      </c>
      <c r="F1237" s="33">
        <v>4</v>
      </c>
      <c r="G1237" s="34">
        <v>467.48</v>
      </c>
      <c r="H1237" s="33" t="s">
        <v>271</v>
      </c>
      <c r="I1237" s="33" t="str">
        <f t="shared" si="38"/>
        <v>Low sales</v>
      </c>
      <c r="J1237" s="33" t="str">
        <f t="shared" si="39"/>
        <v>not eligible</v>
      </c>
    </row>
    <row r="1238" spans="1:10" x14ac:dyDescent="0.35">
      <c r="A1238" s="31">
        <v>45441.324999999997</v>
      </c>
      <c r="B1238" s="32">
        <v>0.74982638888888886</v>
      </c>
      <c r="C1238" s="33" t="s">
        <v>8</v>
      </c>
      <c r="D1238" s="33" t="s">
        <v>20</v>
      </c>
      <c r="E1238" s="34">
        <v>100.83</v>
      </c>
      <c r="F1238" s="33">
        <v>2</v>
      </c>
      <c r="G1238" s="34">
        <v>201.66</v>
      </c>
      <c r="H1238" s="33" t="s">
        <v>319</v>
      </c>
      <c r="I1238" s="33" t="str">
        <f t="shared" si="38"/>
        <v>Low sales</v>
      </c>
      <c r="J1238" s="33" t="str">
        <f t="shared" si="39"/>
        <v>not eligible</v>
      </c>
    </row>
    <row r="1239" spans="1:10" x14ac:dyDescent="0.35">
      <c r="A1239" s="31">
        <v>45146.15347222222</v>
      </c>
      <c r="B1239" s="32">
        <v>0.70792824074074068</v>
      </c>
      <c r="C1239" s="33" t="s">
        <v>8</v>
      </c>
      <c r="D1239" s="33" t="s">
        <v>20</v>
      </c>
      <c r="E1239" s="34">
        <v>298.51</v>
      </c>
      <c r="F1239" s="33">
        <v>2</v>
      </c>
      <c r="G1239" s="34">
        <v>597.02</v>
      </c>
      <c r="H1239" s="33" t="s">
        <v>23</v>
      </c>
      <c r="I1239" s="33" t="str">
        <f t="shared" si="38"/>
        <v>Medium sales</v>
      </c>
      <c r="J1239" s="33" t="str">
        <f t="shared" si="39"/>
        <v>not eligible</v>
      </c>
    </row>
    <row r="1240" spans="1:10" x14ac:dyDescent="0.35">
      <c r="A1240" s="31">
        <v>45636.255555555559</v>
      </c>
      <c r="B1240" s="32">
        <v>0.15517361111111111</v>
      </c>
      <c r="C1240" s="33" t="s">
        <v>11</v>
      </c>
      <c r="D1240" s="33" t="s">
        <v>9</v>
      </c>
      <c r="E1240" s="34">
        <v>337.07</v>
      </c>
      <c r="F1240" s="33">
        <v>4</v>
      </c>
      <c r="G1240" s="34">
        <v>1348.28</v>
      </c>
      <c r="H1240" s="33" t="s">
        <v>208</v>
      </c>
      <c r="I1240" s="33" t="str">
        <f t="shared" si="38"/>
        <v>Medium sales</v>
      </c>
      <c r="J1240" s="33" t="str">
        <f t="shared" si="39"/>
        <v>eligible</v>
      </c>
    </row>
    <row r="1241" spans="1:10" x14ac:dyDescent="0.35">
      <c r="A1241" s="31">
        <v>45164.648611111108</v>
      </c>
      <c r="B1241" s="32">
        <v>0.5064467592592593</v>
      </c>
      <c r="C1241" s="33" t="s">
        <v>11</v>
      </c>
      <c r="D1241" s="33" t="s">
        <v>12</v>
      </c>
      <c r="E1241" s="34">
        <v>259.47000000000003</v>
      </c>
      <c r="F1241" s="33">
        <v>2</v>
      </c>
      <c r="G1241" s="34">
        <v>518.94000000000005</v>
      </c>
      <c r="H1241" s="33" t="s">
        <v>275</v>
      </c>
      <c r="I1241" s="33" t="str">
        <f t="shared" si="38"/>
        <v>Medium sales</v>
      </c>
      <c r="J1241" s="33" t="str">
        <f t="shared" si="39"/>
        <v>not eligible</v>
      </c>
    </row>
    <row r="1242" spans="1:10" x14ac:dyDescent="0.35">
      <c r="A1242" s="31">
        <v>44937.535416666666</v>
      </c>
      <c r="B1242" s="32">
        <v>0.71273148148148147</v>
      </c>
      <c r="C1242" s="33" t="s">
        <v>8</v>
      </c>
      <c r="D1242" s="33" t="s">
        <v>9</v>
      </c>
      <c r="E1242" s="34">
        <v>411.77</v>
      </c>
      <c r="F1242" s="33">
        <v>1</v>
      </c>
      <c r="G1242" s="34">
        <v>411.77</v>
      </c>
      <c r="H1242" s="33" t="s">
        <v>326</v>
      </c>
      <c r="I1242" s="33" t="str">
        <f t="shared" si="38"/>
        <v>Low sales</v>
      </c>
      <c r="J1242" s="33" t="str">
        <f t="shared" si="39"/>
        <v>not eligible</v>
      </c>
    </row>
    <row r="1243" spans="1:10" x14ac:dyDescent="0.35">
      <c r="A1243" s="31">
        <v>45183.827777777777</v>
      </c>
      <c r="B1243" s="32">
        <v>0.33949074074074076</v>
      </c>
      <c r="C1243" s="33" t="s">
        <v>8</v>
      </c>
      <c r="D1243" s="33" t="s">
        <v>27</v>
      </c>
      <c r="E1243" s="34">
        <v>212.28</v>
      </c>
      <c r="F1243" s="33">
        <v>3</v>
      </c>
      <c r="G1243" s="34">
        <v>636.84</v>
      </c>
      <c r="H1243" s="33" t="s">
        <v>380</v>
      </c>
      <c r="I1243" s="33" t="str">
        <f t="shared" si="38"/>
        <v>Medium sales</v>
      </c>
      <c r="J1243" s="33" t="str">
        <f t="shared" si="39"/>
        <v>not eligible</v>
      </c>
    </row>
    <row r="1244" spans="1:10" x14ac:dyDescent="0.35">
      <c r="A1244" s="31">
        <v>45588.871527777781</v>
      </c>
      <c r="B1244" s="32">
        <v>0.88623842592592583</v>
      </c>
      <c r="C1244" s="33" t="s">
        <v>14</v>
      </c>
      <c r="D1244" s="33" t="s">
        <v>20</v>
      </c>
      <c r="E1244" s="34">
        <v>59.69</v>
      </c>
      <c r="F1244" s="33">
        <v>4</v>
      </c>
      <c r="G1244" s="34">
        <v>238.76</v>
      </c>
      <c r="H1244" s="33" t="s">
        <v>220</v>
      </c>
      <c r="I1244" s="33" t="str">
        <f t="shared" si="38"/>
        <v>Low sales</v>
      </c>
      <c r="J1244" s="33" t="str">
        <f t="shared" si="39"/>
        <v>not eligible</v>
      </c>
    </row>
    <row r="1245" spans="1:10" x14ac:dyDescent="0.35">
      <c r="A1245" s="31">
        <v>45535.308333333334</v>
      </c>
      <c r="B1245" s="32">
        <v>0.72677083333333325</v>
      </c>
      <c r="C1245" s="33" t="s">
        <v>14</v>
      </c>
      <c r="D1245" s="33" t="s">
        <v>20</v>
      </c>
      <c r="E1245" s="34">
        <v>450.92</v>
      </c>
      <c r="F1245" s="33">
        <v>2</v>
      </c>
      <c r="G1245" s="34">
        <v>901.84</v>
      </c>
      <c r="H1245" s="33" t="s">
        <v>163</v>
      </c>
      <c r="I1245" s="33" t="str">
        <f t="shared" si="38"/>
        <v>Medium sales</v>
      </c>
      <c r="J1245" s="33" t="str">
        <f t="shared" si="39"/>
        <v>not eligible</v>
      </c>
    </row>
    <row r="1246" spans="1:10" x14ac:dyDescent="0.35">
      <c r="A1246" s="31">
        <v>45638.524305555555</v>
      </c>
      <c r="B1246" s="32">
        <v>0.41107638888888887</v>
      </c>
      <c r="C1246" s="33" t="s">
        <v>8</v>
      </c>
      <c r="D1246" s="33" t="s">
        <v>9</v>
      </c>
      <c r="E1246" s="34">
        <v>147.05000000000001</v>
      </c>
      <c r="F1246" s="33">
        <v>1</v>
      </c>
      <c r="G1246" s="34">
        <v>147.05000000000001</v>
      </c>
      <c r="H1246" s="33" t="s">
        <v>387</v>
      </c>
      <c r="I1246" s="33" t="str">
        <f t="shared" si="38"/>
        <v>Low sales</v>
      </c>
      <c r="J1246" s="33" t="str">
        <f t="shared" si="39"/>
        <v>not eligible</v>
      </c>
    </row>
    <row r="1247" spans="1:10" x14ac:dyDescent="0.35">
      <c r="A1247" s="31">
        <v>44948.350694444445</v>
      </c>
      <c r="B1247" s="32">
        <v>0.62989583333333332</v>
      </c>
      <c r="C1247" s="33" t="s">
        <v>8</v>
      </c>
      <c r="D1247" s="33" t="s">
        <v>20</v>
      </c>
      <c r="E1247" s="34">
        <v>429.77</v>
      </c>
      <c r="F1247" s="33">
        <v>1</v>
      </c>
      <c r="G1247" s="34">
        <v>429.77</v>
      </c>
      <c r="H1247" s="33" t="s">
        <v>397</v>
      </c>
      <c r="I1247" s="33" t="str">
        <f t="shared" si="38"/>
        <v>Low sales</v>
      </c>
      <c r="J1247" s="33" t="str">
        <f t="shared" si="39"/>
        <v>not eligible</v>
      </c>
    </row>
    <row r="1248" spans="1:10" x14ac:dyDescent="0.35">
      <c r="A1248" s="31">
        <v>45384.830555555556</v>
      </c>
      <c r="B1248" s="32">
        <v>0.83269675925925923</v>
      </c>
      <c r="C1248" s="33" t="s">
        <v>8</v>
      </c>
      <c r="D1248" s="33" t="s">
        <v>20</v>
      </c>
      <c r="E1248" s="34">
        <v>202.83</v>
      </c>
      <c r="F1248" s="33">
        <v>3</v>
      </c>
      <c r="G1248" s="34">
        <v>608.49</v>
      </c>
      <c r="H1248" s="33" t="s">
        <v>161</v>
      </c>
      <c r="I1248" s="33" t="str">
        <f t="shared" si="38"/>
        <v>Medium sales</v>
      </c>
      <c r="J1248" s="33" t="str">
        <f t="shared" si="39"/>
        <v>not eligible</v>
      </c>
    </row>
    <row r="1249" spans="1:10" x14ac:dyDescent="0.35">
      <c r="A1249" s="31">
        <v>45088.545138888891</v>
      </c>
      <c r="B1249" s="32">
        <v>0.42531249999999998</v>
      </c>
      <c r="C1249" s="33" t="s">
        <v>8</v>
      </c>
      <c r="D1249" s="33" t="s">
        <v>12</v>
      </c>
      <c r="E1249" s="34">
        <v>423.31</v>
      </c>
      <c r="F1249" s="33">
        <v>1</v>
      </c>
      <c r="G1249" s="34">
        <v>423.31</v>
      </c>
      <c r="H1249" s="33" t="s">
        <v>91</v>
      </c>
      <c r="I1249" s="33" t="str">
        <f t="shared" si="38"/>
        <v>Low sales</v>
      </c>
      <c r="J1249" s="33" t="str">
        <f t="shared" si="39"/>
        <v>not eligible</v>
      </c>
    </row>
    <row r="1250" spans="1:10" x14ac:dyDescent="0.35">
      <c r="A1250" s="31">
        <v>45527.188888888886</v>
      </c>
      <c r="B1250" s="32">
        <v>0.56020833333333331</v>
      </c>
      <c r="C1250" s="33" t="s">
        <v>11</v>
      </c>
      <c r="D1250" s="33" t="s">
        <v>16</v>
      </c>
      <c r="E1250" s="34">
        <v>263.54000000000002</v>
      </c>
      <c r="F1250" s="33">
        <v>2</v>
      </c>
      <c r="G1250" s="34">
        <v>527.08000000000004</v>
      </c>
      <c r="H1250" s="33" t="s">
        <v>206</v>
      </c>
      <c r="I1250" s="33" t="str">
        <f t="shared" si="38"/>
        <v>Medium sales</v>
      </c>
      <c r="J1250" s="33" t="str">
        <f t="shared" si="39"/>
        <v>not eligible</v>
      </c>
    </row>
    <row r="1251" spans="1:10" x14ac:dyDescent="0.35">
      <c r="A1251" s="31">
        <v>45394.853472222225</v>
      </c>
      <c r="B1251" s="32">
        <v>0.11008101851851852</v>
      </c>
      <c r="C1251" s="33" t="s">
        <v>11</v>
      </c>
      <c r="D1251" s="33" t="s">
        <v>20</v>
      </c>
      <c r="E1251" s="34">
        <v>50.54</v>
      </c>
      <c r="F1251" s="33">
        <v>2</v>
      </c>
      <c r="G1251" s="34">
        <v>101.08</v>
      </c>
      <c r="H1251" s="33" t="s">
        <v>19</v>
      </c>
      <c r="I1251" s="33" t="str">
        <f t="shared" si="38"/>
        <v>Low sales</v>
      </c>
      <c r="J1251" s="33" t="str">
        <f t="shared" si="39"/>
        <v>not eligible</v>
      </c>
    </row>
    <row r="1252" spans="1:10" x14ac:dyDescent="0.35">
      <c r="A1252" s="31">
        <v>45167.679861111108</v>
      </c>
      <c r="B1252" s="32">
        <v>0.24924768518518517</v>
      </c>
      <c r="C1252" s="33" t="s">
        <v>8</v>
      </c>
      <c r="D1252" s="33" t="s">
        <v>20</v>
      </c>
      <c r="E1252" s="34">
        <v>49.25</v>
      </c>
      <c r="F1252" s="33">
        <v>2</v>
      </c>
      <c r="G1252" s="34">
        <v>98.5</v>
      </c>
      <c r="H1252" s="33" t="s">
        <v>123</v>
      </c>
      <c r="I1252" s="33" t="str">
        <f t="shared" si="38"/>
        <v>Low sales</v>
      </c>
      <c r="J1252" s="33" t="str">
        <f t="shared" si="39"/>
        <v>not eligible</v>
      </c>
    </row>
    <row r="1253" spans="1:10" x14ac:dyDescent="0.35">
      <c r="A1253" s="31">
        <v>45451.85833333333</v>
      </c>
      <c r="B1253" s="32">
        <v>0.84408564814814813</v>
      </c>
      <c r="C1253" s="33" t="s">
        <v>8</v>
      </c>
      <c r="D1253" s="33" t="s">
        <v>16</v>
      </c>
      <c r="E1253" s="34">
        <v>82.96</v>
      </c>
      <c r="F1253" s="33">
        <v>5</v>
      </c>
      <c r="G1253" s="34">
        <v>414.8</v>
      </c>
      <c r="H1253" s="33" t="s">
        <v>72</v>
      </c>
      <c r="I1253" s="33" t="str">
        <f t="shared" si="38"/>
        <v>Low sales</v>
      </c>
      <c r="J1253" s="33" t="str">
        <f t="shared" si="39"/>
        <v>not eligible</v>
      </c>
    </row>
    <row r="1254" spans="1:10" x14ac:dyDescent="0.35">
      <c r="A1254" s="31">
        <v>45207.918749999997</v>
      </c>
      <c r="B1254" s="32">
        <v>0.11431712962962963</v>
      </c>
      <c r="C1254" s="33" t="s">
        <v>11</v>
      </c>
      <c r="D1254" s="33" t="s">
        <v>20</v>
      </c>
      <c r="E1254" s="34">
        <v>361.34</v>
      </c>
      <c r="F1254" s="33">
        <v>1</v>
      </c>
      <c r="G1254" s="34">
        <v>361.34</v>
      </c>
      <c r="H1254" s="33" t="s">
        <v>75</v>
      </c>
      <c r="I1254" s="33" t="str">
        <f t="shared" si="38"/>
        <v>Low sales</v>
      </c>
      <c r="J1254" s="33" t="str">
        <f t="shared" si="39"/>
        <v>not eligible</v>
      </c>
    </row>
    <row r="1255" spans="1:10" x14ac:dyDescent="0.35">
      <c r="A1255" s="31">
        <v>45583.580555555556</v>
      </c>
      <c r="B1255" s="32">
        <v>0.76108796296296299</v>
      </c>
      <c r="C1255" s="33" t="s">
        <v>14</v>
      </c>
      <c r="D1255" s="33" t="s">
        <v>27</v>
      </c>
      <c r="E1255" s="34">
        <v>302.5</v>
      </c>
      <c r="F1255" s="33">
        <v>1</v>
      </c>
      <c r="G1255" s="34">
        <v>302.5</v>
      </c>
      <c r="H1255" s="33" t="s">
        <v>157</v>
      </c>
      <c r="I1255" s="33" t="str">
        <f t="shared" si="38"/>
        <v>Low sales</v>
      </c>
      <c r="J1255" s="33" t="str">
        <f t="shared" si="39"/>
        <v>not eligible</v>
      </c>
    </row>
    <row r="1256" spans="1:10" x14ac:dyDescent="0.35">
      <c r="A1256" s="31">
        <v>45527.370138888888</v>
      </c>
      <c r="B1256" s="32">
        <v>0.49334490740740744</v>
      </c>
      <c r="C1256" s="33" t="s">
        <v>8</v>
      </c>
      <c r="D1256" s="33" t="s">
        <v>9</v>
      </c>
      <c r="E1256" s="34">
        <v>297.60000000000002</v>
      </c>
      <c r="F1256" s="33">
        <v>4</v>
      </c>
      <c r="G1256" s="34">
        <v>1190.4000000000001</v>
      </c>
      <c r="H1256" s="33" t="s">
        <v>61</v>
      </c>
      <c r="I1256" s="33" t="str">
        <f t="shared" si="38"/>
        <v>Medium sales</v>
      </c>
      <c r="J1256" s="33" t="str">
        <f t="shared" si="39"/>
        <v>not eligible</v>
      </c>
    </row>
    <row r="1257" spans="1:10" x14ac:dyDescent="0.35">
      <c r="A1257" s="31">
        <v>45476.004861111112</v>
      </c>
      <c r="B1257" s="32">
        <v>0.70351851851851854</v>
      </c>
      <c r="C1257" s="33" t="s">
        <v>14</v>
      </c>
      <c r="D1257" s="33" t="s">
        <v>16</v>
      </c>
      <c r="E1257" s="34">
        <v>21.14</v>
      </c>
      <c r="F1257" s="33">
        <v>5</v>
      </c>
      <c r="G1257" s="34">
        <v>105.7</v>
      </c>
      <c r="H1257" s="33" t="s">
        <v>390</v>
      </c>
      <c r="I1257" s="33" t="str">
        <f t="shared" si="38"/>
        <v>Low sales</v>
      </c>
      <c r="J1257" s="33" t="str">
        <f t="shared" si="39"/>
        <v>not eligible</v>
      </c>
    </row>
    <row r="1258" spans="1:10" x14ac:dyDescent="0.35">
      <c r="A1258" s="31">
        <v>45425.648611111108</v>
      </c>
      <c r="B1258" s="32">
        <v>0.24505787037037038</v>
      </c>
      <c r="C1258" s="33" t="s">
        <v>14</v>
      </c>
      <c r="D1258" s="33" t="s">
        <v>20</v>
      </c>
      <c r="E1258" s="34">
        <v>382.53</v>
      </c>
      <c r="F1258" s="33">
        <v>1</v>
      </c>
      <c r="G1258" s="34">
        <v>382.53</v>
      </c>
      <c r="H1258" s="33" t="s">
        <v>385</v>
      </c>
      <c r="I1258" s="33" t="str">
        <f t="shared" si="38"/>
        <v>Low sales</v>
      </c>
      <c r="J1258" s="33" t="str">
        <f t="shared" si="39"/>
        <v>not eligible</v>
      </c>
    </row>
    <row r="1259" spans="1:10" x14ac:dyDescent="0.35">
      <c r="A1259" s="31">
        <v>45180.972222222219</v>
      </c>
      <c r="B1259" s="32">
        <v>0.16917824074074073</v>
      </c>
      <c r="C1259" s="33" t="s">
        <v>11</v>
      </c>
      <c r="D1259" s="33" t="s">
        <v>16</v>
      </c>
      <c r="E1259" s="34">
        <v>385.96</v>
      </c>
      <c r="F1259" s="33">
        <v>4</v>
      </c>
      <c r="G1259" s="34">
        <v>1543.84</v>
      </c>
      <c r="H1259" s="33" t="s">
        <v>328</v>
      </c>
      <c r="I1259" s="33" t="str">
        <f t="shared" si="38"/>
        <v>High sales</v>
      </c>
      <c r="J1259" s="33" t="str">
        <f t="shared" si="39"/>
        <v>eligible</v>
      </c>
    </row>
    <row r="1260" spans="1:10" x14ac:dyDescent="0.35">
      <c r="A1260" s="31">
        <v>45230.495138888888</v>
      </c>
      <c r="B1260" s="32">
        <v>0.24409722222222222</v>
      </c>
      <c r="C1260" s="33" t="s">
        <v>8</v>
      </c>
      <c r="D1260" s="33" t="s">
        <v>27</v>
      </c>
      <c r="E1260" s="34">
        <v>371.5</v>
      </c>
      <c r="F1260" s="33">
        <v>1</v>
      </c>
      <c r="G1260" s="34">
        <v>371.5</v>
      </c>
      <c r="H1260" s="33" t="s">
        <v>121</v>
      </c>
      <c r="I1260" s="33" t="str">
        <f t="shared" si="38"/>
        <v>Low sales</v>
      </c>
      <c r="J1260" s="33" t="str">
        <f t="shared" si="39"/>
        <v>not eligible</v>
      </c>
    </row>
    <row r="1261" spans="1:10" x14ac:dyDescent="0.35">
      <c r="A1261" s="31">
        <v>45278.154166666667</v>
      </c>
      <c r="B1261" s="32">
        <v>0.29607638888888888</v>
      </c>
      <c r="C1261" s="33" t="s">
        <v>11</v>
      </c>
      <c r="D1261" s="33" t="s">
        <v>27</v>
      </c>
      <c r="E1261" s="34">
        <v>21.4</v>
      </c>
      <c r="F1261" s="33">
        <v>1</v>
      </c>
      <c r="G1261" s="34">
        <v>21.4</v>
      </c>
      <c r="H1261" s="33" t="s">
        <v>17</v>
      </c>
      <c r="I1261" s="33" t="str">
        <f t="shared" si="38"/>
        <v>Low sales</v>
      </c>
      <c r="J1261" s="33" t="str">
        <f t="shared" si="39"/>
        <v>not eligible</v>
      </c>
    </row>
    <row r="1262" spans="1:10" x14ac:dyDescent="0.35">
      <c r="A1262" s="31">
        <v>44953.155555555553</v>
      </c>
      <c r="B1262" s="32">
        <v>0.8830324074074074</v>
      </c>
      <c r="C1262" s="33" t="s">
        <v>11</v>
      </c>
      <c r="D1262" s="33" t="s">
        <v>9</v>
      </c>
      <c r="E1262" s="34">
        <v>232.86</v>
      </c>
      <c r="F1262" s="33">
        <v>3</v>
      </c>
      <c r="G1262" s="34">
        <v>698.58</v>
      </c>
      <c r="H1262" s="33" t="s">
        <v>396</v>
      </c>
      <c r="I1262" s="33" t="str">
        <f t="shared" si="38"/>
        <v>Medium sales</v>
      </c>
      <c r="J1262" s="33" t="str">
        <f t="shared" si="39"/>
        <v>not eligible</v>
      </c>
    </row>
    <row r="1263" spans="1:10" x14ac:dyDescent="0.35">
      <c r="A1263" s="31">
        <v>45350.77847222222</v>
      </c>
      <c r="B1263" s="32">
        <v>0.84781249999999997</v>
      </c>
      <c r="C1263" s="33" t="s">
        <v>14</v>
      </c>
      <c r="D1263" s="33" t="s">
        <v>16</v>
      </c>
      <c r="E1263" s="34">
        <v>240.91</v>
      </c>
      <c r="F1263" s="33">
        <v>5</v>
      </c>
      <c r="G1263" s="34">
        <v>1204.55</v>
      </c>
      <c r="H1263" s="33" t="s">
        <v>338</v>
      </c>
      <c r="I1263" s="33" t="str">
        <f t="shared" si="38"/>
        <v>Medium sales</v>
      </c>
      <c r="J1263" s="33" t="str">
        <f t="shared" si="39"/>
        <v>not eligible</v>
      </c>
    </row>
    <row r="1264" spans="1:10" x14ac:dyDescent="0.35">
      <c r="A1264" s="31">
        <v>45359.831250000003</v>
      </c>
      <c r="B1264" s="32">
        <v>0.20008101851851853</v>
      </c>
      <c r="C1264" s="33" t="s">
        <v>11</v>
      </c>
      <c r="D1264" s="33" t="s">
        <v>20</v>
      </c>
      <c r="E1264" s="34">
        <v>354.5</v>
      </c>
      <c r="F1264" s="33">
        <v>4</v>
      </c>
      <c r="G1264" s="34">
        <v>1418</v>
      </c>
      <c r="H1264" s="33" t="s">
        <v>328</v>
      </c>
      <c r="I1264" s="33" t="str">
        <f t="shared" si="38"/>
        <v>Medium sales</v>
      </c>
      <c r="J1264" s="33" t="str">
        <f t="shared" si="39"/>
        <v>eligible</v>
      </c>
    </row>
    <row r="1265" spans="1:10" x14ac:dyDescent="0.35">
      <c r="A1265" s="31">
        <v>45364.447916666664</v>
      </c>
      <c r="B1265" s="32">
        <v>0.22741898148148146</v>
      </c>
      <c r="C1265" s="33" t="s">
        <v>14</v>
      </c>
      <c r="D1265" s="33" t="s">
        <v>9</v>
      </c>
      <c r="E1265" s="34">
        <v>386.36</v>
      </c>
      <c r="F1265" s="33">
        <v>2</v>
      </c>
      <c r="G1265" s="34">
        <v>772.72</v>
      </c>
      <c r="H1265" s="33" t="s">
        <v>40</v>
      </c>
      <c r="I1265" s="33" t="str">
        <f t="shared" si="38"/>
        <v>Medium sales</v>
      </c>
      <c r="J1265" s="33" t="str">
        <f t="shared" si="39"/>
        <v>not eligible</v>
      </c>
    </row>
    <row r="1266" spans="1:10" x14ac:dyDescent="0.35">
      <c r="A1266" s="31">
        <v>45181.459027777775</v>
      </c>
      <c r="B1266" s="32">
        <v>0.61917824074074079</v>
      </c>
      <c r="C1266" s="33" t="s">
        <v>8</v>
      </c>
      <c r="D1266" s="33" t="s">
        <v>9</v>
      </c>
      <c r="E1266" s="34">
        <v>209.87</v>
      </c>
      <c r="F1266" s="33">
        <v>2</v>
      </c>
      <c r="G1266" s="34">
        <v>419.74</v>
      </c>
      <c r="H1266" s="33" t="s">
        <v>157</v>
      </c>
      <c r="I1266" s="33" t="str">
        <f t="shared" si="38"/>
        <v>Low sales</v>
      </c>
      <c r="J1266" s="33" t="str">
        <f t="shared" si="39"/>
        <v>not eligible</v>
      </c>
    </row>
    <row r="1267" spans="1:10" x14ac:dyDescent="0.35">
      <c r="A1267" s="31">
        <v>45443.734027777777</v>
      </c>
      <c r="B1267" s="32">
        <v>0.80942129629629633</v>
      </c>
      <c r="C1267" s="33" t="s">
        <v>8</v>
      </c>
      <c r="D1267" s="33" t="s">
        <v>27</v>
      </c>
      <c r="E1267" s="34">
        <v>92.96</v>
      </c>
      <c r="F1267" s="33">
        <v>4</v>
      </c>
      <c r="G1267" s="34">
        <v>371.84</v>
      </c>
      <c r="H1267" s="33" t="s">
        <v>204</v>
      </c>
      <c r="I1267" s="33" t="str">
        <f t="shared" si="38"/>
        <v>Low sales</v>
      </c>
      <c r="J1267" s="33" t="str">
        <f t="shared" si="39"/>
        <v>not eligible</v>
      </c>
    </row>
    <row r="1268" spans="1:10" x14ac:dyDescent="0.35">
      <c r="A1268" s="31">
        <v>45147.40347222222</v>
      </c>
      <c r="B1268" s="32">
        <v>0.27417824074074076</v>
      </c>
      <c r="C1268" s="33" t="s">
        <v>11</v>
      </c>
      <c r="D1268" s="33" t="s">
        <v>20</v>
      </c>
      <c r="E1268" s="34">
        <v>246.6</v>
      </c>
      <c r="F1268" s="33">
        <v>2</v>
      </c>
      <c r="G1268" s="34">
        <v>493.2</v>
      </c>
      <c r="H1268" s="33" t="s">
        <v>380</v>
      </c>
      <c r="I1268" s="33" t="str">
        <f t="shared" si="38"/>
        <v>Low sales</v>
      </c>
      <c r="J1268" s="33" t="str">
        <f t="shared" si="39"/>
        <v>not eligible</v>
      </c>
    </row>
    <row r="1269" spans="1:10" x14ac:dyDescent="0.35">
      <c r="A1269" s="31">
        <v>45025.086111111108</v>
      </c>
      <c r="B1269" s="32">
        <v>0.1693402777777778</v>
      </c>
      <c r="C1269" s="33" t="s">
        <v>11</v>
      </c>
      <c r="D1269" s="33" t="s">
        <v>9</v>
      </c>
      <c r="E1269" s="34">
        <v>248.44</v>
      </c>
      <c r="F1269" s="33">
        <v>2</v>
      </c>
      <c r="G1269" s="34">
        <v>496.88</v>
      </c>
      <c r="H1269" s="33" t="s">
        <v>363</v>
      </c>
      <c r="I1269" s="33" t="str">
        <f t="shared" si="38"/>
        <v>Low sales</v>
      </c>
      <c r="J1269" s="33" t="str">
        <f t="shared" si="39"/>
        <v>not eligible</v>
      </c>
    </row>
    <row r="1270" spans="1:10" x14ac:dyDescent="0.35">
      <c r="A1270" s="31">
        <v>45208.152777777781</v>
      </c>
      <c r="B1270" s="32">
        <v>0.46579861111111115</v>
      </c>
      <c r="C1270" s="33" t="s">
        <v>14</v>
      </c>
      <c r="D1270" s="33" t="s">
        <v>20</v>
      </c>
      <c r="E1270" s="34">
        <v>258.93</v>
      </c>
      <c r="F1270" s="33">
        <v>4</v>
      </c>
      <c r="G1270" s="34">
        <v>1035.72</v>
      </c>
      <c r="H1270" s="33" t="s">
        <v>98</v>
      </c>
      <c r="I1270" s="33" t="str">
        <f t="shared" si="38"/>
        <v>Medium sales</v>
      </c>
      <c r="J1270" s="33" t="str">
        <f t="shared" si="39"/>
        <v>not eligible</v>
      </c>
    </row>
    <row r="1271" spans="1:10" x14ac:dyDescent="0.35">
      <c r="A1271" s="31">
        <v>45192.163194444445</v>
      </c>
      <c r="B1271" s="32">
        <v>0.55723379629629632</v>
      </c>
      <c r="C1271" s="33" t="s">
        <v>8</v>
      </c>
      <c r="D1271" s="33" t="s">
        <v>12</v>
      </c>
      <c r="E1271" s="34">
        <v>235.12</v>
      </c>
      <c r="F1271" s="33">
        <v>5</v>
      </c>
      <c r="G1271" s="34">
        <v>1175.5999999999999</v>
      </c>
      <c r="H1271" s="33" t="s">
        <v>341</v>
      </c>
      <c r="I1271" s="33" t="str">
        <f t="shared" si="38"/>
        <v>Medium sales</v>
      </c>
      <c r="J1271" s="33" t="str">
        <f t="shared" si="39"/>
        <v>not eligible</v>
      </c>
    </row>
    <row r="1272" spans="1:10" x14ac:dyDescent="0.35">
      <c r="A1272" s="31">
        <v>45156.500694444447</v>
      </c>
      <c r="B1272" s="32">
        <v>5.8993055555555556E-2</v>
      </c>
      <c r="C1272" s="33" t="s">
        <v>11</v>
      </c>
      <c r="D1272" s="33" t="s">
        <v>27</v>
      </c>
      <c r="E1272" s="34">
        <v>13.07</v>
      </c>
      <c r="F1272" s="33">
        <v>5</v>
      </c>
      <c r="G1272" s="34">
        <v>65.349999999999994</v>
      </c>
      <c r="H1272" s="33" t="s">
        <v>337</v>
      </c>
      <c r="I1272" s="33" t="str">
        <f t="shared" si="38"/>
        <v>Low sales</v>
      </c>
      <c r="J1272" s="33" t="str">
        <f t="shared" si="39"/>
        <v>not eligible</v>
      </c>
    </row>
    <row r="1273" spans="1:10" x14ac:dyDescent="0.35">
      <c r="A1273" s="31">
        <v>44938.681944444441</v>
      </c>
      <c r="B1273" s="32">
        <v>0.59844907407407411</v>
      </c>
      <c r="C1273" s="33" t="s">
        <v>8</v>
      </c>
      <c r="D1273" s="33" t="s">
        <v>27</v>
      </c>
      <c r="E1273" s="34">
        <v>256.01</v>
      </c>
      <c r="F1273" s="33">
        <v>5</v>
      </c>
      <c r="G1273" s="34">
        <v>1280.05</v>
      </c>
      <c r="H1273" s="33" t="s">
        <v>73</v>
      </c>
      <c r="I1273" s="33" t="str">
        <f t="shared" si="38"/>
        <v>Medium sales</v>
      </c>
      <c r="J1273" s="33" t="str">
        <f t="shared" si="39"/>
        <v>not eligible</v>
      </c>
    </row>
    <row r="1274" spans="1:10" x14ac:dyDescent="0.35">
      <c r="A1274" s="31">
        <v>45638.800694444442</v>
      </c>
      <c r="B1274" s="32">
        <v>0.98490740740740745</v>
      </c>
      <c r="C1274" s="33" t="s">
        <v>8</v>
      </c>
      <c r="D1274" s="33" t="s">
        <v>12</v>
      </c>
      <c r="E1274" s="34">
        <v>410.82</v>
      </c>
      <c r="F1274" s="33">
        <v>4</v>
      </c>
      <c r="G1274" s="34">
        <v>1643.28</v>
      </c>
      <c r="H1274" s="33" t="s">
        <v>37</v>
      </c>
      <c r="I1274" s="33" t="str">
        <f t="shared" si="38"/>
        <v>High sales</v>
      </c>
      <c r="J1274" s="33" t="str">
        <f t="shared" si="39"/>
        <v>not eligible</v>
      </c>
    </row>
    <row r="1275" spans="1:10" x14ac:dyDescent="0.35">
      <c r="A1275" s="31">
        <v>45662.301388888889</v>
      </c>
      <c r="B1275" s="32">
        <v>0.98181712962962964</v>
      </c>
      <c r="C1275" s="33" t="s">
        <v>8</v>
      </c>
      <c r="D1275" s="33" t="s">
        <v>9</v>
      </c>
      <c r="E1275" s="34">
        <v>244.99</v>
      </c>
      <c r="F1275" s="33">
        <v>5</v>
      </c>
      <c r="G1275" s="34">
        <v>1224.95</v>
      </c>
      <c r="H1275" s="33" t="s">
        <v>229</v>
      </c>
      <c r="I1275" s="33" t="str">
        <f t="shared" si="38"/>
        <v>Medium sales</v>
      </c>
      <c r="J1275" s="33" t="str">
        <f t="shared" si="39"/>
        <v>not eligible</v>
      </c>
    </row>
    <row r="1276" spans="1:10" x14ac:dyDescent="0.35">
      <c r="A1276" s="31">
        <v>45004.738888888889</v>
      </c>
      <c r="B1276" s="32">
        <v>0.76973379629629635</v>
      </c>
      <c r="C1276" s="33" t="s">
        <v>14</v>
      </c>
      <c r="D1276" s="33" t="s">
        <v>27</v>
      </c>
      <c r="E1276" s="34">
        <v>190.96</v>
      </c>
      <c r="F1276" s="33">
        <v>5</v>
      </c>
      <c r="G1276" s="34">
        <v>954.8</v>
      </c>
      <c r="H1276" s="33" t="s">
        <v>398</v>
      </c>
      <c r="I1276" s="33" t="str">
        <f t="shared" si="38"/>
        <v>Medium sales</v>
      </c>
      <c r="J1276" s="33" t="str">
        <f t="shared" si="39"/>
        <v>not eligible</v>
      </c>
    </row>
    <row r="1277" spans="1:10" x14ac:dyDescent="0.35">
      <c r="A1277" s="31">
        <v>45362.856944444444</v>
      </c>
      <c r="B1277" s="32">
        <v>0.65388888888888885</v>
      </c>
      <c r="C1277" s="33" t="s">
        <v>11</v>
      </c>
      <c r="D1277" s="33" t="s">
        <v>27</v>
      </c>
      <c r="E1277" s="34">
        <v>42.15</v>
      </c>
      <c r="F1277" s="33">
        <v>1</v>
      </c>
      <c r="G1277" s="34">
        <v>42.15</v>
      </c>
      <c r="H1277" s="33" t="s">
        <v>99</v>
      </c>
      <c r="I1277" s="33" t="str">
        <f t="shared" si="38"/>
        <v>Low sales</v>
      </c>
      <c r="J1277" s="33" t="str">
        <f t="shared" si="39"/>
        <v>not eligible</v>
      </c>
    </row>
    <row r="1278" spans="1:10" x14ac:dyDescent="0.35">
      <c r="A1278" s="31">
        <v>45264.456944444442</v>
      </c>
      <c r="B1278" s="32">
        <v>0.13280092592592593</v>
      </c>
      <c r="C1278" s="33" t="s">
        <v>11</v>
      </c>
      <c r="D1278" s="33" t="s">
        <v>20</v>
      </c>
      <c r="E1278" s="34">
        <v>167.99</v>
      </c>
      <c r="F1278" s="33">
        <v>5</v>
      </c>
      <c r="G1278" s="34">
        <v>839.95</v>
      </c>
      <c r="H1278" s="33" t="s">
        <v>397</v>
      </c>
      <c r="I1278" s="33" t="str">
        <f t="shared" si="38"/>
        <v>Medium sales</v>
      </c>
      <c r="J1278" s="33" t="str">
        <f t="shared" si="39"/>
        <v>not eligible</v>
      </c>
    </row>
    <row r="1279" spans="1:10" x14ac:dyDescent="0.35">
      <c r="A1279" s="31">
        <v>45209.05972222222</v>
      </c>
      <c r="B1279" s="32">
        <v>0.53921296296296295</v>
      </c>
      <c r="C1279" s="33" t="s">
        <v>8</v>
      </c>
      <c r="D1279" s="33" t="s">
        <v>27</v>
      </c>
      <c r="E1279" s="34">
        <v>343.1</v>
      </c>
      <c r="F1279" s="33">
        <v>3</v>
      </c>
      <c r="G1279" s="34">
        <v>1029.3</v>
      </c>
      <c r="H1279" s="33" t="s">
        <v>394</v>
      </c>
      <c r="I1279" s="33" t="str">
        <f t="shared" si="38"/>
        <v>Medium sales</v>
      </c>
      <c r="J1279" s="33" t="str">
        <f t="shared" si="39"/>
        <v>not eligible</v>
      </c>
    </row>
    <row r="1280" spans="1:10" x14ac:dyDescent="0.35">
      <c r="A1280" s="31">
        <v>45570.919444444444</v>
      </c>
      <c r="B1280" s="32">
        <v>0.24519675925925924</v>
      </c>
      <c r="C1280" s="33" t="s">
        <v>11</v>
      </c>
      <c r="D1280" s="33" t="s">
        <v>27</v>
      </c>
      <c r="E1280" s="34">
        <v>468.11</v>
      </c>
      <c r="F1280" s="33">
        <v>3</v>
      </c>
      <c r="G1280" s="34">
        <v>1404.33</v>
      </c>
      <c r="H1280" s="33" t="s">
        <v>140</v>
      </c>
      <c r="I1280" s="33" t="str">
        <f t="shared" si="38"/>
        <v>Medium sales</v>
      </c>
      <c r="J1280" s="33" t="str">
        <f t="shared" si="39"/>
        <v>eligible</v>
      </c>
    </row>
    <row r="1281" spans="1:10" x14ac:dyDescent="0.35">
      <c r="A1281" s="31">
        <v>45365.469444444447</v>
      </c>
      <c r="B1281" s="32">
        <v>0.49842592592592588</v>
      </c>
      <c r="C1281" s="33" t="s">
        <v>14</v>
      </c>
      <c r="D1281" s="33" t="s">
        <v>12</v>
      </c>
      <c r="E1281" s="34">
        <v>422.41</v>
      </c>
      <c r="F1281" s="33">
        <v>1</v>
      </c>
      <c r="G1281" s="34">
        <v>422.41</v>
      </c>
      <c r="H1281" s="33" t="s">
        <v>15</v>
      </c>
      <c r="I1281" s="33" t="str">
        <f t="shared" si="38"/>
        <v>Low sales</v>
      </c>
      <c r="J1281" s="33" t="str">
        <f t="shared" si="39"/>
        <v>not eligible</v>
      </c>
    </row>
    <row r="1282" spans="1:10" x14ac:dyDescent="0.35">
      <c r="A1282" s="31">
        <v>45001.752083333333</v>
      </c>
      <c r="B1282" s="32">
        <v>0.88920138888888889</v>
      </c>
      <c r="C1282" s="33" t="s">
        <v>11</v>
      </c>
      <c r="D1282" s="33" t="s">
        <v>20</v>
      </c>
      <c r="E1282" s="34">
        <v>279.89</v>
      </c>
      <c r="F1282" s="33">
        <v>5</v>
      </c>
      <c r="G1282" s="34">
        <v>1399.45</v>
      </c>
      <c r="H1282" s="33" t="s">
        <v>399</v>
      </c>
      <c r="I1282" s="33" t="str">
        <f t="shared" si="38"/>
        <v>Medium sales</v>
      </c>
      <c r="J1282" s="33" t="str">
        <f t="shared" si="39"/>
        <v>eligible</v>
      </c>
    </row>
    <row r="1283" spans="1:10" x14ac:dyDescent="0.35">
      <c r="A1283" s="31">
        <v>45112.333333333336</v>
      </c>
      <c r="B1283" s="32">
        <v>0.90175925925925926</v>
      </c>
      <c r="C1283" s="33" t="s">
        <v>8</v>
      </c>
      <c r="D1283" s="33" t="s">
        <v>12</v>
      </c>
      <c r="E1283" s="34">
        <v>415.34</v>
      </c>
      <c r="F1283" s="33">
        <v>1</v>
      </c>
      <c r="G1283" s="34">
        <v>415.34</v>
      </c>
      <c r="H1283" s="33" t="s">
        <v>32</v>
      </c>
      <c r="I1283" s="33" t="str">
        <f t="shared" ref="I1283:I1346" si="40">IF(G1283&gt;1500,"High sales", IF(G1283&gt;500,"Medium sales", "Low sales"))</f>
        <v>Low sales</v>
      </c>
      <c r="J1283" s="33" t="str">
        <f t="shared" ref="J1283:J1346" si="41">IF(AND(G1283&gt;1000,C1283="Premium"), "eligible", "not eligible")</f>
        <v>not eligible</v>
      </c>
    </row>
    <row r="1284" spans="1:10" x14ac:dyDescent="0.35">
      <c r="A1284" s="31">
        <v>45352.364583333336</v>
      </c>
      <c r="B1284" s="32">
        <v>0.65112268518518512</v>
      </c>
      <c r="C1284" s="33" t="s">
        <v>14</v>
      </c>
      <c r="D1284" s="33" t="s">
        <v>12</v>
      </c>
      <c r="E1284" s="34">
        <v>265.24</v>
      </c>
      <c r="F1284" s="33">
        <v>4</v>
      </c>
      <c r="G1284" s="34">
        <v>1060.96</v>
      </c>
      <c r="H1284" s="33" t="s">
        <v>400</v>
      </c>
      <c r="I1284" s="33" t="str">
        <f t="shared" si="40"/>
        <v>Medium sales</v>
      </c>
      <c r="J1284" s="33" t="str">
        <f t="shared" si="41"/>
        <v>not eligible</v>
      </c>
    </row>
    <row r="1285" spans="1:10" x14ac:dyDescent="0.35">
      <c r="A1285" s="31">
        <v>45251.347222222219</v>
      </c>
      <c r="B1285" s="32">
        <v>0.32500000000000001</v>
      </c>
      <c r="C1285" s="33" t="s">
        <v>14</v>
      </c>
      <c r="D1285" s="33" t="s">
        <v>27</v>
      </c>
      <c r="E1285" s="34">
        <v>152.85</v>
      </c>
      <c r="F1285" s="33">
        <v>4</v>
      </c>
      <c r="G1285" s="34">
        <v>611.4</v>
      </c>
      <c r="H1285" s="33" t="s">
        <v>391</v>
      </c>
      <c r="I1285" s="33" t="str">
        <f t="shared" si="40"/>
        <v>Medium sales</v>
      </c>
      <c r="J1285" s="33" t="str">
        <f t="shared" si="41"/>
        <v>not eligible</v>
      </c>
    </row>
    <row r="1286" spans="1:10" x14ac:dyDescent="0.35">
      <c r="A1286" s="31">
        <v>45075.161111111112</v>
      </c>
      <c r="B1286" s="32">
        <v>4.3599537037037034E-2</v>
      </c>
      <c r="C1286" s="33" t="s">
        <v>8</v>
      </c>
      <c r="D1286" s="33" t="s">
        <v>20</v>
      </c>
      <c r="E1286" s="34">
        <v>398.41</v>
      </c>
      <c r="F1286" s="33">
        <v>1</v>
      </c>
      <c r="G1286" s="34">
        <v>398.41</v>
      </c>
      <c r="H1286" s="33" t="s">
        <v>213</v>
      </c>
      <c r="I1286" s="33" t="str">
        <f t="shared" si="40"/>
        <v>Low sales</v>
      </c>
      <c r="J1286" s="33" t="str">
        <f t="shared" si="41"/>
        <v>not eligible</v>
      </c>
    </row>
    <row r="1287" spans="1:10" x14ac:dyDescent="0.35">
      <c r="A1287" s="31">
        <v>45360.238888888889</v>
      </c>
      <c r="B1287" s="32">
        <v>6.6736111111111107E-2</v>
      </c>
      <c r="C1287" s="33" t="s">
        <v>8</v>
      </c>
      <c r="D1287" s="33" t="s">
        <v>16</v>
      </c>
      <c r="E1287" s="34">
        <v>157.38999999999999</v>
      </c>
      <c r="F1287" s="33">
        <v>1</v>
      </c>
      <c r="G1287" s="34">
        <v>157.38999999999999</v>
      </c>
      <c r="H1287" s="33" t="s">
        <v>325</v>
      </c>
      <c r="I1287" s="33" t="str">
        <f t="shared" si="40"/>
        <v>Low sales</v>
      </c>
      <c r="J1287" s="33" t="str">
        <f t="shared" si="41"/>
        <v>not eligible</v>
      </c>
    </row>
    <row r="1288" spans="1:10" x14ac:dyDescent="0.35">
      <c r="A1288" s="31">
        <v>45493.433333333334</v>
      </c>
      <c r="B1288" s="32">
        <v>0.75894675925925925</v>
      </c>
      <c r="C1288" s="33" t="s">
        <v>11</v>
      </c>
      <c r="D1288" s="33" t="s">
        <v>9</v>
      </c>
      <c r="E1288" s="34">
        <v>363.54</v>
      </c>
      <c r="F1288" s="33">
        <v>5</v>
      </c>
      <c r="G1288" s="34">
        <v>1817.7</v>
      </c>
      <c r="H1288" s="33" t="s">
        <v>381</v>
      </c>
      <c r="I1288" s="33" t="str">
        <f t="shared" si="40"/>
        <v>High sales</v>
      </c>
      <c r="J1288" s="33" t="str">
        <f t="shared" si="41"/>
        <v>eligible</v>
      </c>
    </row>
    <row r="1289" spans="1:10" x14ac:dyDescent="0.35">
      <c r="A1289" s="31">
        <v>45054.113194444442</v>
      </c>
      <c r="B1289" s="32">
        <v>8.5254629629629639E-2</v>
      </c>
      <c r="C1289" s="33" t="s">
        <v>8</v>
      </c>
      <c r="D1289" s="33" t="s">
        <v>20</v>
      </c>
      <c r="E1289" s="34">
        <v>86.99</v>
      </c>
      <c r="F1289" s="33">
        <v>3</v>
      </c>
      <c r="G1289" s="34">
        <v>260.97000000000003</v>
      </c>
      <c r="H1289" s="33" t="s">
        <v>172</v>
      </c>
      <c r="I1289" s="33" t="str">
        <f t="shared" si="40"/>
        <v>Low sales</v>
      </c>
      <c r="J1289" s="33" t="str">
        <f t="shared" si="41"/>
        <v>not eligible</v>
      </c>
    </row>
    <row r="1290" spans="1:10" x14ac:dyDescent="0.35">
      <c r="A1290" s="31">
        <v>45166.52847222222</v>
      </c>
      <c r="B1290" s="32">
        <v>0.8497337962962962</v>
      </c>
      <c r="C1290" s="33" t="s">
        <v>14</v>
      </c>
      <c r="D1290" s="33" t="s">
        <v>20</v>
      </c>
      <c r="E1290" s="34">
        <v>320.72000000000003</v>
      </c>
      <c r="F1290" s="33">
        <v>3</v>
      </c>
      <c r="G1290" s="34">
        <v>962.16</v>
      </c>
      <c r="H1290" s="33" t="s">
        <v>141</v>
      </c>
      <c r="I1290" s="33" t="str">
        <f t="shared" si="40"/>
        <v>Medium sales</v>
      </c>
      <c r="J1290" s="33" t="str">
        <f t="shared" si="41"/>
        <v>not eligible</v>
      </c>
    </row>
    <row r="1291" spans="1:10" x14ac:dyDescent="0.35">
      <c r="A1291" s="31">
        <v>45141.291666666664</v>
      </c>
      <c r="B1291" s="32">
        <v>1.3773148148148147E-3</v>
      </c>
      <c r="C1291" s="33" t="s">
        <v>8</v>
      </c>
      <c r="D1291" s="33" t="s">
        <v>9</v>
      </c>
      <c r="E1291" s="34">
        <v>444.04</v>
      </c>
      <c r="F1291" s="33">
        <v>4</v>
      </c>
      <c r="G1291" s="34">
        <v>1776.16</v>
      </c>
      <c r="H1291" s="33" t="s">
        <v>41</v>
      </c>
      <c r="I1291" s="33" t="str">
        <f t="shared" si="40"/>
        <v>High sales</v>
      </c>
      <c r="J1291" s="33" t="str">
        <f t="shared" si="41"/>
        <v>not eligible</v>
      </c>
    </row>
    <row r="1292" spans="1:10" x14ac:dyDescent="0.35">
      <c r="A1292" s="31">
        <v>45565.915277777778</v>
      </c>
      <c r="B1292" s="32">
        <v>0.87159722222222225</v>
      </c>
      <c r="C1292" s="33" t="s">
        <v>8</v>
      </c>
      <c r="D1292" s="33" t="s">
        <v>9</v>
      </c>
      <c r="E1292" s="34">
        <v>166.6</v>
      </c>
      <c r="F1292" s="33">
        <v>2</v>
      </c>
      <c r="G1292" s="34">
        <v>333.2</v>
      </c>
      <c r="H1292" s="33" t="s">
        <v>114</v>
      </c>
      <c r="I1292" s="33" t="str">
        <f t="shared" si="40"/>
        <v>Low sales</v>
      </c>
      <c r="J1292" s="33" t="str">
        <f t="shared" si="41"/>
        <v>not eligible</v>
      </c>
    </row>
    <row r="1293" spans="1:10" x14ac:dyDescent="0.35">
      <c r="A1293" s="31">
        <v>45141.967361111114</v>
      </c>
      <c r="B1293" s="32">
        <v>0.33974537037037034</v>
      </c>
      <c r="C1293" s="33" t="s">
        <v>14</v>
      </c>
      <c r="D1293" s="33" t="s">
        <v>9</v>
      </c>
      <c r="E1293" s="34">
        <v>204.21</v>
      </c>
      <c r="F1293" s="33">
        <v>4</v>
      </c>
      <c r="G1293" s="34">
        <v>816.84</v>
      </c>
      <c r="H1293" s="33" t="s">
        <v>111</v>
      </c>
      <c r="I1293" s="33" t="str">
        <f t="shared" si="40"/>
        <v>Medium sales</v>
      </c>
      <c r="J1293" s="33" t="str">
        <f t="shared" si="41"/>
        <v>not eligible</v>
      </c>
    </row>
    <row r="1294" spans="1:10" x14ac:dyDescent="0.35">
      <c r="A1294" s="31">
        <v>45526.665277777778</v>
      </c>
      <c r="B1294" s="32">
        <v>0.75387731481481479</v>
      </c>
      <c r="C1294" s="33" t="s">
        <v>11</v>
      </c>
      <c r="D1294" s="33" t="s">
        <v>12</v>
      </c>
      <c r="E1294" s="34">
        <v>269.35000000000002</v>
      </c>
      <c r="F1294" s="33">
        <v>5</v>
      </c>
      <c r="G1294" s="34">
        <v>1346.75</v>
      </c>
      <c r="H1294" s="33" t="s">
        <v>265</v>
      </c>
      <c r="I1294" s="33" t="str">
        <f t="shared" si="40"/>
        <v>Medium sales</v>
      </c>
      <c r="J1294" s="33" t="str">
        <f t="shared" si="41"/>
        <v>eligible</v>
      </c>
    </row>
    <row r="1295" spans="1:10" x14ac:dyDescent="0.35">
      <c r="A1295" s="31">
        <v>45468.790277777778</v>
      </c>
      <c r="B1295" s="32">
        <v>0.68649305555555562</v>
      </c>
      <c r="C1295" s="33" t="s">
        <v>11</v>
      </c>
      <c r="D1295" s="33" t="s">
        <v>20</v>
      </c>
      <c r="E1295" s="34">
        <v>305.93</v>
      </c>
      <c r="F1295" s="33">
        <v>2</v>
      </c>
      <c r="G1295" s="34">
        <v>611.86</v>
      </c>
      <c r="H1295" s="33" t="s">
        <v>111</v>
      </c>
      <c r="I1295" s="33" t="str">
        <f t="shared" si="40"/>
        <v>Medium sales</v>
      </c>
      <c r="J1295" s="33" t="str">
        <f t="shared" si="41"/>
        <v>not eligible</v>
      </c>
    </row>
    <row r="1296" spans="1:10" x14ac:dyDescent="0.35">
      <c r="A1296" s="31">
        <v>45137.263194444444</v>
      </c>
      <c r="B1296" s="32">
        <v>0.37821759259259258</v>
      </c>
      <c r="C1296" s="33" t="s">
        <v>8</v>
      </c>
      <c r="D1296" s="33" t="s">
        <v>20</v>
      </c>
      <c r="E1296" s="34">
        <v>346.14</v>
      </c>
      <c r="F1296" s="33">
        <v>5</v>
      </c>
      <c r="G1296" s="34">
        <v>1730.7</v>
      </c>
      <c r="H1296" s="33" t="s">
        <v>100</v>
      </c>
      <c r="I1296" s="33" t="str">
        <f t="shared" si="40"/>
        <v>High sales</v>
      </c>
      <c r="J1296" s="33" t="str">
        <f t="shared" si="41"/>
        <v>not eligible</v>
      </c>
    </row>
    <row r="1297" spans="1:10" x14ac:dyDescent="0.35">
      <c r="A1297" s="31">
        <v>45581.791666666664</v>
      </c>
      <c r="B1297" s="32">
        <v>0.24143518518518517</v>
      </c>
      <c r="C1297" s="33" t="s">
        <v>8</v>
      </c>
      <c r="D1297" s="33" t="s">
        <v>27</v>
      </c>
      <c r="E1297" s="34">
        <v>326.33999999999997</v>
      </c>
      <c r="F1297" s="33">
        <v>5</v>
      </c>
      <c r="G1297" s="34">
        <v>1631.7</v>
      </c>
      <c r="H1297" s="33" t="s">
        <v>370</v>
      </c>
      <c r="I1297" s="33" t="str">
        <f t="shared" si="40"/>
        <v>High sales</v>
      </c>
      <c r="J1297" s="33" t="str">
        <f t="shared" si="41"/>
        <v>not eligible</v>
      </c>
    </row>
    <row r="1298" spans="1:10" x14ac:dyDescent="0.35">
      <c r="A1298" s="31">
        <v>45046.748611111114</v>
      </c>
      <c r="B1298" s="32">
        <v>0.94578703703703704</v>
      </c>
      <c r="C1298" s="33" t="s">
        <v>8</v>
      </c>
      <c r="D1298" s="33" t="s">
        <v>27</v>
      </c>
      <c r="E1298" s="34">
        <v>128.91</v>
      </c>
      <c r="F1298" s="33">
        <v>4</v>
      </c>
      <c r="G1298" s="34">
        <v>515.64</v>
      </c>
      <c r="H1298" s="33" t="s">
        <v>277</v>
      </c>
      <c r="I1298" s="33" t="str">
        <f t="shared" si="40"/>
        <v>Medium sales</v>
      </c>
      <c r="J1298" s="33" t="str">
        <f t="shared" si="41"/>
        <v>not eligible</v>
      </c>
    </row>
    <row r="1299" spans="1:10" x14ac:dyDescent="0.35">
      <c r="A1299" s="31">
        <v>45540.447222222225</v>
      </c>
      <c r="B1299" s="32">
        <v>0.82209490740740743</v>
      </c>
      <c r="C1299" s="33" t="s">
        <v>14</v>
      </c>
      <c r="D1299" s="33" t="s">
        <v>16</v>
      </c>
      <c r="E1299" s="34">
        <v>131.06</v>
      </c>
      <c r="F1299" s="33">
        <v>5</v>
      </c>
      <c r="G1299" s="34">
        <v>655.29999999999995</v>
      </c>
      <c r="H1299" s="33" t="s">
        <v>47</v>
      </c>
      <c r="I1299" s="33" t="str">
        <f t="shared" si="40"/>
        <v>Medium sales</v>
      </c>
      <c r="J1299" s="33" t="str">
        <f t="shared" si="41"/>
        <v>not eligible</v>
      </c>
    </row>
    <row r="1300" spans="1:10" x14ac:dyDescent="0.35">
      <c r="A1300" s="31">
        <v>45099.594444444447</v>
      </c>
      <c r="B1300" s="32">
        <v>0.1734259259259259</v>
      </c>
      <c r="C1300" s="33" t="s">
        <v>14</v>
      </c>
      <c r="D1300" s="33" t="s">
        <v>27</v>
      </c>
      <c r="E1300" s="34">
        <v>93.18</v>
      </c>
      <c r="F1300" s="33">
        <v>2</v>
      </c>
      <c r="G1300" s="34">
        <v>186.36</v>
      </c>
      <c r="H1300" s="33" t="s">
        <v>179</v>
      </c>
      <c r="I1300" s="33" t="str">
        <f t="shared" si="40"/>
        <v>Low sales</v>
      </c>
      <c r="J1300" s="33" t="str">
        <f t="shared" si="41"/>
        <v>not eligible</v>
      </c>
    </row>
    <row r="1301" spans="1:10" x14ac:dyDescent="0.35">
      <c r="A1301" s="31">
        <v>45397.449305555558</v>
      </c>
      <c r="B1301" s="32">
        <v>0.64011574074074074</v>
      </c>
      <c r="C1301" s="33" t="s">
        <v>11</v>
      </c>
      <c r="D1301" s="33" t="s">
        <v>12</v>
      </c>
      <c r="E1301" s="34">
        <v>314.54000000000002</v>
      </c>
      <c r="F1301" s="33">
        <v>4</v>
      </c>
      <c r="G1301" s="34">
        <v>1258.1600000000001</v>
      </c>
      <c r="H1301" s="33" t="s">
        <v>401</v>
      </c>
      <c r="I1301" s="33" t="str">
        <f t="shared" si="40"/>
        <v>Medium sales</v>
      </c>
      <c r="J1301" s="33" t="str">
        <f t="shared" si="41"/>
        <v>eligible</v>
      </c>
    </row>
    <row r="1302" spans="1:10" x14ac:dyDescent="0.35">
      <c r="A1302" s="31">
        <v>45270.869444444441</v>
      </c>
      <c r="B1302" s="32">
        <v>0.8604398148148148</v>
      </c>
      <c r="C1302" s="33" t="s">
        <v>11</v>
      </c>
      <c r="D1302" s="33" t="s">
        <v>12</v>
      </c>
      <c r="E1302" s="34">
        <v>145.44999999999999</v>
      </c>
      <c r="F1302" s="33">
        <v>4</v>
      </c>
      <c r="G1302" s="34">
        <v>581.79999999999995</v>
      </c>
      <c r="H1302" s="33" t="s">
        <v>368</v>
      </c>
      <c r="I1302" s="33" t="str">
        <f t="shared" si="40"/>
        <v>Medium sales</v>
      </c>
      <c r="J1302" s="33" t="str">
        <f t="shared" si="41"/>
        <v>not eligible</v>
      </c>
    </row>
    <row r="1303" spans="1:10" x14ac:dyDescent="0.35">
      <c r="A1303" s="31">
        <v>44975.557638888888</v>
      </c>
      <c r="B1303" s="32">
        <v>0.25744212962962965</v>
      </c>
      <c r="C1303" s="33" t="s">
        <v>14</v>
      </c>
      <c r="D1303" s="33" t="s">
        <v>12</v>
      </c>
      <c r="E1303" s="34">
        <v>153.19</v>
      </c>
      <c r="F1303" s="33">
        <v>2</v>
      </c>
      <c r="G1303" s="34">
        <v>306.38</v>
      </c>
      <c r="H1303" s="33" t="s">
        <v>40</v>
      </c>
      <c r="I1303" s="33" t="str">
        <f t="shared" si="40"/>
        <v>Low sales</v>
      </c>
      <c r="J1303" s="33" t="str">
        <f t="shared" si="41"/>
        <v>not eligible</v>
      </c>
    </row>
    <row r="1304" spans="1:10" x14ac:dyDescent="0.35">
      <c r="A1304" s="31">
        <v>45180.526388888888</v>
      </c>
      <c r="B1304" s="32">
        <v>1.8310185185185186E-2</v>
      </c>
      <c r="C1304" s="33" t="s">
        <v>11</v>
      </c>
      <c r="D1304" s="33" t="s">
        <v>27</v>
      </c>
      <c r="E1304" s="34">
        <v>342.5</v>
      </c>
      <c r="F1304" s="33">
        <v>4</v>
      </c>
      <c r="G1304" s="34">
        <v>1370</v>
      </c>
      <c r="H1304" s="33" t="s">
        <v>209</v>
      </c>
      <c r="I1304" s="33" t="str">
        <f t="shared" si="40"/>
        <v>Medium sales</v>
      </c>
      <c r="J1304" s="33" t="str">
        <f t="shared" si="41"/>
        <v>eligible</v>
      </c>
    </row>
    <row r="1305" spans="1:10" x14ac:dyDescent="0.35">
      <c r="A1305" s="31">
        <v>45657.111111111109</v>
      </c>
      <c r="B1305" s="32">
        <v>0.34151620370370367</v>
      </c>
      <c r="C1305" s="33" t="s">
        <v>11</v>
      </c>
      <c r="D1305" s="33" t="s">
        <v>12</v>
      </c>
      <c r="E1305" s="34">
        <v>278.3</v>
      </c>
      <c r="F1305" s="33">
        <v>2</v>
      </c>
      <c r="G1305" s="34">
        <v>556.6</v>
      </c>
      <c r="H1305" s="33" t="s">
        <v>402</v>
      </c>
      <c r="I1305" s="33" t="str">
        <f t="shared" si="40"/>
        <v>Medium sales</v>
      </c>
      <c r="J1305" s="33" t="str">
        <f t="shared" si="41"/>
        <v>not eligible</v>
      </c>
    </row>
    <row r="1306" spans="1:10" x14ac:dyDescent="0.35">
      <c r="A1306" s="31">
        <v>45291.429166666669</v>
      </c>
      <c r="B1306" s="32">
        <v>0.42834490740740744</v>
      </c>
      <c r="C1306" s="33" t="s">
        <v>11</v>
      </c>
      <c r="D1306" s="33" t="s">
        <v>12</v>
      </c>
      <c r="E1306" s="34">
        <v>181.18</v>
      </c>
      <c r="F1306" s="33">
        <v>5</v>
      </c>
      <c r="G1306" s="34">
        <v>905.9</v>
      </c>
      <c r="H1306" s="33" t="s">
        <v>179</v>
      </c>
      <c r="I1306" s="33" t="str">
        <f t="shared" si="40"/>
        <v>Medium sales</v>
      </c>
      <c r="J1306" s="33" t="str">
        <f t="shared" si="41"/>
        <v>not eligible</v>
      </c>
    </row>
    <row r="1307" spans="1:10" x14ac:dyDescent="0.35">
      <c r="A1307" s="31">
        <v>45274.781944444447</v>
      </c>
      <c r="B1307" s="32">
        <v>0.74137731481481473</v>
      </c>
      <c r="C1307" s="33" t="s">
        <v>8</v>
      </c>
      <c r="D1307" s="33" t="s">
        <v>20</v>
      </c>
      <c r="E1307" s="34">
        <v>454.71</v>
      </c>
      <c r="F1307" s="33">
        <v>5</v>
      </c>
      <c r="G1307" s="34">
        <v>2273.5500000000002</v>
      </c>
      <c r="H1307" s="33" t="s">
        <v>155</v>
      </c>
      <c r="I1307" s="33" t="str">
        <f t="shared" si="40"/>
        <v>High sales</v>
      </c>
      <c r="J1307" s="33" t="str">
        <f t="shared" si="41"/>
        <v>not eligible</v>
      </c>
    </row>
    <row r="1308" spans="1:10" x14ac:dyDescent="0.35">
      <c r="A1308" s="31">
        <v>45454.854166666664</v>
      </c>
      <c r="B1308" s="32">
        <v>0.99123842592592604</v>
      </c>
      <c r="C1308" s="33" t="s">
        <v>11</v>
      </c>
      <c r="D1308" s="33" t="s">
        <v>16</v>
      </c>
      <c r="E1308" s="34">
        <v>153.4</v>
      </c>
      <c r="F1308" s="33">
        <v>1</v>
      </c>
      <c r="G1308" s="34">
        <v>153.4</v>
      </c>
      <c r="H1308" s="33" t="s">
        <v>263</v>
      </c>
      <c r="I1308" s="33" t="str">
        <f t="shared" si="40"/>
        <v>Low sales</v>
      </c>
      <c r="J1308" s="33" t="str">
        <f t="shared" si="41"/>
        <v>not eligible</v>
      </c>
    </row>
    <row r="1309" spans="1:10" x14ac:dyDescent="0.35">
      <c r="A1309" s="31">
        <v>45033.531944444447</v>
      </c>
      <c r="B1309" s="32">
        <v>0.57876157407407403</v>
      </c>
      <c r="C1309" s="33" t="s">
        <v>14</v>
      </c>
      <c r="D1309" s="33" t="s">
        <v>9</v>
      </c>
      <c r="E1309" s="34">
        <v>354.88</v>
      </c>
      <c r="F1309" s="33">
        <v>2</v>
      </c>
      <c r="G1309" s="34">
        <v>709.76</v>
      </c>
      <c r="H1309" s="33" t="s">
        <v>117</v>
      </c>
      <c r="I1309" s="33" t="str">
        <f t="shared" si="40"/>
        <v>Medium sales</v>
      </c>
      <c r="J1309" s="33" t="str">
        <f t="shared" si="41"/>
        <v>not eligible</v>
      </c>
    </row>
    <row r="1310" spans="1:10" x14ac:dyDescent="0.35">
      <c r="A1310" s="31">
        <v>44970.69027777778</v>
      </c>
      <c r="B1310" s="32">
        <v>0.97872685185185182</v>
      </c>
      <c r="C1310" s="33" t="s">
        <v>14</v>
      </c>
      <c r="D1310" s="33" t="s">
        <v>20</v>
      </c>
      <c r="E1310" s="34">
        <v>80.55</v>
      </c>
      <c r="F1310" s="33">
        <v>4</v>
      </c>
      <c r="G1310" s="34">
        <v>322.2</v>
      </c>
      <c r="H1310" s="33" t="s">
        <v>96</v>
      </c>
      <c r="I1310" s="33" t="str">
        <f t="shared" si="40"/>
        <v>Low sales</v>
      </c>
      <c r="J1310" s="33" t="str">
        <f t="shared" si="41"/>
        <v>not eligible</v>
      </c>
    </row>
    <row r="1311" spans="1:10" x14ac:dyDescent="0.35">
      <c r="A1311" s="31">
        <v>45094.838194444441</v>
      </c>
      <c r="B1311" s="32">
        <v>0.61334490740740744</v>
      </c>
      <c r="C1311" s="33" t="s">
        <v>14</v>
      </c>
      <c r="D1311" s="33" t="s">
        <v>9</v>
      </c>
      <c r="E1311" s="34">
        <v>26.77</v>
      </c>
      <c r="F1311" s="33">
        <v>5</v>
      </c>
      <c r="G1311" s="34">
        <v>133.85</v>
      </c>
      <c r="H1311" s="33" t="s">
        <v>392</v>
      </c>
      <c r="I1311" s="33" t="str">
        <f t="shared" si="40"/>
        <v>Low sales</v>
      </c>
      <c r="J1311" s="33" t="str">
        <f t="shared" si="41"/>
        <v>not eligible</v>
      </c>
    </row>
    <row r="1312" spans="1:10" x14ac:dyDescent="0.35">
      <c r="A1312" s="31">
        <v>45362.663194444445</v>
      </c>
      <c r="B1312" s="32">
        <v>0.46259259259259261</v>
      </c>
      <c r="C1312" s="33" t="s">
        <v>8</v>
      </c>
      <c r="D1312" s="33" t="s">
        <v>9</v>
      </c>
      <c r="E1312" s="34">
        <v>434.94</v>
      </c>
      <c r="F1312" s="33">
        <v>5</v>
      </c>
      <c r="G1312" s="34">
        <v>2174.6999999999998</v>
      </c>
      <c r="H1312" s="33" t="s">
        <v>173</v>
      </c>
      <c r="I1312" s="33" t="str">
        <f t="shared" si="40"/>
        <v>High sales</v>
      </c>
      <c r="J1312" s="33" t="str">
        <f t="shared" si="41"/>
        <v>not eligible</v>
      </c>
    </row>
    <row r="1313" spans="1:10" x14ac:dyDescent="0.35">
      <c r="A1313" s="31">
        <v>45162.634722222225</v>
      </c>
      <c r="B1313" s="32">
        <v>0.30765046296296295</v>
      </c>
      <c r="C1313" s="33" t="s">
        <v>14</v>
      </c>
      <c r="D1313" s="33" t="s">
        <v>20</v>
      </c>
      <c r="E1313" s="34">
        <v>14.83</v>
      </c>
      <c r="F1313" s="33">
        <v>2</v>
      </c>
      <c r="G1313" s="34">
        <v>29.66</v>
      </c>
      <c r="H1313" s="33" t="s">
        <v>187</v>
      </c>
      <c r="I1313" s="33" t="str">
        <f t="shared" si="40"/>
        <v>Low sales</v>
      </c>
      <c r="J1313" s="33" t="str">
        <f t="shared" si="41"/>
        <v>not eligible</v>
      </c>
    </row>
    <row r="1314" spans="1:10" x14ac:dyDescent="0.35">
      <c r="A1314" s="31">
        <v>45075.786805555559</v>
      </c>
      <c r="B1314" s="32">
        <v>6.2094907407407411E-2</v>
      </c>
      <c r="C1314" s="33" t="s">
        <v>8</v>
      </c>
      <c r="D1314" s="33" t="s">
        <v>12</v>
      </c>
      <c r="E1314" s="34">
        <v>81.12</v>
      </c>
      <c r="F1314" s="33">
        <v>5</v>
      </c>
      <c r="G1314" s="34">
        <v>405.6</v>
      </c>
      <c r="H1314" s="33" t="s">
        <v>24</v>
      </c>
      <c r="I1314" s="33" t="str">
        <f t="shared" si="40"/>
        <v>Low sales</v>
      </c>
      <c r="J1314" s="33" t="str">
        <f t="shared" si="41"/>
        <v>not eligible</v>
      </c>
    </row>
    <row r="1315" spans="1:10" x14ac:dyDescent="0.35">
      <c r="A1315" s="31">
        <v>44935.547222222223</v>
      </c>
      <c r="B1315" s="32">
        <v>0.60972222222222217</v>
      </c>
      <c r="C1315" s="33" t="s">
        <v>8</v>
      </c>
      <c r="D1315" s="33" t="s">
        <v>9</v>
      </c>
      <c r="E1315" s="34">
        <v>396.61</v>
      </c>
      <c r="F1315" s="33">
        <v>3</v>
      </c>
      <c r="G1315" s="34">
        <v>1189.83</v>
      </c>
      <c r="H1315" s="33" t="s">
        <v>185</v>
      </c>
      <c r="I1315" s="33" t="str">
        <f t="shared" si="40"/>
        <v>Medium sales</v>
      </c>
      <c r="J1315" s="33" t="str">
        <f t="shared" si="41"/>
        <v>not eligible</v>
      </c>
    </row>
    <row r="1316" spans="1:10" x14ac:dyDescent="0.35">
      <c r="A1316" s="31">
        <v>45330.709722222222</v>
      </c>
      <c r="B1316" s="32">
        <v>0.31124999999999997</v>
      </c>
      <c r="C1316" s="33" t="s">
        <v>14</v>
      </c>
      <c r="D1316" s="33" t="s">
        <v>20</v>
      </c>
      <c r="E1316" s="34">
        <v>138.11000000000001</v>
      </c>
      <c r="F1316" s="33">
        <v>2</v>
      </c>
      <c r="G1316" s="34">
        <v>276.22000000000003</v>
      </c>
      <c r="H1316" s="33" t="s">
        <v>221</v>
      </c>
      <c r="I1316" s="33" t="str">
        <f t="shared" si="40"/>
        <v>Low sales</v>
      </c>
      <c r="J1316" s="33" t="str">
        <f t="shared" si="41"/>
        <v>not eligible</v>
      </c>
    </row>
    <row r="1317" spans="1:10" x14ac:dyDescent="0.35">
      <c r="A1317" s="31">
        <v>45610.178472222222</v>
      </c>
      <c r="B1317" s="32">
        <v>0.90506944444444448</v>
      </c>
      <c r="C1317" s="33" t="s">
        <v>14</v>
      </c>
      <c r="D1317" s="33" t="s">
        <v>9</v>
      </c>
      <c r="E1317" s="34">
        <v>196.66</v>
      </c>
      <c r="F1317" s="33">
        <v>2</v>
      </c>
      <c r="G1317" s="34">
        <v>393.32</v>
      </c>
      <c r="H1317" s="33" t="s">
        <v>403</v>
      </c>
      <c r="I1317" s="33" t="str">
        <f t="shared" si="40"/>
        <v>Low sales</v>
      </c>
      <c r="J1317" s="33" t="str">
        <f t="shared" si="41"/>
        <v>not eligible</v>
      </c>
    </row>
    <row r="1318" spans="1:10" x14ac:dyDescent="0.35">
      <c r="A1318" s="31">
        <v>45411.262499999997</v>
      </c>
      <c r="B1318" s="32">
        <v>1.7870370370370373E-2</v>
      </c>
      <c r="C1318" s="33" t="s">
        <v>11</v>
      </c>
      <c r="D1318" s="33" t="s">
        <v>9</v>
      </c>
      <c r="E1318" s="34">
        <v>398.97</v>
      </c>
      <c r="F1318" s="33">
        <v>1</v>
      </c>
      <c r="G1318" s="34">
        <v>398.97</v>
      </c>
      <c r="H1318" s="33" t="s">
        <v>402</v>
      </c>
      <c r="I1318" s="33" t="str">
        <f t="shared" si="40"/>
        <v>Low sales</v>
      </c>
      <c r="J1318" s="33" t="str">
        <f t="shared" si="41"/>
        <v>not eligible</v>
      </c>
    </row>
    <row r="1319" spans="1:10" x14ac:dyDescent="0.35">
      <c r="A1319" s="31">
        <v>45037.017361111109</v>
      </c>
      <c r="B1319" s="32">
        <v>0.47295138888888894</v>
      </c>
      <c r="C1319" s="33" t="s">
        <v>14</v>
      </c>
      <c r="D1319" s="33" t="s">
        <v>12</v>
      </c>
      <c r="E1319" s="34">
        <v>400.67</v>
      </c>
      <c r="F1319" s="33">
        <v>2</v>
      </c>
      <c r="G1319" s="34">
        <v>801.34</v>
      </c>
      <c r="H1319" s="33" t="s">
        <v>389</v>
      </c>
      <c r="I1319" s="33" t="str">
        <f t="shared" si="40"/>
        <v>Medium sales</v>
      </c>
      <c r="J1319" s="33" t="str">
        <f t="shared" si="41"/>
        <v>not eligible</v>
      </c>
    </row>
    <row r="1320" spans="1:10" x14ac:dyDescent="0.35">
      <c r="A1320" s="31">
        <v>45010.089583333334</v>
      </c>
      <c r="B1320" s="32">
        <v>8.2858796296296292E-2</v>
      </c>
      <c r="C1320" s="33" t="s">
        <v>8</v>
      </c>
      <c r="D1320" s="33" t="s">
        <v>12</v>
      </c>
      <c r="E1320" s="34">
        <v>272.14999999999998</v>
      </c>
      <c r="F1320" s="33">
        <v>3</v>
      </c>
      <c r="G1320" s="34">
        <v>816.45</v>
      </c>
      <c r="H1320" s="33" t="s">
        <v>109</v>
      </c>
      <c r="I1320" s="33" t="str">
        <f t="shared" si="40"/>
        <v>Medium sales</v>
      </c>
      <c r="J1320" s="33" t="str">
        <f t="shared" si="41"/>
        <v>not eligible</v>
      </c>
    </row>
    <row r="1321" spans="1:10" x14ac:dyDescent="0.35">
      <c r="A1321" s="31">
        <v>45029.805555555555</v>
      </c>
      <c r="B1321" s="32">
        <v>0.7732175925925926</v>
      </c>
      <c r="C1321" s="33" t="s">
        <v>14</v>
      </c>
      <c r="D1321" s="33" t="s">
        <v>20</v>
      </c>
      <c r="E1321" s="34">
        <v>404.13</v>
      </c>
      <c r="F1321" s="33">
        <v>2</v>
      </c>
      <c r="G1321" s="34">
        <v>808.26</v>
      </c>
      <c r="H1321" s="33" t="s">
        <v>157</v>
      </c>
      <c r="I1321" s="33" t="str">
        <f t="shared" si="40"/>
        <v>Medium sales</v>
      </c>
      <c r="J1321" s="33" t="str">
        <f t="shared" si="41"/>
        <v>not eligible</v>
      </c>
    </row>
    <row r="1322" spans="1:10" x14ac:dyDescent="0.35">
      <c r="A1322" s="31">
        <v>45219.225694444445</v>
      </c>
      <c r="B1322" s="32">
        <v>0.6520717592592592</v>
      </c>
      <c r="C1322" s="33" t="s">
        <v>14</v>
      </c>
      <c r="D1322" s="33" t="s">
        <v>9</v>
      </c>
      <c r="E1322" s="34">
        <v>188.57</v>
      </c>
      <c r="F1322" s="33">
        <v>2</v>
      </c>
      <c r="G1322" s="34">
        <v>377.14</v>
      </c>
      <c r="H1322" s="33" t="s">
        <v>56</v>
      </c>
      <c r="I1322" s="33" t="str">
        <f t="shared" si="40"/>
        <v>Low sales</v>
      </c>
      <c r="J1322" s="33" t="str">
        <f t="shared" si="41"/>
        <v>not eligible</v>
      </c>
    </row>
    <row r="1323" spans="1:10" x14ac:dyDescent="0.35">
      <c r="A1323" s="31">
        <v>45531.15347222222</v>
      </c>
      <c r="B1323" s="32">
        <v>0.47891203703703705</v>
      </c>
      <c r="C1323" s="33" t="s">
        <v>14</v>
      </c>
      <c r="D1323" s="33" t="s">
        <v>9</v>
      </c>
      <c r="E1323" s="34">
        <v>358.42</v>
      </c>
      <c r="F1323" s="33">
        <v>3</v>
      </c>
      <c r="G1323" s="34">
        <v>1075.26</v>
      </c>
      <c r="H1323" s="33" t="s">
        <v>366</v>
      </c>
      <c r="I1323" s="33" t="str">
        <f t="shared" si="40"/>
        <v>Medium sales</v>
      </c>
      <c r="J1323" s="33" t="str">
        <f t="shared" si="41"/>
        <v>not eligible</v>
      </c>
    </row>
    <row r="1324" spans="1:10" x14ac:dyDescent="0.35">
      <c r="A1324" s="31">
        <v>45560.800694444442</v>
      </c>
      <c r="B1324" s="32">
        <v>0.74373842592592598</v>
      </c>
      <c r="C1324" s="33" t="s">
        <v>8</v>
      </c>
      <c r="D1324" s="33" t="s">
        <v>20</v>
      </c>
      <c r="E1324" s="34">
        <v>410.89</v>
      </c>
      <c r="F1324" s="33">
        <v>5</v>
      </c>
      <c r="G1324" s="34">
        <v>2054.4499999999998</v>
      </c>
      <c r="H1324" s="33" t="s">
        <v>156</v>
      </c>
      <c r="I1324" s="33" t="str">
        <f t="shared" si="40"/>
        <v>High sales</v>
      </c>
      <c r="J1324" s="33" t="str">
        <f t="shared" si="41"/>
        <v>not eligible</v>
      </c>
    </row>
    <row r="1325" spans="1:10" x14ac:dyDescent="0.35">
      <c r="A1325" s="31">
        <v>45363.006944444445</v>
      </c>
      <c r="B1325" s="32">
        <v>0.20785879629629631</v>
      </c>
      <c r="C1325" s="33" t="s">
        <v>11</v>
      </c>
      <c r="D1325" s="33" t="s">
        <v>9</v>
      </c>
      <c r="E1325" s="34">
        <v>43.94</v>
      </c>
      <c r="F1325" s="33">
        <v>4</v>
      </c>
      <c r="G1325" s="34">
        <v>175.76</v>
      </c>
      <c r="H1325" s="33" t="s">
        <v>62</v>
      </c>
      <c r="I1325" s="33" t="str">
        <f t="shared" si="40"/>
        <v>Low sales</v>
      </c>
      <c r="J1325" s="33" t="str">
        <f t="shared" si="41"/>
        <v>not eligible</v>
      </c>
    </row>
    <row r="1326" spans="1:10" x14ac:dyDescent="0.35">
      <c r="A1326" s="31">
        <v>45380.797222222223</v>
      </c>
      <c r="B1326" s="32">
        <v>0.69628472222222226</v>
      </c>
      <c r="C1326" s="33" t="s">
        <v>8</v>
      </c>
      <c r="D1326" s="33" t="s">
        <v>16</v>
      </c>
      <c r="E1326" s="34">
        <v>283.19</v>
      </c>
      <c r="F1326" s="33">
        <v>1</v>
      </c>
      <c r="G1326" s="34">
        <v>283.19</v>
      </c>
      <c r="H1326" s="33" t="s">
        <v>189</v>
      </c>
      <c r="I1326" s="33" t="str">
        <f t="shared" si="40"/>
        <v>Low sales</v>
      </c>
      <c r="J1326" s="33" t="str">
        <f t="shared" si="41"/>
        <v>not eligible</v>
      </c>
    </row>
    <row r="1327" spans="1:10" x14ac:dyDescent="0.35">
      <c r="A1327" s="31">
        <v>45252.668749999997</v>
      </c>
      <c r="B1327" s="32">
        <v>0.5934490740740741</v>
      </c>
      <c r="C1327" s="33" t="s">
        <v>14</v>
      </c>
      <c r="D1327" s="33" t="s">
        <v>27</v>
      </c>
      <c r="E1327" s="34">
        <v>142.88999999999999</v>
      </c>
      <c r="F1327" s="33">
        <v>3</v>
      </c>
      <c r="G1327" s="34">
        <v>428.67</v>
      </c>
      <c r="H1327" s="33" t="s">
        <v>163</v>
      </c>
      <c r="I1327" s="33" t="str">
        <f t="shared" si="40"/>
        <v>Low sales</v>
      </c>
      <c r="J1327" s="33" t="str">
        <f t="shared" si="41"/>
        <v>not eligible</v>
      </c>
    </row>
    <row r="1328" spans="1:10" x14ac:dyDescent="0.35">
      <c r="A1328" s="31">
        <v>45421.029166666667</v>
      </c>
      <c r="B1328" s="32">
        <v>0.66171296296296289</v>
      </c>
      <c r="C1328" s="33" t="s">
        <v>8</v>
      </c>
      <c r="D1328" s="33" t="s">
        <v>9</v>
      </c>
      <c r="E1328" s="34">
        <v>388.09</v>
      </c>
      <c r="F1328" s="33">
        <v>5</v>
      </c>
      <c r="G1328" s="34">
        <v>1940.45</v>
      </c>
      <c r="H1328" s="33" t="s">
        <v>363</v>
      </c>
      <c r="I1328" s="33" t="str">
        <f t="shared" si="40"/>
        <v>High sales</v>
      </c>
      <c r="J1328" s="33" t="str">
        <f t="shared" si="41"/>
        <v>not eligible</v>
      </c>
    </row>
    <row r="1329" spans="1:10" x14ac:dyDescent="0.35">
      <c r="A1329" s="31">
        <v>45192.974999999999</v>
      </c>
      <c r="B1329" s="32">
        <v>0.15623842592592593</v>
      </c>
      <c r="C1329" s="33" t="s">
        <v>11</v>
      </c>
      <c r="D1329" s="33" t="s">
        <v>12</v>
      </c>
      <c r="E1329" s="34">
        <v>407.51</v>
      </c>
      <c r="F1329" s="33">
        <v>4</v>
      </c>
      <c r="G1329" s="34">
        <v>1630.04</v>
      </c>
      <c r="H1329" s="33" t="s">
        <v>144</v>
      </c>
      <c r="I1329" s="33" t="str">
        <f t="shared" si="40"/>
        <v>High sales</v>
      </c>
      <c r="J1329" s="33" t="str">
        <f t="shared" si="41"/>
        <v>eligible</v>
      </c>
    </row>
    <row r="1330" spans="1:10" x14ac:dyDescent="0.35">
      <c r="A1330" s="31">
        <v>45146.464583333334</v>
      </c>
      <c r="B1330" s="32">
        <v>0.65184027777777775</v>
      </c>
      <c r="C1330" s="33" t="s">
        <v>11</v>
      </c>
      <c r="D1330" s="33" t="s">
        <v>12</v>
      </c>
      <c r="E1330" s="34">
        <v>279.61</v>
      </c>
      <c r="F1330" s="33">
        <v>2</v>
      </c>
      <c r="G1330" s="34">
        <v>559.22</v>
      </c>
      <c r="H1330" s="33" t="s">
        <v>181</v>
      </c>
      <c r="I1330" s="33" t="str">
        <f t="shared" si="40"/>
        <v>Medium sales</v>
      </c>
      <c r="J1330" s="33" t="str">
        <f t="shared" si="41"/>
        <v>not eligible</v>
      </c>
    </row>
    <row r="1331" spans="1:10" x14ac:dyDescent="0.35">
      <c r="A1331" s="31">
        <v>45570.76666666667</v>
      </c>
      <c r="B1331" s="32">
        <v>0.42224537037037035</v>
      </c>
      <c r="C1331" s="33" t="s">
        <v>11</v>
      </c>
      <c r="D1331" s="33" t="s">
        <v>27</v>
      </c>
      <c r="E1331" s="34">
        <v>334.28</v>
      </c>
      <c r="F1331" s="33">
        <v>1</v>
      </c>
      <c r="G1331" s="34">
        <v>334.28</v>
      </c>
      <c r="H1331" s="33" t="s">
        <v>84</v>
      </c>
      <c r="I1331" s="33" t="str">
        <f t="shared" si="40"/>
        <v>Low sales</v>
      </c>
      <c r="J1331" s="33" t="str">
        <f t="shared" si="41"/>
        <v>not eligible</v>
      </c>
    </row>
    <row r="1332" spans="1:10" x14ac:dyDescent="0.35">
      <c r="A1332" s="31">
        <v>45346.15902777778</v>
      </c>
      <c r="B1332" s="32">
        <v>0.63072916666666667</v>
      </c>
      <c r="C1332" s="33" t="s">
        <v>8</v>
      </c>
      <c r="D1332" s="33" t="s">
        <v>20</v>
      </c>
      <c r="E1332" s="34">
        <v>292.64999999999998</v>
      </c>
      <c r="F1332" s="33">
        <v>4</v>
      </c>
      <c r="G1332" s="34">
        <v>1170.5999999999999</v>
      </c>
      <c r="H1332" s="33" t="s">
        <v>325</v>
      </c>
      <c r="I1332" s="33" t="str">
        <f t="shared" si="40"/>
        <v>Medium sales</v>
      </c>
      <c r="J1332" s="33" t="str">
        <f t="shared" si="41"/>
        <v>not eligible</v>
      </c>
    </row>
    <row r="1333" spans="1:10" x14ac:dyDescent="0.35">
      <c r="A1333" s="31">
        <v>45526.684027777781</v>
      </c>
      <c r="B1333" s="32">
        <v>0.31083333333333335</v>
      </c>
      <c r="C1333" s="33" t="s">
        <v>8</v>
      </c>
      <c r="D1333" s="33" t="s">
        <v>20</v>
      </c>
      <c r="E1333" s="34">
        <v>361.9</v>
      </c>
      <c r="F1333" s="33">
        <v>1</v>
      </c>
      <c r="G1333" s="34">
        <v>361.9</v>
      </c>
      <c r="H1333" s="33" t="s">
        <v>127</v>
      </c>
      <c r="I1333" s="33" t="str">
        <f t="shared" si="40"/>
        <v>Low sales</v>
      </c>
      <c r="J1333" s="33" t="str">
        <f t="shared" si="41"/>
        <v>not eligible</v>
      </c>
    </row>
    <row r="1334" spans="1:10" x14ac:dyDescent="0.35">
      <c r="A1334" s="31">
        <v>45206.45416666667</v>
      </c>
      <c r="B1334" s="32">
        <v>0.16284722222222223</v>
      </c>
      <c r="C1334" s="33" t="s">
        <v>11</v>
      </c>
      <c r="D1334" s="33" t="s">
        <v>27</v>
      </c>
      <c r="E1334" s="34">
        <v>107.64</v>
      </c>
      <c r="F1334" s="33">
        <v>3</v>
      </c>
      <c r="G1334" s="34">
        <v>322.92</v>
      </c>
      <c r="H1334" s="33" t="s">
        <v>252</v>
      </c>
      <c r="I1334" s="33" t="str">
        <f t="shared" si="40"/>
        <v>Low sales</v>
      </c>
      <c r="J1334" s="33" t="str">
        <f t="shared" si="41"/>
        <v>not eligible</v>
      </c>
    </row>
    <row r="1335" spans="1:10" x14ac:dyDescent="0.35">
      <c r="A1335" s="31">
        <v>44967.115277777775</v>
      </c>
      <c r="B1335" s="32">
        <v>0.61751157407407409</v>
      </c>
      <c r="C1335" s="33" t="s">
        <v>8</v>
      </c>
      <c r="D1335" s="33" t="s">
        <v>16</v>
      </c>
      <c r="E1335" s="34">
        <v>161.47</v>
      </c>
      <c r="F1335" s="33">
        <v>5</v>
      </c>
      <c r="G1335" s="34">
        <v>807.35</v>
      </c>
      <c r="H1335" s="33" t="s">
        <v>266</v>
      </c>
      <c r="I1335" s="33" t="str">
        <f t="shared" si="40"/>
        <v>Medium sales</v>
      </c>
      <c r="J1335" s="33" t="str">
        <f t="shared" si="41"/>
        <v>not eligible</v>
      </c>
    </row>
    <row r="1336" spans="1:10" x14ac:dyDescent="0.35">
      <c r="A1336" s="31">
        <v>45378.090277777781</v>
      </c>
      <c r="B1336" s="32">
        <v>0.87467592592592591</v>
      </c>
      <c r="C1336" s="33" t="s">
        <v>11</v>
      </c>
      <c r="D1336" s="33" t="s">
        <v>12</v>
      </c>
      <c r="E1336" s="34">
        <v>149.16</v>
      </c>
      <c r="F1336" s="33">
        <v>5</v>
      </c>
      <c r="G1336" s="34">
        <v>745.8</v>
      </c>
      <c r="H1336" s="33" t="s">
        <v>228</v>
      </c>
      <c r="I1336" s="33" t="str">
        <f t="shared" si="40"/>
        <v>Medium sales</v>
      </c>
      <c r="J1336" s="33" t="str">
        <f t="shared" si="41"/>
        <v>not eligible</v>
      </c>
    </row>
    <row r="1337" spans="1:10" x14ac:dyDescent="0.35">
      <c r="A1337" s="31">
        <v>45504.4</v>
      </c>
      <c r="B1337" s="32">
        <v>0.7300578703703704</v>
      </c>
      <c r="C1337" s="33" t="s">
        <v>8</v>
      </c>
      <c r="D1337" s="33" t="s">
        <v>9</v>
      </c>
      <c r="E1337" s="34">
        <v>238.48</v>
      </c>
      <c r="F1337" s="33">
        <v>1</v>
      </c>
      <c r="G1337" s="34">
        <v>238.48</v>
      </c>
      <c r="H1337" s="33" t="s">
        <v>321</v>
      </c>
      <c r="I1337" s="33" t="str">
        <f t="shared" si="40"/>
        <v>Low sales</v>
      </c>
      <c r="J1337" s="33" t="str">
        <f t="shared" si="41"/>
        <v>not eligible</v>
      </c>
    </row>
    <row r="1338" spans="1:10" x14ac:dyDescent="0.35">
      <c r="A1338" s="31">
        <v>45132.541666666664</v>
      </c>
      <c r="B1338" s="32">
        <v>0.28046296296296297</v>
      </c>
      <c r="C1338" s="33" t="s">
        <v>11</v>
      </c>
      <c r="D1338" s="33" t="s">
        <v>20</v>
      </c>
      <c r="E1338" s="34">
        <v>336.61</v>
      </c>
      <c r="F1338" s="33">
        <v>1</v>
      </c>
      <c r="G1338" s="34">
        <v>336.61</v>
      </c>
      <c r="H1338" s="33" t="s">
        <v>404</v>
      </c>
      <c r="I1338" s="33" t="str">
        <f t="shared" si="40"/>
        <v>Low sales</v>
      </c>
      <c r="J1338" s="33" t="str">
        <f t="shared" si="41"/>
        <v>not eligible</v>
      </c>
    </row>
    <row r="1339" spans="1:10" x14ac:dyDescent="0.35">
      <c r="A1339" s="31">
        <v>44927.46597222222</v>
      </c>
      <c r="B1339" s="32">
        <v>0.75229166666666669</v>
      </c>
      <c r="C1339" s="33" t="s">
        <v>14</v>
      </c>
      <c r="D1339" s="33" t="s">
        <v>12</v>
      </c>
      <c r="E1339" s="34">
        <v>20.3</v>
      </c>
      <c r="F1339" s="33">
        <v>3</v>
      </c>
      <c r="G1339" s="34">
        <v>60.9</v>
      </c>
      <c r="H1339" s="33" t="s">
        <v>360</v>
      </c>
      <c r="I1339" s="33" t="str">
        <f t="shared" si="40"/>
        <v>Low sales</v>
      </c>
      <c r="J1339" s="33" t="str">
        <f t="shared" si="41"/>
        <v>not eligible</v>
      </c>
    </row>
    <row r="1340" spans="1:10" x14ac:dyDescent="0.35">
      <c r="A1340" s="31">
        <v>45390.381944444445</v>
      </c>
      <c r="B1340" s="32">
        <v>0.18949074074074077</v>
      </c>
      <c r="C1340" s="33" t="s">
        <v>8</v>
      </c>
      <c r="D1340" s="33" t="s">
        <v>20</v>
      </c>
      <c r="E1340" s="34">
        <v>393.41</v>
      </c>
      <c r="F1340" s="33">
        <v>5</v>
      </c>
      <c r="G1340" s="34">
        <v>1967.05</v>
      </c>
      <c r="H1340" s="33" t="s">
        <v>21</v>
      </c>
      <c r="I1340" s="33" t="str">
        <f t="shared" si="40"/>
        <v>High sales</v>
      </c>
      <c r="J1340" s="33" t="str">
        <f t="shared" si="41"/>
        <v>not eligible</v>
      </c>
    </row>
    <row r="1341" spans="1:10" x14ac:dyDescent="0.35">
      <c r="A1341" s="31">
        <v>44930.808333333334</v>
      </c>
      <c r="B1341" s="32">
        <v>0.709050925925926</v>
      </c>
      <c r="C1341" s="33" t="s">
        <v>14</v>
      </c>
      <c r="D1341" s="33" t="s">
        <v>12</v>
      </c>
      <c r="E1341" s="34">
        <v>388.25</v>
      </c>
      <c r="F1341" s="33">
        <v>5</v>
      </c>
      <c r="G1341" s="34">
        <v>1941.25</v>
      </c>
      <c r="H1341" s="33" t="s">
        <v>330</v>
      </c>
      <c r="I1341" s="33" t="str">
        <f t="shared" si="40"/>
        <v>High sales</v>
      </c>
      <c r="J1341" s="33" t="str">
        <f t="shared" si="41"/>
        <v>not eligible</v>
      </c>
    </row>
    <row r="1342" spans="1:10" x14ac:dyDescent="0.35">
      <c r="A1342" s="31">
        <v>45140.956944444442</v>
      </c>
      <c r="B1342" s="32">
        <v>0.51474537037037038</v>
      </c>
      <c r="C1342" s="33" t="s">
        <v>14</v>
      </c>
      <c r="D1342" s="33" t="s">
        <v>27</v>
      </c>
      <c r="E1342" s="34">
        <v>143.91999999999999</v>
      </c>
      <c r="F1342" s="33">
        <v>5</v>
      </c>
      <c r="G1342" s="34">
        <v>719.6</v>
      </c>
      <c r="H1342" s="33" t="s">
        <v>157</v>
      </c>
      <c r="I1342" s="33" t="str">
        <f t="shared" si="40"/>
        <v>Medium sales</v>
      </c>
      <c r="J1342" s="33" t="str">
        <f t="shared" si="41"/>
        <v>not eligible</v>
      </c>
    </row>
    <row r="1343" spans="1:10" x14ac:dyDescent="0.35">
      <c r="A1343" s="31">
        <v>45473.536805555559</v>
      </c>
      <c r="B1343" s="32">
        <v>0.12229166666666667</v>
      </c>
      <c r="C1343" s="33" t="s">
        <v>8</v>
      </c>
      <c r="D1343" s="33" t="s">
        <v>9</v>
      </c>
      <c r="E1343" s="34">
        <v>205.64</v>
      </c>
      <c r="F1343" s="33">
        <v>3</v>
      </c>
      <c r="G1343" s="34">
        <v>616.91999999999996</v>
      </c>
      <c r="H1343" s="33" t="s">
        <v>192</v>
      </c>
      <c r="I1343" s="33" t="str">
        <f t="shared" si="40"/>
        <v>Medium sales</v>
      </c>
      <c r="J1343" s="33" t="str">
        <f t="shared" si="41"/>
        <v>not eligible</v>
      </c>
    </row>
    <row r="1344" spans="1:10" x14ac:dyDescent="0.35">
      <c r="A1344" s="31">
        <v>45612.046527777777</v>
      </c>
      <c r="B1344" s="32">
        <v>0.70047453703703699</v>
      </c>
      <c r="C1344" s="33" t="s">
        <v>11</v>
      </c>
      <c r="D1344" s="33" t="s">
        <v>9</v>
      </c>
      <c r="E1344" s="34">
        <v>89.34</v>
      </c>
      <c r="F1344" s="33">
        <v>5</v>
      </c>
      <c r="G1344" s="34">
        <v>446.7</v>
      </c>
      <c r="H1344" s="33" t="s">
        <v>304</v>
      </c>
      <c r="I1344" s="33" t="str">
        <f t="shared" si="40"/>
        <v>Low sales</v>
      </c>
      <c r="J1344" s="33" t="str">
        <f t="shared" si="41"/>
        <v>not eligible</v>
      </c>
    </row>
    <row r="1345" spans="1:10" x14ac:dyDescent="0.35">
      <c r="A1345" s="31">
        <v>45445.930555555555</v>
      </c>
      <c r="B1345" s="32">
        <v>0.66667824074074078</v>
      </c>
      <c r="C1345" s="33" t="s">
        <v>14</v>
      </c>
      <c r="D1345" s="33" t="s">
        <v>16</v>
      </c>
      <c r="E1345" s="34">
        <v>410.28</v>
      </c>
      <c r="F1345" s="33">
        <v>3</v>
      </c>
      <c r="G1345" s="34">
        <v>1230.8399999999999</v>
      </c>
      <c r="H1345" s="33" t="s">
        <v>269</v>
      </c>
      <c r="I1345" s="33" t="str">
        <f t="shared" si="40"/>
        <v>Medium sales</v>
      </c>
      <c r="J1345" s="33" t="str">
        <f t="shared" si="41"/>
        <v>not eligible</v>
      </c>
    </row>
    <row r="1346" spans="1:10" x14ac:dyDescent="0.35">
      <c r="A1346" s="31">
        <v>45188.938888888886</v>
      </c>
      <c r="B1346" s="32">
        <v>0.51119212962962968</v>
      </c>
      <c r="C1346" s="33" t="s">
        <v>14</v>
      </c>
      <c r="D1346" s="33" t="s">
        <v>27</v>
      </c>
      <c r="E1346" s="34">
        <v>334.7</v>
      </c>
      <c r="F1346" s="33">
        <v>2</v>
      </c>
      <c r="G1346" s="34">
        <v>669.4</v>
      </c>
      <c r="H1346" s="33" t="s">
        <v>257</v>
      </c>
      <c r="I1346" s="33" t="str">
        <f t="shared" si="40"/>
        <v>Medium sales</v>
      </c>
      <c r="J1346" s="33" t="str">
        <f t="shared" si="41"/>
        <v>not eligible</v>
      </c>
    </row>
    <row r="1347" spans="1:10" x14ac:dyDescent="0.35">
      <c r="A1347" s="31">
        <v>45557.490277777775</v>
      </c>
      <c r="B1347" s="32">
        <v>0.27141203703703703</v>
      </c>
      <c r="C1347" s="33" t="s">
        <v>14</v>
      </c>
      <c r="D1347" s="33" t="s">
        <v>27</v>
      </c>
      <c r="E1347" s="34">
        <v>485.86</v>
      </c>
      <c r="F1347" s="33">
        <v>1</v>
      </c>
      <c r="G1347" s="34">
        <v>485.86</v>
      </c>
      <c r="H1347" s="33" t="s">
        <v>221</v>
      </c>
      <c r="I1347" s="33" t="str">
        <f t="shared" ref="I1347:I1410" si="42">IF(G1347&gt;1500,"High sales", IF(G1347&gt;500,"Medium sales", "Low sales"))</f>
        <v>Low sales</v>
      </c>
      <c r="J1347" s="33" t="str">
        <f t="shared" ref="J1347:J1410" si="43">IF(AND(G1347&gt;1000,C1347="Premium"), "eligible", "not eligible")</f>
        <v>not eligible</v>
      </c>
    </row>
    <row r="1348" spans="1:10" x14ac:dyDescent="0.35">
      <c r="A1348" s="31">
        <v>45665.421527777777</v>
      </c>
      <c r="B1348" s="32">
        <v>0.5353472222222222</v>
      </c>
      <c r="C1348" s="33" t="s">
        <v>8</v>
      </c>
      <c r="D1348" s="33" t="s">
        <v>16</v>
      </c>
      <c r="E1348" s="34">
        <v>342.11</v>
      </c>
      <c r="F1348" s="33">
        <v>2</v>
      </c>
      <c r="G1348" s="34">
        <v>684.22</v>
      </c>
      <c r="H1348" s="33" t="s">
        <v>207</v>
      </c>
      <c r="I1348" s="33" t="str">
        <f t="shared" si="42"/>
        <v>Medium sales</v>
      </c>
      <c r="J1348" s="33" t="str">
        <f t="shared" si="43"/>
        <v>not eligible</v>
      </c>
    </row>
    <row r="1349" spans="1:10" x14ac:dyDescent="0.35">
      <c r="A1349" s="31">
        <v>45093.487500000003</v>
      </c>
      <c r="B1349" s="32">
        <v>3.172453703703703E-2</v>
      </c>
      <c r="C1349" s="33" t="s">
        <v>8</v>
      </c>
      <c r="D1349" s="33" t="s">
        <v>16</v>
      </c>
      <c r="E1349" s="34">
        <v>380.23</v>
      </c>
      <c r="F1349" s="33">
        <v>5</v>
      </c>
      <c r="G1349" s="34">
        <v>1901.15</v>
      </c>
      <c r="H1349" s="33" t="s">
        <v>325</v>
      </c>
      <c r="I1349" s="33" t="str">
        <f t="shared" si="42"/>
        <v>High sales</v>
      </c>
      <c r="J1349" s="33" t="str">
        <f t="shared" si="43"/>
        <v>not eligible</v>
      </c>
    </row>
    <row r="1350" spans="1:10" x14ac:dyDescent="0.35">
      <c r="A1350" s="31">
        <v>45494.254861111112</v>
      </c>
      <c r="B1350" s="32">
        <v>0.61564814814814817</v>
      </c>
      <c r="C1350" s="33" t="s">
        <v>8</v>
      </c>
      <c r="D1350" s="33" t="s">
        <v>16</v>
      </c>
      <c r="E1350" s="34">
        <v>113.32</v>
      </c>
      <c r="F1350" s="33">
        <v>2</v>
      </c>
      <c r="G1350" s="34">
        <v>226.64</v>
      </c>
      <c r="H1350" s="33" t="s">
        <v>250</v>
      </c>
      <c r="I1350" s="33" t="str">
        <f t="shared" si="42"/>
        <v>Low sales</v>
      </c>
      <c r="J1350" s="33" t="str">
        <f t="shared" si="43"/>
        <v>not eligible</v>
      </c>
    </row>
    <row r="1351" spans="1:10" x14ac:dyDescent="0.35">
      <c r="A1351" s="31">
        <v>45190.910416666666</v>
      </c>
      <c r="B1351" s="32">
        <v>0.66651620370370368</v>
      </c>
      <c r="C1351" s="33" t="s">
        <v>8</v>
      </c>
      <c r="D1351" s="33" t="s">
        <v>12</v>
      </c>
      <c r="E1351" s="34">
        <v>33.25</v>
      </c>
      <c r="F1351" s="33">
        <v>1</v>
      </c>
      <c r="G1351" s="34">
        <v>33.25</v>
      </c>
      <c r="H1351" s="33" t="s">
        <v>395</v>
      </c>
      <c r="I1351" s="33" t="str">
        <f t="shared" si="42"/>
        <v>Low sales</v>
      </c>
      <c r="J1351" s="33" t="str">
        <f t="shared" si="43"/>
        <v>not eligible</v>
      </c>
    </row>
    <row r="1352" spans="1:10" x14ac:dyDescent="0.35">
      <c r="A1352" s="31">
        <v>44975.436805555553</v>
      </c>
      <c r="B1352" s="32">
        <v>0.12017361111111112</v>
      </c>
      <c r="C1352" s="33" t="s">
        <v>11</v>
      </c>
      <c r="D1352" s="33" t="s">
        <v>20</v>
      </c>
      <c r="E1352" s="34">
        <v>425.62</v>
      </c>
      <c r="F1352" s="33">
        <v>2</v>
      </c>
      <c r="G1352" s="34">
        <v>851.24</v>
      </c>
      <c r="H1352" s="33" t="s">
        <v>302</v>
      </c>
      <c r="I1352" s="33" t="str">
        <f t="shared" si="42"/>
        <v>Medium sales</v>
      </c>
      <c r="J1352" s="33" t="str">
        <f t="shared" si="43"/>
        <v>not eligible</v>
      </c>
    </row>
    <row r="1353" spans="1:10" x14ac:dyDescent="0.35">
      <c r="A1353" s="31">
        <v>45397.817361111112</v>
      </c>
      <c r="B1353" s="32">
        <v>0.30111111111111111</v>
      </c>
      <c r="C1353" s="33" t="s">
        <v>8</v>
      </c>
      <c r="D1353" s="33" t="s">
        <v>27</v>
      </c>
      <c r="E1353" s="34">
        <v>423.28</v>
      </c>
      <c r="F1353" s="33">
        <v>1</v>
      </c>
      <c r="G1353" s="34">
        <v>423.28</v>
      </c>
      <c r="H1353" s="33" t="s">
        <v>159</v>
      </c>
      <c r="I1353" s="33" t="str">
        <f t="shared" si="42"/>
        <v>Low sales</v>
      </c>
      <c r="J1353" s="33" t="str">
        <f t="shared" si="43"/>
        <v>not eligible</v>
      </c>
    </row>
    <row r="1354" spans="1:10" x14ac:dyDescent="0.35">
      <c r="A1354" s="31">
        <v>45098.081944444442</v>
      </c>
      <c r="B1354" s="32">
        <v>0.56515046296296301</v>
      </c>
      <c r="C1354" s="33" t="s">
        <v>8</v>
      </c>
      <c r="D1354" s="33" t="s">
        <v>9</v>
      </c>
      <c r="E1354" s="34">
        <v>34.630000000000003</v>
      </c>
      <c r="F1354" s="33">
        <v>3</v>
      </c>
      <c r="G1354" s="34">
        <v>103.89</v>
      </c>
      <c r="H1354" s="33" t="s">
        <v>201</v>
      </c>
      <c r="I1354" s="33" t="str">
        <f t="shared" si="42"/>
        <v>Low sales</v>
      </c>
      <c r="J1354" s="33" t="str">
        <f t="shared" si="43"/>
        <v>not eligible</v>
      </c>
    </row>
    <row r="1355" spans="1:10" x14ac:dyDescent="0.35">
      <c r="A1355" s="31">
        <v>45623.535416666666</v>
      </c>
      <c r="B1355" s="32">
        <v>0.92859953703703713</v>
      </c>
      <c r="C1355" s="33" t="s">
        <v>11</v>
      </c>
      <c r="D1355" s="33" t="s">
        <v>27</v>
      </c>
      <c r="E1355" s="34">
        <v>12.1</v>
      </c>
      <c r="F1355" s="33">
        <v>2</v>
      </c>
      <c r="G1355" s="34">
        <v>24.2</v>
      </c>
      <c r="H1355" s="33" t="s">
        <v>306</v>
      </c>
      <c r="I1355" s="33" t="str">
        <f t="shared" si="42"/>
        <v>Low sales</v>
      </c>
      <c r="J1355" s="33" t="str">
        <f t="shared" si="43"/>
        <v>not eligible</v>
      </c>
    </row>
    <row r="1356" spans="1:10" x14ac:dyDescent="0.35">
      <c r="A1356" s="31">
        <v>45131.375694444447</v>
      </c>
      <c r="B1356" s="32">
        <v>0.79027777777777775</v>
      </c>
      <c r="C1356" s="33" t="s">
        <v>14</v>
      </c>
      <c r="D1356" s="33" t="s">
        <v>12</v>
      </c>
      <c r="E1356" s="34">
        <v>373.29</v>
      </c>
      <c r="F1356" s="33">
        <v>3</v>
      </c>
      <c r="G1356" s="34">
        <v>1119.8699999999999</v>
      </c>
      <c r="H1356" s="33" t="s">
        <v>183</v>
      </c>
      <c r="I1356" s="33" t="str">
        <f t="shared" si="42"/>
        <v>Medium sales</v>
      </c>
      <c r="J1356" s="33" t="str">
        <f t="shared" si="43"/>
        <v>not eligible</v>
      </c>
    </row>
    <row r="1357" spans="1:10" x14ac:dyDescent="0.35">
      <c r="A1357" s="31">
        <v>45170.417361111111</v>
      </c>
      <c r="B1357" s="32">
        <v>0.11326388888888889</v>
      </c>
      <c r="C1357" s="33" t="s">
        <v>14</v>
      </c>
      <c r="D1357" s="33" t="s">
        <v>12</v>
      </c>
      <c r="E1357" s="34">
        <v>410.57</v>
      </c>
      <c r="F1357" s="33">
        <v>2</v>
      </c>
      <c r="G1357" s="34">
        <v>821.14</v>
      </c>
      <c r="H1357" s="33" t="s">
        <v>194</v>
      </c>
      <c r="I1357" s="33" t="str">
        <f t="shared" si="42"/>
        <v>Medium sales</v>
      </c>
      <c r="J1357" s="33" t="str">
        <f t="shared" si="43"/>
        <v>not eligible</v>
      </c>
    </row>
    <row r="1358" spans="1:10" x14ac:dyDescent="0.35">
      <c r="A1358" s="31">
        <v>44951.347222222219</v>
      </c>
      <c r="B1358" s="32">
        <v>0.47648148148148151</v>
      </c>
      <c r="C1358" s="33" t="s">
        <v>8</v>
      </c>
      <c r="D1358" s="33" t="s">
        <v>27</v>
      </c>
      <c r="E1358" s="34">
        <v>183.84</v>
      </c>
      <c r="F1358" s="33">
        <v>4</v>
      </c>
      <c r="G1358" s="34">
        <v>735.36</v>
      </c>
      <c r="H1358" s="33" t="s">
        <v>167</v>
      </c>
      <c r="I1358" s="33" t="str">
        <f t="shared" si="42"/>
        <v>Medium sales</v>
      </c>
      <c r="J1358" s="33" t="str">
        <f t="shared" si="43"/>
        <v>not eligible</v>
      </c>
    </row>
    <row r="1359" spans="1:10" x14ac:dyDescent="0.35">
      <c r="A1359" s="31">
        <v>45528.463888888888</v>
      </c>
      <c r="B1359" s="32">
        <v>0.53866898148148146</v>
      </c>
      <c r="C1359" s="33" t="s">
        <v>11</v>
      </c>
      <c r="D1359" s="33" t="s">
        <v>27</v>
      </c>
      <c r="E1359" s="34">
        <v>173.04</v>
      </c>
      <c r="F1359" s="33">
        <v>2</v>
      </c>
      <c r="G1359" s="34">
        <v>346.08</v>
      </c>
      <c r="H1359" s="33" t="s">
        <v>10</v>
      </c>
      <c r="I1359" s="33" t="str">
        <f t="shared" si="42"/>
        <v>Low sales</v>
      </c>
      <c r="J1359" s="33" t="str">
        <f t="shared" si="43"/>
        <v>not eligible</v>
      </c>
    </row>
    <row r="1360" spans="1:10" x14ac:dyDescent="0.35">
      <c r="A1360" s="31">
        <v>44963.470833333333</v>
      </c>
      <c r="B1360" s="32">
        <v>0.87894675925925936</v>
      </c>
      <c r="C1360" s="33" t="s">
        <v>14</v>
      </c>
      <c r="D1360" s="33" t="s">
        <v>27</v>
      </c>
      <c r="E1360" s="34">
        <v>12.94</v>
      </c>
      <c r="F1360" s="33">
        <v>3</v>
      </c>
      <c r="G1360" s="34">
        <v>38.82</v>
      </c>
      <c r="H1360" s="33" t="s">
        <v>261</v>
      </c>
      <c r="I1360" s="33" t="str">
        <f t="shared" si="42"/>
        <v>Low sales</v>
      </c>
      <c r="J1360" s="33" t="str">
        <f t="shared" si="43"/>
        <v>not eligible</v>
      </c>
    </row>
    <row r="1361" spans="1:10" x14ac:dyDescent="0.35">
      <c r="A1361" s="31">
        <v>45029.040277777778</v>
      </c>
      <c r="B1361" s="32">
        <v>0.18313657407407405</v>
      </c>
      <c r="C1361" s="33" t="s">
        <v>8</v>
      </c>
      <c r="D1361" s="33" t="s">
        <v>27</v>
      </c>
      <c r="E1361" s="34">
        <v>23.46</v>
      </c>
      <c r="F1361" s="33">
        <v>4</v>
      </c>
      <c r="G1361" s="34">
        <v>93.84</v>
      </c>
      <c r="H1361" s="33" t="s">
        <v>208</v>
      </c>
      <c r="I1361" s="33" t="str">
        <f t="shared" si="42"/>
        <v>Low sales</v>
      </c>
      <c r="J1361" s="33" t="str">
        <f t="shared" si="43"/>
        <v>not eligible</v>
      </c>
    </row>
    <row r="1362" spans="1:10" x14ac:dyDescent="0.35">
      <c r="A1362" s="31">
        <v>45088.211111111108</v>
      </c>
      <c r="B1362" s="32">
        <v>0.80737268518518512</v>
      </c>
      <c r="C1362" s="33" t="s">
        <v>8</v>
      </c>
      <c r="D1362" s="33" t="s">
        <v>12</v>
      </c>
      <c r="E1362" s="34">
        <v>494.22</v>
      </c>
      <c r="F1362" s="33">
        <v>5</v>
      </c>
      <c r="G1362" s="34">
        <v>2471.1</v>
      </c>
      <c r="H1362" s="33" t="s">
        <v>192</v>
      </c>
      <c r="I1362" s="33" t="str">
        <f t="shared" si="42"/>
        <v>High sales</v>
      </c>
      <c r="J1362" s="33" t="str">
        <f t="shared" si="43"/>
        <v>not eligible</v>
      </c>
    </row>
    <row r="1363" spans="1:10" x14ac:dyDescent="0.35">
      <c r="A1363" s="31">
        <v>45425.349305555559</v>
      </c>
      <c r="B1363" s="32">
        <v>0.91222222222222227</v>
      </c>
      <c r="C1363" s="33" t="s">
        <v>14</v>
      </c>
      <c r="D1363" s="33" t="s">
        <v>27</v>
      </c>
      <c r="E1363" s="34">
        <v>385.12</v>
      </c>
      <c r="F1363" s="33">
        <v>3</v>
      </c>
      <c r="G1363" s="34">
        <v>1155.3599999999999</v>
      </c>
      <c r="H1363" s="33" t="s">
        <v>80</v>
      </c>
      <c r="I1363" s="33" t="str">
        <f t="shared" si="42"/>
        <v>Medium sales</v>
      </c>
      <c r="J1363" s="33" t="str">
        <f t="shared" si="43"/>
        <v>not eligible</v>
      </c>
    </row>
    <row r="1364" spans="1:10" x14ac:dyDescent="0.35">
      <c r="A1364" s="31">
        <v>45228.609722222223</v>
      </c>
      <c r="B1364" s="32">
        <v>0.35348379629629628</v>
      </c>
      <c r="C1364" s="33" t="s">
        <v>8</v>
      </c>
      <c r="D1364" s="33" t="s">
        <v>27</v>
      </c>
      <c r="E1364" s="34">
        <v>246.48</v>
      </c>
      <c r="F1364" s="33">
        <v>4</v>
      </c>
      <c r="G1364" s="34">
        <v>985.92</v>
      </c>
      <c r="H1364" s="33" t="s">
        <v>53</v>
      </c>
      <c r="I1364" s="33" t="str">
        <f t="shared" si="42"/>
        <v>Medium sales</v>
      </c>
      <c r="J1364" s="33" t="str">
        <f t="shared" si="43"/>
        <v>not eligible</v>
      </c>
    </row>
    <row r="1365" spans="1:10" x14ac:dyDescent="0.35">
      <c r="A1365" s="31">
        <v>45623.89166666667</v>
      </c>
      <c r="B1365" s="32">
        <v>0.23517361111111112</v>
      </c>
      <c r="C1365" s="33" t="s">
        <v>14</v>
      </c>
      <c r="D1365" s="33" t="s">
        <v>12</v>
      </c>
      <c r="E1365" s="34">
        <v>292.58</v>
      </c>
      <c r="F1365" s="33">
        <v>2</v>
      </c>
      <c r="G1365" s="34">
        <v>585.16</v>
      </c>
      <c r="H1365" s="33" t="s">
        <v>326</v>
      </c>
      <c r="I1365" s="33" t="str">
        <f t="shared" si="42"/>
        <v>Medium sales</v>
      </c>
      <c r="J1365" s="33" t="str">
        <f t="shared" si="43"/>
        <v>not eligible</v>
      </c>
    </row>
    <row r="1366" spans="1:10" x14ac:dyDescent="0.35">
      <c r="A1366" s="31">
        <v>45004.660416666666</v>
      </c>
      <c r="B1366" s="32">
        <v>0.43059027777777775</v>
      </c>
      <c r="C1366" s="33" t="s">
        <v>11</v>
      </c>
      <c r="D1366" s="33" t="s">
        <v>9</v>
      </c>
      <c r="E1366" s="34">
        <v>24.73</v>
      </c>
      <c r="F1366" s="33">
        <v>3</v>
      </c>
      <c r="G1366" s="34">
        <v>74.19</v>
      </c>
      <c r="H1366" s="33" t="s">
        <v>390</v>
      </c>
      <c r="I1366" s="33" t="str">
        <f t="shared" si="42"/>
        <v>Low sales</v>
      </c>
      <c r="J1366" s="33" t="str">
        <f t="shared" si="43"/>
        <v>not eligible</v>
      </c>
    </row>
    <row r="1367" spans="1:10" x14ac:dyDescent="0.35">
      <c r="A1367" s="31">
        <v>45655.786111111112</v>
      </c>
      <c r="B1367" s="32">
        <v>0.52765046296296292</v>
      </c>
      <c r="C1367" s="33" t="s">
        <v>8</v>
      </c>
      <c r="D1367" s="33" t="s">
        <v>27</v>
      </c>
      <c r="E1367" s="34">
        <v>189.16</v>
      </c>
      <c r="F1367" s="33">
        <v>5</v>
      </c>
      <c r="G1367" s="34">
        <v>945.8</v>
      </c>
      <c r="H1367" s="33" t="s">
        <v>219</v>
      </c>
      <c r="I1367" s="33" t="str">
        <f t="shared" si="42"/>
        <v>Medium sales</v>
      </c>
      <c r="J1367" s="33" t="str">
        <f t="shared" si="43"/>
        <v>not eligible</v>
      </c>
    </row>
    <row r="1368" spans="1:10" x14ac:dyDescent="0.35">
      <c r="A1368" s="31">
        <v>45045.595138888886</v>
      </c>
      <c r="B1368" s="32">
        <v>0.96567129629629633</v>
      </c>
      <c r="C1368" s="33" t="s">
        <v>14</v>
      </c>
      <c r="D1368" s="33" t="s">
        <v>16</v>
      </c>
      <c r="E1368" s="34">
        <v>126.19</v>
      </c>
      <c r="F1368" s="33">
        <v>3</v>
      </c>
      <c r="G1368" s="34">
        <v>378.57</v>
      </c>
      <c r="H1368" s="33" t="s">
        <v>357</v>
      </c>
      <c r="I1368" s="33" t="str">
        <f t="shared" si="42"/>
        <v>Low sales</v>
      </c>
      <c r="J1368" s="33" t="str">
        <f t="shared" si="43"/>
        <v>not eligible</v>
      </c>
    </row>
    <row r="1369" spans="1:10" x14ac:dyDescent="0.35">
      <c r="A1369" s="31">
        <v>45417.270138888889</v>
      </c>
      <c r="B1369" s="32">
        <v>0.62268518518518523</v>
      </c>
      <c r="C1369" s="33" t="s">
        <v>14</v>
      </c>
      <c r="D1369" s="33" t="s">
        <v>9</v>
      </c>
      <c r="E1369" s="34">
        <v>394.67</v>
      </c>
      <c r="F1369" s="33">
        <v>2</v>
      </c>
      <c r="G1369" s="34">
        <v>789.34</v>
      </c>
      <c r="H1369" s="33" t="s">
        <v>23</v>
      </c>
      <c r="I1369" s="33" t="str">
        <f t="shared" si="42"/>
        <v>Medium sales</v>
      </c>
      <c r="J1369" s="33" t="str">
        <f t="shared" si="43"/>
        <v>not eligible</v>
      </c>
    </row>
    <row r="1370" spans="1:10" x14ac:dyDescent="0.35">
      <c r="A1370" s="31">
        <v>45302.970138888886</v>
      </c>
      <c r="B1370" s="32">
        <v>5.1643518518518526E-2</v>
      </c>
      <c r="C1370" s="33" t="s">
        <v>8</v>
      </c>
      <c r="D1370" s="33" t="s">
        <v>9</v>
      </c>
      <c r="E1370" s="34">
        <v>68.61</v>
      </c>
      <c r="F1370" s="33">
        <v>4</v>
      </c>
      <c r="G1370" s="34">
        <v>274.44</v>
      </c>
      <c r="H1370" s="33" t="s">
        <v>323</v>
      </c>
      <c r="I1370" s="33" t="str">
        <f t="shared" si="42"/>
        <v>Low sales</v>
      </c>
      <c r="J1370" s="33" t="str">
        <f t="shared" si="43"/>
        <v>not eligible</v>
      </c>
    </row>
    <row r="1371" spans="1:10" x14ac:dyDescent="0.35">
      <c r="A1371" s="31">
        <v>45192.602083333331</v>
      </c>
      <c r="B1371" s="32">
        <v>0.86082175925925919</v>
      </c>
      <c r="C1371" s="33" t="s">
        <v>11</v>
      </c>
      <c r="D1371" s="33" t="s">
        <v>20</v>
      </c>
      <c r="E1371" s="34">
        <v>190.74</v>
      </c>
      <c r="F1371" s="33">
        <v>1</v>
      </c>
      <c r="G1371" s="34">
        <v>190.74</v>
      </c>
      <c r="H1371" s="33" t="s">
        <v>18</v>
      </c>
      <c r="I1371" s="33" t="str">
        <f t="shared" si="42"/>
        <v>Low sales</v>
      </c>
      <c r="J1371" s="33" t="str">
        <f t="shared" si="43"/>
        <v>not eligible</v>
      </c>
    </row>
    <row r="1372" spans="1:10" x14ac:dyDescent="0.35">
      <c r="A1372" s="31">
        <v>45224.084027777775</v>
      </c>
      <c r="B1372" s="32">
        <v>1.8993055555555558E-2</v>
      </c>
      <c r="C1372" s="33" t="s">
        <v>14</v>
      </c>
      <c r="D1372" s="33" t="s">
        <v>16</v>
      </c>
      <c r="E1372" s="34">
        <v>42.37</v>
      </c>
      <c r="F1372" s="33">
        <v>4</v>
      </c>
      <c r="G1372" s="34">
        <v>169.48</v>
      </c>
      <c r="H1372" s="33" t="s">
        <v>320</v>
      </c>
      <c r="I1372" s="33" t="str">
        <f t="shared" si="42"/>
        <v>Low sales</v>
      </c>
      <c r="J1372" s="33" t="str">
        <f t="shared" si="43"/>
        <v>not eligible</v>
      </c>
    </row>
    <row r="1373" spans="1:10" x14ac:dyDescent="0.35">
      <c r="A1373" s="31">
        <v>45060.777083333334</v>
      </c>
      <c r="B1373" s="32">
        <v>0.22714120370370372</v>
      </c>
      <c r="C1373" s="33" t="s">
        <v>11</v>
      </c>
      <c r="D1373" s="33" t="s">
        <v>12</v>
      </c>
      <c r="E1373" s="34">
        <v>79.59</v>
      </c>
      <c r="F1373" s="33">
        <v>5</v>
      </c>
      <c r="G1373" s="34">
        <v>397.95</v>
      </c>
      <c r="H1373" s="33" t="s">
        <v>263</v>
      </c>
      <c r="I1373" s="33" t="str">
        <f t="shared" si="42"/>
        <v>Low sales</v>
      </c>
      <c r="J1373" s="33" t="str">
        <f t="shared" si="43"/>
        <v>not eligible</v>
      </c>
    </row>
    <row r="1374" spans="1:10" x14ac:dyDescent="0.35">
      <c r="A1374" s="31">
        <v>45234.039583333331</v>
      </c>
      <c r="B1374" s="32">
        <v>0.56791666666666674</v>
      </c>
      <c r="C1374" s="33" t="s">
        <v>8</v>
      </c>
      <c r="D1374" s="33" t="s">
        <v>20</v>
      </c>
      <c r="E1374" s="34">
        <v>278.19</v>
      </c>
      <c r="F1374" s="33">
        <v>4</v>
      </c>
      <c r="G1374" s="34">
        <v>1112.76</v>
      </c>
      <c r="H1374" s="33" t="s">
        <v>371</v>
      </c>
      <c r="I1374" s="33" t="str">
        <f t="shared" si="42"/>
        <v>Medium sales</v>
      </c>
      <c r="J1374" s="33" t="str">
        <f t="shared" si="43"/>
        <v>not eligible</v>
      </c>
    </row>
    <row r="1375" spans="1:10" x14ac:dyDescent="0.35">
      <c r="A1375" s="31">
        <v>45152.775694444441</v>
      </c>
      <c r="B1375" s="32">
        <v>0.38105324074074076</v>
      </c>
      <c r="C1375" s="33" t="s">
        <v>14</v>
      </c>
      <c r="D1375" s="33" t="s">
        <v>12</v>
      </c>
      <c r="E1375" s="34">
        <v>386.03</v>
      </c>
      <c r="F1375" s="33">
        <v>4</v>
      </c>
      <c r="G1375" s="34">
        <v>1544.12</v>
      </c>
      <c r="H1375" s="33" t="s">
        <v>322</v>
      </c>
      <c r="I1375" s="33" t="str">
        <f t="shared" si="42"/>
        <v>High sales</v>
      </c>
      <c r="J1375" s="33" t="str">
        <f t="shared" si="43"/>
        <v>not eligible</v>
      </c>
    </row>
    <row r="1376" spans="1:10" x14ac:dyDescent="0.35">
      <c r="A1376" s="31">
        <v>44986.754861111112</v>
      </c>
      <c r="B1376" s="32">
        <v>1.0497685185185186E-2</v>
      </c>
      <c r="C1376" s="33" t="s">
        <v>14</v>
      </c>
      <c r="D1376" s="33" t="s">
        <v>16</v>
      </c>
      <c r="E1376" s="34">
        <v>216.48</v>
      </c>
      <c r="F1376" s="33">
        <v>5</v>
      </c>
      <c r="G1376" s="34">
        <v>1082.4000000000001</v>
      </c>
      <c r="H1376" s="33" t="s">
        <v>361</v>
      </c>
      <c r="I1376" s="33" t="str">
        <f t="shared" si="42"/>
        <v>Medium sales</v>
      </c>
      <c r="J1376" s="33" t="str">
        <f t="shared" si="43"/>
        <v>not eligible</v>
      </c>
    </row>
    <row r="1377" spans="1:10" x14ac:dyDescent="0.35">
      <c r="A1377" s="31">
        <v>45460.524305555555</v>
      </c>
      <c r="B1377" s="32">
        <v>0.33902777777777776</v>
      </c>
      <c r="C1377" s="33" t="s">
        <v>14</v>
      </c>
      <c r="D1377" s="33" t="s">
        <v>16</v>
      </c>
      <c r="E1377" s="34">
        <v>78.209999999999994</v>
      </c>
      <c r="F1377" s="33">
        <v>4</v>
      </c>
      <c r="G1377" s="34">
        <v>312.83999999999997</v>
      </c>
      <c r="H1377" s="33" t="s">
        <v>127</v>
      </c>
      <c r="I1377" s="33" t="str">
        <f t="shared" si="42"/>
        <v>Low sales</v>
      </c>
      <c r="J1377" s="33" t="str">
        <f t="shared" si="43"/>
        <v>not eligible</v>
      </c>
    </row>
    <row r="1378" spans="1:10" x14ac:dyDescent="0.35">
      <c r="A1378" s="31">
        <v>45345.710416666669</v>
      </c>
      <c r="B1378" s="32">
        <v>0.51348379629629626</v>
      </c>
      <c r="C1378" s="33" t="s">
        <v>8</v>
      </c>
      <c r="D1378" s="33" t="s">
        <v>27</v>
      </c>
      <c r="E1378" s="34">
        <v>74.88</v>
      </c>
      <c r="F1378" s="33">
        <v>1</v>
      </c>
      <c r="G1378" s="34">
        <v>74.88</v>
      </c>
      <c r="H1378" s="33" t="s">
        <v>139</v>
      </c>
      <c r="I1378" s="33" t="str">
        <f t="shared" si="42"/>
        <v>Low sales</v>
      </c>
      <c r="J1378" s="33" t="str">
        <f t="shared" si="43"/>
        <v>not eligible</v>
      </c>
    </row>
    <row r="1379" spans="1:10" x14ac:dyDescent="0.35">
      <c r="A1379" s="31">
        <v>45609.81527777778</v>
      </c>
      <c r="B1379" s="32">
        <v>0.15090277777777777</v>
      </c>
      <c r="C1379" s="33" t="s">
        <v>11</v>
      </c>
      <c r="D1379" s="33" t="s">
        <v>20</v>
      </c>
      <c r="E1379" s="34">
        <v>157.69</v>
      </c>
      <c r="F1379" s="33">
        <v>1</v>
      </c>
      <c r="G1379" s="34">
        <v>157.69</v>
      </c>
      <c r="H1379" s="33" t="s">
        <v>26</v>
      </c>
      <c r="I1379" s="33" t="str">
        <f t="shared" si="42"/>
        <v>Low sales</v>
      </c>
      <c r="J1379" s="33" t="str">
        <f t="shared" si="43"/>
        <v>not eligible</v>
      </c>
    </row>
    <row r="1380" spans="1:10" x14ac:dyDescent="0.35">
      <c r="A1380" s="31">
        <v>45656.950694444444</v>
      </c>
      <c r="B1380" s="32">
        <v>0.4607060185185185</v>
      </c>
      <c r="C1380" s="33" t="s">
        <v>11</v>
      </c>
      <c r="D1380" s="33" t="s">
        <v>9</v>
      </c>
      <c r="E1380" s="34">
        <v>460.21</v>
      </c>
      <c r="F1380" s="33">
        <v>4</v>
      </c>
      <c r="G1380" s="34">
        <v>1840.84</v>
      </c>
      <c r="H1380" s="33" t="s">
        <v>342</v>
      </c>
      <c r="I1380" s="33" t="str">
        <f t="shared" si="42"/>
        <v>High sales</v>
      </c>
      <c r="J1380" s="33" t="str">
        <f t="shared" si="43"/>
        <v>eligible</v>
      </c>
    </row>
    <row r="1381" spans="1:10" x14ac:dyDescent="0.35">
      <c r="A1381" s="31">
        <v>45437.32708333333</v>
      </c>
      <c r="B1381" s="32">
        <v>0.7645601851851852</v>
      </c>
      <c r="C1381" s="33" t="s">
        <v>11</v>
      </c>
      <c r="D1381" s="33" t="s">
        <v>12</v>
      </c>
      <c r="E1381" s="34">
        <v>214.05</v>
      </c>
      <c r="F1381" s="33">
        <v>1</v>
      </c>
      <c r="G1381" s="34">
        <v>214.05</v>
      </c>
      <c r="H1381" s="33" t="s">
        <v>307</v>
      </c>
      <c r="I1381" s="33" t="str">
        <f t="shared" si="42"/>
        <v>Low sales</v>
      </c>
      <c r="J1381" s="33" t="str">
        <f t="shared" si="43"/>
        <v>not eligible</v>
      </c>
    </row>
    <row r="1382" spans="1:10" x14ac:dyDescent="0.35">
      <c r="A1382" s="31">
        <v>45035.76458333333</v>
      </c>
      <c r="B1382" s="32">
        <v>0.74006944444444445</v>
      </c>
      <c r="C1382" s="33" t="s">
        <v>8</v>
      </c>
      <c r="D1382" s="33" t="s">
        <v>27</v>
      </c>
      <c r="E1382" s="34">
        <v>326.33999999999997</v>
      </c>
      <c r="F1382" s="33">
        <v>5</v>
      </c>
      <c r="G1382" s="34">
        <v>1631.7</v>
      </c>
      <c r="H1382" s="33" t="s">
        <v>399</v>
      </c>
      <c r="I1382" s="33" t="str">
        <f t="shared" si="42"/>
        <v>High sales</v>
      </c>
      <c r="J1382" s="33" t="str">
        <f t="shared" si="43"/>
        <v>not eligible</v>
      </c>
    </row>
    <row r="1383" spans="1:10" x14ac:dyDescent="0.35">
      <c r="A1383" s="31">
        <v>45155.779861111114</v>
      </c>
      <c r="B1383" s="32">
        <v>0.11714120370370369</v>
      </c>
      <c r="C1383" s="33" t="s">
        <v>14</v>
      </c>
      <c r="D1383" s="33" t="s">
        <v>16</v>
      </c>
      <c r="E1383" s="34">
        <v>16.920000000000002</v>
      </c>
      <c r="F1383" s="33">
        <v>1</v>
      </c>
      <c r="G1383" s="34">
        <v>16.920000000000002</v>
      </c>
      <c r="H1383" s="33" t="s">
        <v>221</v>
      </c>
      <c r="I1383" s="33" t="str">
        <f t="shared" si="42"/>
        <v>Low sales</v>
      </c>
      <c r="J1383" s="33" t="str">
        <f t="shared" si="43"/>
        <v>not eligible</v>
      </c>
    </row>
    <row r="1384" spans="1:10" x14ac:dyDescent="0.35">
      <c r="A1384" s="31">
        <v>44942.65347222222</v>
      </c>
      <c r="B1384" s="32">
        <v>0.54115740740740736</v>
      </c>
      <c r="C1384" s="33" t="s">
        <v>8</v>
      </c>
      <c r="D1384" s="33" t="s">
        <v>16</v>
      </c>
      <c r="E1384" s="34">
        <v>24.19</v>
      </c>
      <c r="F1384" s="33">
        <v>2</v>
      </c>
      <c r="G1384" s="34">
        <v>48.38</v>
      </c>
      <c r="H1384" s="33" t="s">
        <v>277</v>
      </c>
      <c r="I1384" s="33" t="str">
        <f t="shared" si="42"/>
        <v>Low sales</v>
      </c>
      <c r="J1384" s="33" t="str">
        <f t="shared" si="43"/>
        <v>not eligible</v>
      </c>
    </row>
    <row r="1385" spans="1:10" x14ac:dyDescent="0.35">
      <c r="A1385" s="31">
        <v>45365.919444444444</v>
      </c>
      <c r="B1385" s="32">
        <v>0.18476851851851853</v>
      </c>
      <c r="C1385" s="33" t="s">
        <v>11</v>
      </c>
      <c r="D1385" s="33" t="s">
        <v>20</v>
      </c>
      <c r="E1385" s="34">
        <v>282.70999999999998</v>
      </c>
      <c r="F1385" s="33">
        <v>2</v>
      </c>
      <c r="G1385" s="34">
        <v>565.41999999999996</v>
      </c>
      <c r="H1385" s="33" t="s">
        <v>390</v>
      </c>
      <c r="I1385" s="33" t="str">
        <f t="shared" si="42"/>
        <v>Medium sales</v>
      </c>
      <c r="J1385" s="33" t="str">
        <f t="shared" si="43"/>
        <v>not eligible</v>
      </c>
    </row>
    <row r="1386" spans="1:10" x14ac:dyDescent="0.35">
      <c r="A1386" s="31">
        <v>45403.064583333333</v>
      </c>
      <c r="B1386" s="32">
        <v>0.10746527777777777</v>
      </c>
      <c r="C1386" s="33" t="s">
        <v>11</v>
      </c>
      <c r="D1386" s="33" t="s">
        <v>16</v>
      </c>
      <c r="E1386" s="34">
        <v>181.6</v>
      </c>
      <c r="F1386" s="33">
        <v>3</v>
      </c>
      <c r="G1386" s="34">
        <v>544.79999999999995</v>
      </c>
      <c r="H1386" s="33" t="s">
        <v>31</v>
      </c>
      <c r="I1386" s="33" t="str">
        <f t="shared" si="42"/>
        <v>Medium sales</v>
      </c>
      <c r="J1386" s="33" t="str">
        <f t="shared" si="43"/>
        <v>not eligible</v>
      </c>
    </row>
    <row r="1387" spans="1:10" x14ac:dyDescent="0.35">
      <c r="A1387" s="31">
        <v>45307.920138888891</v>
      </c>
      <c r="B1387" s="32">
        <v>4.836805555555556E-2</v>
      </c>
      <c r="C1387" s="33" t="s">
        <v>8</v>
      </c>
      <c r="D1387" s="33" t="s">
        <v>16</v>
      </c>
      <c r="E1387" s="34">
        <v>39.229999999999997</v>
      </c>
      <c r="F1387" s="33">
        <v>3</v>
      </c>
      <c r="G1387" s="34">
        <v>117.69</v>
      </c>
      <c r="H1387" s="33" t="s">
        <v>81</v>
      </c>
      <c r="I1387" s="33" t="str">
        <f t="shared" si="42"/>
        <v>Low sales</v>
      </c>
      <c r="J1387" s="33" t="str">
        <f t="shared" si="43"/>
        <v>not eligible</v>
      </c>
    </row>
    <row r="1388" spans="1:10" x14ac:dyDescent="0.35">
      <c r="A1388" s="31">
        <v>45492.974305555559</v>
      </c>
      <c r="B1388" s="32">
        <v>0.86973379629629621</v>
      </c>
      <c r="C1388" s="33" t="s">
        <v>8</v>
      </c>
      <c r="D1388" s="33" t="s">
        <v>20</v>
      </c>
      <c r="E1388" s="34">
        <v>185.4</v>
      </c>
      <c r="F1388" s="33">
        <v>4</v>
      </c>
      <c r="G1388" s="34">
        <v>741.6</v>
      </c>
      <c r="H1388" s="33" t="s">
        <v>325</v>
      </c>
      <c r="I1388" s="33" t="str">
        <f t="shared" si="42"/>
        <v>Medium sales</v>
      </c>
      <c r="J1388" s="33" t="str">
        <f t="shared" si="43"/>
        <v>not eligible</v>
      </c>
    </row>
    <row r="1389" spans="1:10" x14ac:dyDescent="0.35">
      <c r="A1389" s="31">
        <v>45235.132638888892</v>
      </c>
      <c r="B1389" s="32">
        <v>0.81752314814814808</v>
      </c>
      <c r="C1389" s="33" t="s">
        <v>14</v>
      </c>
      <c r="D1389" s="33" t="s">
        <v>12</v>
      </c>
      <c r="E1389" s="34">
        <v>107.87</v>
      </c>
      <c r="F1389" s="33">
        <v>1</v>
      </c>
      <c r="G1389" s="34">
        <v>107.87</v>
      </c>
      <c r="H1389" s="33" t="s">
        <v>392</v>
      </c>
      <c r="I1389" s="33" t="str">
        <f t="shared" si="42"/>
        <v>Low sales</v>
      </c>
      <c r="J1389" s="33" t="str">
        <f t="shared" si="43"/>
        <v>not eligible</v>
      </c>
    </row>
    <row r="1390" spans="1:10" x14ac:dyDescent="0.35">
      <c r="A1390" s="31">
        <v>45351.122916666667</v>
      </c>
      <c r="B1390" s="32">
        <v>0.34688657407407408</v>
      </c>
      <c r="C1390" s="33" t="s">
        <v>11</v>
      </c>
      <c r="D1390" s="33" t="s">
        <v>27</v>
      </c>
      <c r="E1390" s="34">
        <v>298.02999999999997</v>
      </c>
      <c r="F1390" s="33">
        <v>5</v>
      </c>
      <c r="G1390" s="34">
        <v>1490.15</v>
      </c>
      <c r="H1390" s="33" t="s">
        <v>36</v>
      </c>
      <c r="I1390" s="33" t="str">
        <f t="shared" si="42"/>
        <v>Medium sales</v>
      </c>
      <c r="J1390" s="33" t="str">
        <f t="shared" si="43"/>
        <v>eligible</v>
      </c>
    </row>
    <row r="1391" spans="1:10" x14ac:dyDescent="0.35">
      <c r="A1391" s="31">
        <v>45098.453472222223</v>
      </c>
      <c r="B1391" s="32">
        <v>0.34576388888888893</v>
      </c>
      <c r="C1391" s="33" t="s">
        <v>8</v>
      </c>
      <c r="D1391" s="33" t="s">
        <v>9</v>
      </c>
      <c r="E1391" s="34">
        <v>170.13</v>
      </c>
      <c r="F1391" s="33">
        <v>3</v>
      </c>
      <c r="G1391" s="34">
        <v>510.39</v>
      </c>
      <c r="H1391" s="33" t="s">
        <v>102</v>
      </c>
      <c r="I1391" s="33" t="str">
        <f t="shared" si="42"/>
        <v>Medium sales</v>
      </c>
      <c r="J1391" s="33" t="str">
        <f t="shared" si="43"/>
        <v>not eligible</v>
      </c>
    </row>
    <row r="1392" spans="1:10" x14ac:dyDescent="0.35">
      <c r="A1392" s="31">
        <v>45137.311805555553</v>
      </c>
      <c r="B1392" s="32">
        <v>0.57765046296296296</v>
      </c>
      <c r="C1392" s="33" t="s">
        <v>11</v>
      </c>
      <c r="D1392" s="33" t="s">
        <v>16</v>
      </c>
      <c r="E1392" s="34">
        <v>310.10000000000002</v>
      </c>
      <c r="F1392" s="33">
        <v>3</v>
      </c>
      <c r="G1392" s="34">
        <v>930.3</v>
      </c>
      <c r="H1392" s="33" t="s">
        <v>229</v>
      </c>
      <c r="I1392" s="33" t="str">
        <f t="shared" si="42"/>
        <v>Medium sales</v>
      </c>
      <c r="J1392" s="33" t="str">
        <f t="shared" si="43"/>
        <v>not eligible</v>
      </c>
    </row>
    <row r="1393" spans="1:10" x14ac:dyDescent="0.35">
      <c r="A1393" s="31">
        <v>45420.150694444441</v>
      </c>
      <c r="B1393" s="32">
        <v>0.25980324074074074</v>
      </c>
      <c r="C1393" s="33" t="s">
        <v>11</v>
      </c>
      <c r="D1393" s="33" t="s">
        <v>12</v>
      </c>
      <c r="E1393" s="34">
        <v>126.17</v>
      </c>
      <c r="F1393" s="33">
        <v>1</v>
      </c>
      <c r="G1393" s="34">
        <v>126.17</v>
      </c>
      <c r="H1393" s="33" t="s">
        <v>102</v>
      </c>
      <c r="I1393" s="33" t="str">
        <f t="shared" si="42"/>
        <v>Low sales</v>
      </c>
      <c r="J1393" s="33" t="str">
        <f t="shared" si="43"/>
        <v>not eligible</v>
      </c>
    </row>
    <row r="1394" spans="1:10" x14ac:dyDescent="0.35">
      <c r="A1394" s="31">
        <v>45146.135416666664</v>
      </c>
      <c r="B1394" s="32">
        <v>0.72528935185185184</v>
      </c>
      <c r="C1394" s="33" t="s">
        <v>14</v>
      </c>
      <c r="D1394" s="33" t="s">
        <v>9</v>
      </c>
      <c r="E1394" s="34">
        <v>109.96</v>
      </c>
      <c r="F1394" s="33">
        <v>4</v>
      </c>
      <c r="G1394" s="34">
        <v>439.84</v>
      </c>
      <c r="H1394" s="33" t="s">
        <v>150</v>
      </c>
      <c r="I1394" s="33" t="str">
        <f t="shared" si="42"/>
        <v>Low sales</v>
      </c>
      <c r="J1394" s="33" t="str">
        <f t="shared" si="43"/>
        <v>not eligible</v>
      </c>
    </row>
    <row r="1395" spans="1:10" x14ac:dyDescent="0.35">
      <c r="A1395" s="31">
        <v>45094.257638888892</v>
      </c>
      <c r="B1395" s="32">
        <v>0.25839120370370372</v>
      </c>
      <c r="C1395" s="33" t="s">
        <v>14</v>
      </c>
      <c r="D1395" s="33" t="s">
        <v>9</v>
      </c>
      <c r="E1395" s="34">
        <v>301.92</v>
      </c>
      <c r="F1395" s="33">
        <v>2</v>
      </c>
      <c r="G1395" s="34">
        <v>603.84</v>
      </c>
      <c r="H1395" s="33" t="s">
        <v>382</v>
      </c>
      <c r="I1395" s="33" t="str">
        <f t="shared" si="42"/>
        <v>Medium sales</v>
      </c>
      <c r="J1395" s="33" t="str">
        <f t="shared" si="43"/>
        <v>not eligible</v>
      </c>
    </row>
    <row r="1396" spans="1:10" x14ac:dyDescent="0.35">
      <c r="A1396" s="31">
        <v>45234.190972222219</v>
      </c>
      <c r="B1396" s="32">
        <v>0.69630787037037034</v>
      </c>
      <c r="C1396" s="33" t="s">
        <v>11</v>
      </c>
      <c r="D1396" s="33" t="s">
        <v>16</v>
      </c>
      <c r="E1396" s="34">
        <v>243.94</v>
      </c>
      <c r="F1396" s="33">
        <v>2</v>
      </c>
      <c r="G1396" s="34">
        <v>487.88</v>
      </c>
      <c r="H1396" s="33" t="s">
        <v>329</v>
      </c>
      <c r="I1396" s="33" t="str">
        <f t="shared" si="42"/>
        <v>Low sales</v>
      </c>
      <c r="J1396" s="33" t="str">
        <f t="shared" si="43"/>
        <v>not eligible</v>
      </c>
    </row>
    <row r="1397" spans="1:10" x14ac:dyDescent="0.35">
      <c r="A1397" s="31">
        <v>44958.895833333336</v>
      </c>
      <c r="B1397" s="32">
        <v>0.55211805555555549</v>
      </c>
      <c r="C1397" s="33" t="s">
        <v>14</v>
      </c>
      <c r="D1397" s="33" t="s">
        <v>9</v>
      </c>
      <c r="E1397" s="34">
        <v>182.35</v>
      </c>
      <c r="F1397" s="33">
        <v>1</v>
      </c>
      <c r="G1397" s="34">
        <v>182.35</v>
      </c>
      <c r="H1397" s="33" t="s">
        <v>138</v>
      </c>
      <c r="I1397" s="33" t="str">
        <f t="shared" si="42"/>
        <v>Low sales</v>
      </c>
      <c r="J1397" s="33" t="str">
        <f t="shared" si="43"/>
        <v>not eligible</v>
      </c>
    </row>
    <row r="1398" spans="1:10" x14ac:dyDescent="0.35">
      <c r="A1398" s="31">
        <v>45517.025000000001</v>
      </c>
      <c r="B1398" s="32">
        <v>0.54864583333333339</v>
      </c>
      <c r="C1398" s="33" t="s">
        <v>14</v>
      </c>
      <c r="D1398" s="33" t="s">
        <v>27</v>
      </c>
      <c r="E1398" s="34">
        <v>77.349999999999994</v>
      </c>
      <c r="F1398" s="33">
        <v>4</v>
      </c>
      <c r="G1398" s="34">
        <v>309.39999999999998</v>
      </c>
      <c r="H1398" s="33" t="s">
        <v>354</v>
      </c>
      <c r="I1398" s="33" t="str">
        <f t="shared" si="42"/>
        <v>Low sales</v>
      </c>
      <c r="J1398" s="33" t="str">
        <f t="shared" si="43"/>
        <v>not eligible</v>
      </c>
    </row>
    <row r="1399" spans="1:10" x14ac:dyDescent="0.35">
      <c r="A1399" s="31">
        <v>45634.307638888888</v>
      </c>
      <c r="B1399" s="32">
        <v>0.48403935185185182</v>
      </c>
      <c r="C1399" s="33" t="s">
        <v>11</v>
      </c>
      <c r="D1399" s="33" t="s">
        <v>9</v>
      </c>
      <c r="E1399" s="34">
        <v>295.89</v>
      </c>
      <c r="F1399" s="33">
        <v>5</v>
      </c>
      <c r="G1399" s="34">
        <v>1479.45</v>
      </c>
      <c r="H1399" s="33" t="s">
        <v>202</v>
      </c>
      <c r="I1399" s="33" t="str">
        <f t="shared" si="42"/>
        <v>Medium sales</v>
      </c>
      <c r="J1399" s="33" t="str">
        <f t="shared" si="43"/>
        <v>eligible</v>
      </c>
    </row>
    <row r="1400" spans="1:10" x14ac:dyDescent="0.35">
      <c r="A1400" s="31">
        <v>45313.259722222225</v>
      </c>
      <c r="B1400" s="32">
        <v>0.75023148148148155</v>
      </c>
      <c r="C1400" s="33" t="s">
        <v>8</v>
      </c>
      <c r="D1400" s="33" t="s">
        <v>27</v>
      </c>
      <c r="E1400" s="34">
        <v>185.23</v>
      </c>
      <c r="F1400" s="33">
        <v>4</v>
      </c>
      <c r="G1400" s="34">
        <v>740.92</v>
      </c>
      <c r="H1400" s="33" t="s">
        <v>321</v>
      </c>
      <c r="I1400" s="33" t="str">
        <f t="shared" si="42"/>
        <v>Medium sales</v>
      </c>
      <c r="J1400" s="33" t="str">
        <f t="shared" si="43"/>
        <v>not eligible</v>
      </c>
    </row>
    <row r="1401" spans="1:10" x14ac:dyDescent="0.35">
      <c r="A1401" s="31">
        <v>45112.436111111114</v>
      </c>
      <c r="B1401" s="32">
        <v>0.63663194444444449</v>
      </c>
      <c r="C1401" s="33" t="s">
        <v>8</v>
      </c>
      <c r="D1401" s="33" t="s">
        <v>27</v>
      </c>
      <c r="E1401" s="34">
        <v>130.41999999999999</v>
      </c>
      <c r="F1401" s="33">
        <v>2</v>
      </c>
      <c r="G1401" s="34">
        <v>260.83999999999997</v>
      </c>
      <c r="H1401" s="33" t="s">
        <v>42</v>
      </c>
      <c r="I1401" s="33" t="str">
        <f t="shared" si="42"/>
        <v>Low sales</v>
      </c>
      <c r="J1401" s="33" t="str">
        <f t="shared" si="43"/>
        <v>not eligible</v>
      </c>
    </row>
    <row r="1402" spans="1:10" x14ac:dyDescent="0.35">
      <c r="A1402" s="31">
        <v>45290.433333333334</v>
      </c>
      <c r="B1402" s="32">
        <v>0.64182870370370371</v>
      </c>
      <c r="C1402" s="33" t="s">
        <v>14</v>
      </c>
      <c r="D1402" s="33" t="s">
        <v>20</v>
      </c>
      <c r="E1402" s="34">
        <v>389.04</v>
      </c>
      <c r="F1402" s="33">
        <v>1</v>
      </c>
      <c r="G1402" s="34">
        <v>389.04</v>
      </c>
      <c r="H1402" s="33" t="s">
        <v>397</v>
      </c>
      <c r="I1402" s="33" t="str">
        <f t="shared" si="42"/>
        <v>Low sales</v>
      </c>
      <c r="J1402" s="33" t="str">
        <f t="shared" si="43"/>
        <v>not eligible</v>
      </c>
    </row>
    <row r="1403" spans="1:10" x14ac:dyDescent="0.35">
      <c r="A1403" s="31">
        <v>45094.276388888888</v>
      </c>
      <c r="B1403" s="32">
        <v>0.23133101851851853</v>
      </c>
      <c r="C1403" s="33" t="s">
        <v>8</v>
      </c>
      <c r="D1403" s="33" t="s">
        <v>16</v>
      </c>
      <c r="E1403" s="34">
        <v>80.98</v>
      </c>
      <c r="F1403" s="33">
        <v>1</v>
      </c>
      <c r="G1403" s="34">
        <v>80.98</v>
      </c>
      <c r="H1403" s="33" t="s">
        <v>309</v>
      </c>
      <c r="I1403" s="33" t="str">
        <f t="shared" si="42"/>
        <v>Low sales</v>
      </c>
      <c r="J1403" s="33" t="str">
        <f t="shared" si="43"/>
        <v>not eligible</v>
      </c>
    </row>
    <row r="1404" spans="1:10" x14ac:dyDescent="0.35">
      <c r="A1404" s="31">
        <v>45062.716666666667</v>
      </c>
      <c r="B1404" s="32">
        <v>0.90180555555555564</v>
      </c>
      <c r="C1404" s="33" t="s">
        <v>14</v>
      </c>
      <c r="D1404" s="33" t="s">
        <v>20</v>
      </c>
      <c r="E1404" s="34">
        <v>358.88</v>
      </c>
      <c r="F1404" s="33">
        <v>4</v>
      </c>
      <c r="G1404" s="34">
        <v>1435.52</v>
      </c>
      <c r="H1404" s="33" t="s">
        <v>227</v>
      </c>
      <c r="I1404" s="33" t="str">
        <f t="shared" si="42"/>
        <v>Medium sales</v>
      </c>
      <c r="J1404" s="33" t="str">
        <f t="shared" si="43"/>
        <v>not eligible</v>
      </c>
    </row>
    <row r="1405" spans="1:10" x14ac:dyDescent="0.35">
      <c r="A1405" s="31">
        <v>45474.45</v>
      </c>
      <c r="B1405" s="32">
        <v>0.16365740740740739</v>
      </c>
      <c r="C1405" s="33" t="s">
        <v>8</v>
      </c>
      <c r="D1405" s="33" t="s">
        <v>27</v>
      </c>
      <c r="E1405" s="34">
        <v>492.06</v>
      </c>
      <c r="F1405" s="33">
        <v>1</v>
      </c>
      <c r="G1405" s="34">
        <v>492.06</v>
      </c>
      <c r="H1405" s="33" t="s">
        <v>183</v>
      </c>
      <c r="I1405" s="33" t="str">
        <f t="shared" si="42"/>
        <v>Low sales</v>
      </c>
      <c r="J1405" s="33" t="str">
        <f t="shared" si="43"/>
        <v>not eligible</v>
      </c>
    </row>
    <row r="1406" spans="1:10" x14ac:dyDescent="0.35">
      <c r="A1406" s="31">
        <v>45469.301388888889</v>
      </c>
      <c r="B1406" s="32">
        <v>0.22636574074074076</v>
      </c>
      <c r="C1406" s="33" t="s">
        <v>14</v>
      </c>
      <c r="D1406" s="33" t="s">
        <v>9</v>
      </c>
      <c r="E1406" s="34">
        <v>47.42</v>
      </c>
      <c r="F1406" s="33">
        <v>1</v>
      </c>
      <c r="G1406" s="34">
        <v>47.42</v>
      </c>
      <c r="H1406" s="33" t="s">
        <v>299</v>
      </c>
      <c r="I1406" s="33" t="str">
        <f t="shared" si="42"/>
        <v>Low sales</v>
      </c>
      <c r="J1406" s="33" t="str">
        <f t="shared" si="43"/>
        <v>not eligible</v>
      </c>
    </row>
    <row r="1407" spans="1:10" x14ac:dyDescent="0.35">
      <c r="A1407" s="31">
        <v>45507.564583333333</v>
      </c>
      <c r="B1407" s="32">
        <v>0.84347222222222218</v>
      </c>
      <c r="C1407" s="33" t="s">
        <v>11</v>
      </c>
      <c r="D1407" s="33" t="s">
        <v>27</v>
      </c>
      <c r="E1407" s="34">
        <v>93.83</v>
      </c>
      <c r="F1407" s="33">
        <v>4</v>
      </c>
      <c r="G1407" s="34">
        <v>375.32</v>
      </c>
      <c r="H1407" s="33" t="s">
        <v>190</v>
      </c>
      <c r="I1407" s="33" t="str">
        <f t="shared" si="42"/>
        <v>Low sales</v>
      </c>
      <c r="J1407" s="33" t="str">
        <f t="shared" si="43"/>
        <v>not eligible</v>
      </c>
    </row>
    <row r="1408" spans="1:10" x14ac:dyDescent="0.35">
      <c r="A1408" s="31">
        <v>45127.467361111114</v>
      </c>
      <c r="B1408" s="32">
        <v>0.80747685185185192</v>
      </c>
      <c r="C1408" s="33" t="s">
        <v>11</v>
      </c>
      <c r="D1408" s="33" t="s">
        <v>20</v>
      </c>
      <c r="E1408" s="34">
        <v>166.32</v>
      </c>
      <c r="F1408" s="33">
        <v>5</v>
      </c>
      <c r="G1408" s="34">
        <v>831.6</v>
      </c>
      <c r="H1408" s="33" t="s">
        <v>250</v>
      </c>
      <c r="I1408" s="33" t="str">
        <f t="shared" si="42"/>
        <v>Medium sales</v>
      </c>
      <c r="J1408" s="33" t="str">
        <f t="shared" si="43"/>
        <v>not eligible</v>
      </c>
    </row>
    <row r="1409" spans="1:10" x14ac:dyDescent="0.35">
      <c r="A1409" s="31">
        <v>45317.067361111112</v>
      </c>
      <c r="B1409" s="32">
        <v>3.0532407407407411E-2</v>
      </c>
      <c r="C1409" s="33" t="s">
        <v>11</v>
      </c>
      <c r="D1409" s="33" t="s">
        <v>12</v>
      </c>
      <c r="E1409" s="34">
        <v>441.61</v>
      </c>
      <c r="F1409" s="33">
        <v>5</v>
      </c>
      <c r="G1409" s="34">
        <v>2208.0500000000002</v>
      </c>
      <c r="H1409" s="33" t="s">
        <v>384</v>
      </c>
      <c r="I1409" s="33" t="str">
        <f t="shared" si="42"/>
        <v>High sales</v>
      </c>
      <c r="J1409" s="33" t="str">
        <f t="shared" si="43"/>
        <v>eligible</v>
      </c>
    </row>
    <row r="1410" spans="1:10" x14ac:dyDescent="0.35">
      <c r="A1410" s="31">
        <v>44932.250694444447</v>
      </c>
      <c r="B1410" s="32">
        <v>0.78162037037037047</v>
      </c>
      <c r="C1410" s="33" t="s">
        <v>8</v>
      </c>
      <c r="D1410" s="33" t="s">
        <v>27</v>
      </c>
      <c r="E1410" s="34">
        <v>268.22000000000003</v>
      </c>
      <c r="F1410" s="33">
        <v>5</v>
      </c>
      <c r="G1410" s="34">
        <v>1341.1</v>
      </c>
      <c r="H1410" s="33" t="s">
        <v>401</v>
      </c>
      <c r="I1410" s="33" t="str">
        <f t="shared" si="42"/>
        <v>Medium sales</v>
      </c>
      <c r="J1410" s="33" t="str">
        <f t="shared" si="43"/>
        <v>not eligible</v>
      </c>
    </row>
    <row r="1411" spans="1:10" x14ac:dyDescent="0.35">
      <c r="A1411" s="31">
        <v>45573.162499999999</v>
      </c>
      <c r="B1411" s="32">
        <v>0.94004629629629621</v>
      </c>
      <c r="C1411" s="33" t="s">
        <v>14</v>
      </c>
      <c r="D1411" s="33" t="s">
        <v>20</v>
      </c>
      <c r="E1411" s="34">
        <v>400.08</v>
      </c>
      <c r="F1411" s="33">
        <v>4</v>
      </c>
      <c r="G1411" s="34">
        <v>1600.32</v>
      </c>
      <c r="H1411" s="33" t="s">
        <v>179</v>
      </c>
      <c r="I1411" s="33" t="str">
        <f t="shared" ref="I1411:I1474" si="44">IF(G1411&gt;1500,"High sales", IF(G1411&gt;500,"Medium sales", "Low sales"))</f>
        <v>High sales</v>
      </c>
      <c r="J1411" s="33" t="str">
        <f t="shared" ref="J1411:J1474" si="45">IF(AND(G1411&gt;1000,C1411="Premium"), "eligible", "not eligible")</f>
        <v>not eligible</v>
      </c>
    </row>
    <row r="1412" spans="1:10" x14ac:dyDescent="0.35">
      <c r="A1412" s="31">
        <v>45086.906944444447</v>
      </c>
      <c r="B1412" s="32">
        <v>0.55678240740740736</v>
      </c>
      <c r="C1412" s="33" t="s">
        <v>8</v>
      </c>
      <c r="D1412" s="33" t="s">
        <v>20</v>
      </c>
      <c r="E1412" s="34">
        <v>167.74</v>
      </c>
      <c r="F1412" s="33">
        <v>3</v>
      </c>
      <c r="G1412" s="34">
        <v>503.22</v>
      </c>
      <c r="H1412" s="33" t="s">
        <v>341</v>
      </c>
      <c r="I1412" s="33" t="str">
        <f t="shared" si="44"/>
        <v>Medium sales</v>
      </c>
      <c r="J1412" s="33" t="str">
        <f t="shared" si="45"/>
        <v>not eligible</v>
      </c>
    </row>
    <row r="1413" spans="1:10" x14ac:dyDescent="0.35">
      <c r="A1413" s="31">
        <v>45478.558333333334</v>
      </c>
      <c r="B1413" s="32">
        <v>0.3371527777777778</v>
      </c>
      <c r="C1413" s="33" t="s">
        <v>11</v>
      </c>
      <c r="D1413" s="33" t="s">
        <v>16</v>
      </c>
      <c r="E1413" s="34">
        <v>90.83</v>
      </c>
      <c r="F1413" s="33">
        <v>3</v>
      </c>
      <c r="G1413" s="34">
        <v>272.49</v>
      </c>
      <c r="H1413" s="33" t="s">
        <v>263</v>
      </c>
      <c r="I1413" s="33" t="str">
        <f t="shared" si="44"/>
        <v>Low sales</v>
      </c>
      <c r="J1413" s="33" t="str">
        <f t="shared" si="45"/>
        <v>not eligible</v>
      </c>
    </row>
    <row r="1414" spans="1:10" x14ac:dyDescent="0.35">
      <c r="A1414" s="31">
        <v>45655.865277777775</v>
      </c>
      <c r="B1414" s="32">
        <v>0.18579861111111109</v>
      </c>
      <c r="C1414" s="33" t="s">
        <v>14</v>
      </c>
      <c r="D1414" s="33" t="s">
        <v>12</v>
      </c>
      <c r="E1414" s="34">
        <v>172.49</v>
      </c>
      <c r="F1414" s="33">
        <v>2</v>
      </c>
      <c r="G1414" s="34">
        <v>344.98</v>
      </c>
      <c r="H1414" s="33" t="s">
        <v>326</v>
      </c>
      <c r="I1414" s="33" t="str">
        <f t="shared" si="44"/>
        <v>Low sales</v>
      </c>
      <c r="J1414" s="33" t="str">
        <f t="shared" si="45"/>
        <v>not eligible</v>
      </c>
    </row>
    <row r="1415" spans="1:10" x14ac:dyDescent="0.35">
      <c r="A1415" s="31">
        <v>45150.686805555553</v>
      </c>
      <c r="B1415" s="32">
        <v>0.45065972222222223</v>
      </c>
      <c r="C1415" s="33" t="s">
        <v>11</v>
      </c>
      <c r="D1415" s="33" t="s">
        <v>27</v>
      </c>
      <c r="E1415" s="34">
        <v>106</v>
      </c>
      <c r="F1415" s="33">
        <v>5</v>
      </c>
      <c r="G1415" s="34">
        <v>530</v>
      </c>
      <c r="H1415" s="33" t="s">
        <v>405</v>
      </c>
      <c r="I1415" s="33" t="str">
        <f t="shared" si="44"/>
        <v>Medium sales</v>
      </c>
      <c r="J1415" s="33" t="str">
        <f t="shared" si="45"/>
        <v>not eligible</v>
      </c>
    </row>
    <row r="1416" spans="1:10" x14ac:dyDescent="0.35">
      <c r="A1416" s="31">
        <v>45478.723611111112</v>
      </c>
      <c r="B1416" s="32">
        <v>0.39780092592592592</v>
      </c>
      <c r="C1416" s="33" t="s">
        <v>14</v>
      </c>
      <c r="D1416" s="33" t="s">
        <v>27</v>
      </c>
      <c r="E1416" s="34">
        <v>416.74</v>
      </c>
      <c r="F1416" s="33">
        <v>5</v>
      </c>
      <c r="G1416" s="34">
        <v>2083.6999999999998</v>
      </c>
      <c r="H1416" s="33" t="s">
        <v>354</v>
      </c>
      <c r="I1416" s="33" t="str">
        <f t="shared" si="44"/>
        <v>High sales</v>
      </c>
      <c r="J1416" s="33" t="str">
        <f t="shared" si="45"/>
        <v>not eligible</v>
      </c>
    </row>
    <row r="1417" spans="1:10" x14ac:dyDescent="0.35">
      <c r="A1417" s="31">
        <v>45240.503472222219</v>
      </c>
      <c r="B1417" s="32">
        <v>0.25187500000000002</v>
      </c>
      <c r="C1417" s="33" t="s">
        <v>8</v>
      </c>
      <c r="D1417" s="33" t="s">
        <v>12</v>
      </c>
      <c r="E1417" s="34">
        <v>88.84</v>
      </c>
      <c r="F1417" s="33">
        <v>2</v>
      </c>
      <c r="G1417" s="34">
        <v>177.68</v>
      </c>
      <c r="H1417" s="33" t="s">
        <v>48</v>
      </c>
      <c r="I1417" s="33" t="str">
        <f t="shared" si="44"/>
        <v>Low sales</v>
      </c>
      <c r="J1417" s="33" t="str">
        <f t="shared" si="45"/>
        <v>not eligible</v>
      </c>
    </row>
    <row r="1418" spans="1:10" x14ac:dyDescent="0.35">
      <c r="A1418" s="31">
        <v>45231.752083333333</v>
      </c>
      <c r="B1418" s="32">
        <v>0.22011574074074072</v>
      </c>
      <c r="C1418" s="33" t="s">
        <v>14</v>
      </c>
      <c r="D1418" s="33" t="s">
        <v>27</v>
      </c>
      <c r="E1418" s="34">
        <v>345.13</v>
      </c>
      <c r="F1418" s="33">
        <v>3</v>
      </c>
      <c r="G1418" s="34">
        <v>1035.3900000000001</v>
      </c>
      <c r="H1418" s="33" t="s">
        <v>277</v>
      </c>
      <c r="I1418" s="33" t="str">
        <f t="shared" si="44"/>
        <v>Medium sales</v>
      </c>
      <c r="J1418" s="33" t="str">
        <f t="shared" si="45"/>
        <v>not eligible</v>
      </c>
    </row>
    <row r="1419" spans="1:10" x14ac:dyDescent="0.35">
      <c r="A1419" s="31">
        <v>45202.798611111109</v>
      </c>
      <c r="B1419" s="32">
        <v>0.70626157407407408</v>
      </c>
      <c r="C1419" s="33" t="s">
        <v>11</v>
      </c>
      <c r="D1419" s="33" t="s">
        <v>12</v>
      </c>
      <c r="E1419" s="34">
        <v>234.87</v>
      </c>
      <c r="F1419" s="33">
        <v>1</v>
      </c>
      <c r="G1419" s="34">
        <v>234.87</v>
      </c>
      <c r="H1419" s="33" t="s">
        <v>391</v>
      </c>
      <c r="I1419" s="33" t="str">
        <f t="shared" si="44"/>
        <v>Low sales</v>
      </c>
      <c r="J1419" s="33" t="str">
        <f t="shared" si="45"/>
        <v>not eligible</v>
      </c>
    </row>
    <row r="1420" spans="1:10" x14ac:dyDescent="0.35">
      <c r="A1420" s="31">
        <v>44995.683333333334</v>
      </c>
      <c r="B1420" s="32">
        <v>9.7731481481481475E-2</v>
      </c>
      <c r="C1420" s="33" t="s">
        <v>8</v>
      </c>
      <c r="D1420" s="33" t="s">
        <v>16</v>
      </c>
      <c r="E1420" s="34">
        <v>188.42</v>
      </c>
      <c r="F1420" s="33">
        <v>1</v>
      </c>
      <c r="G1420" s="34">
        <v>188.42</v>
      </c>
      <c r="H1420" s="33" t="s">
        <v>288</v>
      </c>
      <c r="I1420" s="33" t="str">
        <f t="shared" si="44"/>
        <v>Low sales</v>
      </c>
      <c r="J1420" s="33" t="str">
        <f t="shared" si="45"/>
        <v>not eligible</v>
      </c>
    </row>
    <row r="1421" spans="1:10" x14ac:dyDescent="0.35">
      <c r="A1421" s="31">
        <v>45645.969444444447</v>
      </c>
      <c r="B1421" s="32">
        <v>0.70108796296296294</v>
      </c>
      <c r="C1421" s="33" t="s">
        <v>14</v>
      </c>
      <c r="D1421" s="33" t="s">
        <v>20</v>
      </c>
      <c r="E1421" s="34">
        <v>331.16</v>
      </c>
      <c r="F1421" s="33">
        <v>5</v>
      </c>
      <c r="G1421" s="34">
        <v>1655.8</v>
      </c>
      <c r="H1421" s="33" t="s">
        <v>154</v>
      </c>
      <c r="I1421" s="33" t="str">
        <f t="shared" si="44"/>
        <v>High sales</v>
      </c>
      <c r="J1421" s="33" t="str">
        <f t="shared" si="45"/>
        <v>not eligible</v>
      </c>
    </row>
    <row r="1422" spans="1:10" x14ac:dyDescent="0.35">
      <c r="A1422" s="31">
        <v>45360.931944444441</v>
      </c>
      <c r="B1422" s="32">
        <v>0.31025462962962963</v>
      </c>
      <c r="C1422" s="33" t="s">
        <v>14</v>
      </c>
      <c r="D1422" s="33" t="s">
        <v>20</v>
      </c>
      <c r="E1422" s="34">
        <v>310.39999999999998</v>
      </c>
      <c r="F1422" s="33">
        <v>2</v>
      </c>
      <c r="G1422" s="34">
        <v>620.79999999999995</v>
      </c>
      <c r="H1422" s="33" t="s">
        <v>140</v>
      </c>
      <c r="I1422" s="33" t="str">
        <f t="shared" si="44"/>
        <v>Medium sales</v>
      </c>
      <c r="J1422" s="33" t="str">
        <f t="shared" si="45"/>
        <v>not eligible</v>
      </c>
    </row>
    <row r="1423" spans="1:10" x14ac:dyDescent="0.35">
      <c r="A1423" s="31">
        <v>45074.809027777781</v>
      </c>
      <c r="B1423" s="32">
        <v>0.71864583333333332</v>
      </c>
      <c r="C1423" s="33" t="s">
        <v>11</v>
      </c>
      <c r="D1423" s="33" t="s">
        <v>12</v>
      </c>
      <c r="E1423" s="34">
        <v>207.13</v>
      </c>
      <c r="F1423" s="33">
        <v>1</v>
      </c>
      <c r="G1423" s="34">
        <v>207.13</v>
      </c>
      <c r="H1423" s="33" t="s">
        <v>39</v>
      </c>
      <c r="I1423" s="33" t="str">
        <f t="shared" si="44"/>
        <v>Low sales</v>
      </c>
      <c r="J1423" s="33" t="str">
        <f t="shared" si="45"/>
        <v>not eligible</v>
      </c>
    </row>
    <row r="1424" spans="1:10" x14ac:dyDescent="0.35">
      <c r="A1424" s="31">
        <v>44976.439583333333</v>
      </c>
      <c r="B1424" s="32">
        <v>0.60887731481481489</v>
      </c>
      <c r="C1424" s="33" t="s">
        <v>11</v>
      </c>
      <c r="D1424" s="33" t="s">
        <v>12</v>
      </c>
      <c r="E1424" s="34">
        <v>194.62</v>
      </c>
      <c r="F1424" s="33">
        <v>4</v>
      </c>
      <c r="G1424" s="34">
        <v>778.48</v>
      </c>
      <c r="H1424" s="33" t="s">
        <v>251</v>
      </c>
      <c r="I1424" s="33" t="str">
        <f t="shared" si="44"/>
        <v>Medium sales</v>
      </c>
      <c r="J1424" s="33" t="str">
        <f t="shared" si="45"/>
        <v>not eligible</v>
      </c>
    </row>
    <row r="1425" spans="1:10" x14ac:dyDescent="0.35">
      <c r="A1425" s="31">
        <v>45071.061111111114</v>
      </c>
      <c r="B1425" s="32">
        <v>0.42403935185185188</v>
      </c>
      <c r="C1425" s="33" t="s">
        <v>8</v>
      </c>
      <c r="D1425" s="33" t="s">
        <v>20</v>
      </c>
      <c r="E1425" s="34">
        <v>345.6</v>
      </c>
      <c r="F1425" s="33">
        <v>5</v>
      </c>
      <c r="G1425" s="34">
        <v>1728</v>
      </c>
      <c r="H1425" s="33" t="s">
        <v>111</v>
      </c>
      <c r="I1425" s="33" t="str">
        <f t="shared" si="44"/>
        <v>High sales</v>
      </c>
      <c r="J1425" s="33" t="str">
        <f t="shared" si="45"/>
        <v>not eligible</v>
      </c>
    </row>
    <row r="1426" spans="1:10" x14ac:dyDescent="0.35">
      <c r="A1426" s="31">
        <v>44968.132638888892</v>
      </c>
      <c r="B1426" s="32">
        <v>0.92423611111111115</v>
      </c>
      <c r="C1426" s="33" t="s">
        <v>8</v>
      </c>
      <c r="D1426" s="33" t="s">
        <v>9</v>
      </c>
      <c r="E1426" s="34">
        <v>162.53</v>
      </c>
      <c r="F1426" s="33">
        <v>1</v>
      </c>
      <c r="G1426" s="34">
        <v>162.53</v>
      </c>
      <c r="H1426" s="33" t="s">
        <v>370</v>
      </c>
      <c r="I1426" s="33" t="str">
        <f t="shared" si="44"/>
        <v>Low sales</v>
      </c>
      <c r="J1426" s="33" t="str">
        <f t="shared" si="45"/>
        <v>not eligible</v>
      </c>
    </row>
    <row r="1427" spans="1:10" x14ac:dyDescent="0.35">
      <c r="A1427" s="31">
        <v>45304.425694444442</v>
      </c>
      <c r="B1427" s="32">
        <v>0.7091319444444445</v>
      </c>
      <c r="C1427" s="33" t="s">
        <v>8</v>
      </c>
      <c r="D1427" s="33" t="s">
        <v>20</v>
      </c>
      <c r="E1427" s="34">
        <v>383.87</v>
      </c>
      <c r="F1427" s="33">
        <v>4</v>
      </c>
      <c r="G1427" s="34">
        <v>1535.48</v>
      </c>
      <c r="H1427" s="33" t="s">
        <v>181</v>
      </c>
      <c r="I1427" s="33" t="str">
        <f t="shared" si="44"/>
        <v>High sales</v>
      </c>
      <c r="J1427" s="33" t="str">
        <f t="shared" si="45"/>
        <v>not eligible</v>
      </c>
    </row>
    <row r="1428" spans="1:10" x14ac:dyDescent="0.35">
      <c r="A1428" s="31">
        <v>44954.815972222219</v>
      </c>
      <c r="B1428" s="32">
        <v>0.77543981481481483</v>
      </c>
      <c r="C1428" s="33" t="s">
        <v>8</v>
      </c>
      <c r="D1428" s="33" t="s">
        <v>16</v>
      </c>
      <c r="E1428" s="34">
        <v>424</v>
      </c>
      <c r="F1428" s="33">
        <v>1</v>
      </c>
      <c r="G1428" s="34">
        <v>424</v>
      </c>
      <c r="H1428" s="33" t="s">
        <v>297</v>
      </c>
      <c r="I1428" s="33" t="str">
        <f t="shared" si="44"/>
        <v>Low sales</v>
      </c>
      <c r="J1428" s="33" t="str">
        <f t="shared" si="45"/>
        <v>not eligible</v>
      </c>
    </row>
    <row r="1429" spans="1:10" x14ac:dyDescent="0.35">
      <c r="A1429" s="31">
        <v>45335.747916666667</v>
      </c>
      <c r="B1429" s="32">
        <v>0.64701388888888889</v>
      </c>
      <c r="C1429" s="33" t="s">
        <v>14</v>
      </c>
      <c r="D1429" s="33" t="s">
        <v>20</v>
      </c>
      <c r="E1429" s="34">
        <v>274.24</v>
      </c>
      <c r="F1429" s="33">
        <v>5</v>
      </c>
      <c r="G1429" s="34">
        <v>1371.2</v>
      </c>
      <c r="H1429" s="33" t="s">
        <v>31</v>
      </c>
      <c r="I1429" s="33" t="str">
        <f t="shared" si="44"/>
        <v>Medium sales</v>
      </c>
      <c r="J1429" s="33" t="str">
        <f t="shared" si="45"/>
        <v>not eligible</v>
      </c>
    </row>
    <row r="1430" spans="1:10" x14ac:dyDescent="0.35">
      <c r="A1430" s="31">
        <v>45199.936805555553</v>
      </c>
      <c r="B1430" s="32">
        <v>0.73219907407407403</v>
      </c>
      <c r="C1430" s="33" t="s">
        <v>14</v>
      </c>
      <c r="D1430" s="33" t="s">
        <v>20</v>
      </c>
      <c r="E1430" s="34">
        <v>211.66</v>
      </c>
      <c r="F1430" s="33">
        <v>1</v>
      </c>
      <c r="G1430" s="34">
        <v>211.66</v>
      </c>
      <c r="H1430" s="33" t="s">
        <v>119</v>
      </c>
      <c r="I1430" s="33" t="str">
        <f t="shared" si="44"/>
        <v>Low sales</v>
      </c>
      <c r="J1430" s="33" t="str">
        <f t="shared" si="45"/>
        <v>not eligible</v>
      </c>
    </row>
    <row r="1431" spans="1:10" x14ac:dyDescent="0.35">
      <c r="A1431" s="31">
        <v>45064.192361111112</v>
      </c>
      <c r="B1431" s="32">
        <v>0.6853935185185186</v>
      </c>
      <c r="C1431" s="33" t="s">
        <v>11</v>
      </c>
      <c r="D1431" s="33" t="s">
        <v>16</v>
      </c>
      <c r="E1431" s="34">
        <v>233.74</v>
      </c>
      <c r="F1431" s="33">
        <v>4</v>
      </c>
      <c r="G1431" s="34">
        <v>934.96</v>
      </c>
      <c r="H1431" s="33" t="s">
        <v>176</v>
      </c>
      <c r="I1431" s="33" t="str">
        <f t="shared" si="44"/>
        <v>Medium sales</v>
      </c>
      <c r="J1431" s="33" t="str">
        <f t="shared" si="45"/>
        <v>not eligible</v>
      </c>
    </row>
    <row r="1432" spans="1:10" x14ac:dyDescent="0.35">
      <c r="A1432" s="31">
        <v>44981.863888888889</v>
      </c>
      <c r="B1432" s="32">
        <v>0.43479166666666669</v>
      </c>
      <c r="C1432" s="33" t="s">
        <v>11</v>
      </c>
      <c r="D1432" s="33" t="s">
        <v>9</v>
      </c>
      <c r="E1432" s="34">
        <v>232.51</v>
      </c>
      <c r="F1432" s="33">
        <v>4</v>
      </c>
      <c r="G1432" s="34">
        <v>930.04</v>
      </c>
      <c r="H1432" s="33" t="s">
        <v>201</v>
      </c>
      <c r="I1432" s="33" t="str">
        <f t="shared" si="44"/>
        <v>Medium sales</v>
      </c>
      <c r="J1432" s="33" t="str">
        <f t="shared" si="45"/>
        <v>not eligible</v>
      </c>
    </row>
    <row r="1433" spans="1:10" x14ac:dyDescent="0.35">
      <c r="A1433" s="31">
        <v>45577.173611111109</v>
      </c>
      <c r="B1433" s="32">
        <v>0.88810185185185186</v>
      </c>
      <c r="C1433" s="33" t="s">
        <v>11</v>
      </c>
      <c r="D1433" s="33" t="s">
        <v>16</v>
      </c>
      <c r="E1433" s="34">
        <v>230.73</v>
      </c>
      <c r="F1433" s="33">
        <v>2</v>
      </c>
      <c r="G1433" s="34">
        <v>461.46</v>
      </c>
      <c r="H1433" s="33" t="s">
        <v>279</v>
      </c>
      <c r="I1433" s="33" t="str">
        <f t="shared" si="44"/>
        <v>Low sales</v>
      </c>
      <c r="J1433" s="33" t="str">
        <f t="shared" si="45"/>
        <v>not eligible</v>
      </c>
    </row>
    <row r="1434" spans="1:10" x14ac:dyDescent="0.35">
      <c r="A1434" s="31">
        <v>45105.787499999999</v>
      </c>
      <c r="B1434" s="32">
        <v>0.34115740740740735</v>
      </c>
      <c r="C1434" s="33" t="s">
        <v>8</v>
      </c>
      <c r="D1434" s="33" t="s">
        <v>20</v>
      </c>
      <c r="E1434" s="34">
        <v>34.79</v>
      </c>
      <c r="F1434" s="33">
        <v>1</v>
      </c>
      <c r="G1434" s="34">
        <v>34.79</v>
      </c>
      <c r="H1434" s="33" t="s">
        <v>390</v>
      </c>
      <c r="I1434" s="33" t="str">
        <f t="shared" si="44"/>
        <v>Low sales</v>
      </c>
      <c r="J1434" s="33" t="str">
        <f t="shared" si="45"/>
        <v>not eligible</v>
      </c>
    </row>
    <row r="1435" spans="1:10" x14ac:dyDescent="0.35">
      <c r="A1435" s="31">
        <v>45325.243055555555</v>
      </c>
      <c r="B1435" s="32">
        <v>0.9250694444444445</v>
      </c>
      <c r="C1435" s="33" t="s">
        <v>14</v>
      </c>
      <c r="D1435" s="33" t="s">
        <v>20</v>
      </c>
      <c r="E1435" s="34">
        <v>327.39</v>
      </c>
      <c r="F1435" s="33">
        <v>4</v>
      </c>
      <c r="G1435" s="34">
        <v>1309.56</v>
      </c>
      <c r="H1435" s="33" t="s">
        <v>99</v>
      </c>
      <c r="I1435" s="33" t="str">
        <f t="shared" si="44"/>
        <v>Medium sales</v>
      </c>
      <c r="J1435" s="33" t="str">
        <f t="shared" si="45"/>
        <v>not eligible</v>
      </c>
    </row>
    <row r="1436" spans="1:10" x14ac:dyDescent="0.35">
      <c r="A1436" s="31">
        <v>45147.443749999999</v>
      </c>
      <c r="B1436" s="32">
        <v>0.90905092592592596</v>
      </c>
      <c r="C1436" s="33" t="s">
        <v>14</v>
      </c>
      <c r="D1436" s="33" t="s">
        <v>9</v>
      </c>
      <c r="E1436" s="34">
        <v>480.41</v>
      </c>
      <c r="F1436" s="33">
        <v>1</v>
      </c>
      <c r="G1436" s="34">
        <v>480.41</v>
      </c>
      <c r="H1436" s="33" t="s">
        <v>387</v>
      </c>
      <c r="I1436" s="33" t="str">
        <f t="shared" si="44"/>
        <v>Low sales</v>
      </c>
      <c r="J1436" s="33" t="str">
        <f t="shared" si="45"/>
        <v>not eligible</v>
      </c>
    </row>
    <row r="1437" spans="1:10" x14ac:dyDescent="0.35">
      <c r="A1437" s="31">
        <v>45174.481249999997</v>
      </c>
      <c r="B1437" s="32">
        <v>0.44540509259259259</v>
      </c>
      <c r="C1437" s="33" t="s">
        <v>8</v>
      </c>
      <c r="D1437" s="33" t="s">
        <v>16</v>
      </c>
      <c r="E1437" s="34">
        <v>90.13</v>
      </c>
      <c r="F1437" s="33">
        <v>3</v>
      </c>
      <c r="G1437" s="34">
        <v>270.39</v>
      </c>
      <c r="H1437" s="33" t="s">
        <v>321</v>
      </c>
      <c r="I1437" s="33" t="str">
        <f t="shared" si="44"/>
        <v>Low sales</v>
      </c>
      <c r="J1437" s="33" t="str">
        <f t="shared" si="45"/>
        <v>not eligible</v>
      </c>
    </row>
    <row r="1438" spans="1:10" x14ac:dyDescent="0.35">
      <c r="A1438" s="31">
        <v>45422.015277777777</v>
      </c>
      <c r="B1438" s="32">
        <v>0.22717592592592592</v>
      </c>
      <c r="C1438" s="33" t="s">
        <v>14</v>
      </c>
      <c r="D1438" s="33" t="s">
        <v>16</v>
      </c>
      <c r="E1438" s="34">
        <v>68.790000000000006</v>
      </c>
      <c r="F1438" s="33">
        <v>1</v>
      </c>
      <c r="G1438" s="34">
        <v>68.790000000000006</v>
      </c>
      <c r="H1438" s="33" t="s">
        <v>304</v>
      </c>
      <c r="I1438" s="33" t="str">
        <f t="shared" si="44"/>
        <v>Low sales</v>
      </c>
      <c r="J1438" s="33" t="str">
        <f t="shared" si="45"/>
        <v>not eligible</v>
      </c>
    </row>
    <row r="1439" spans="1:10" x14ac:dyDescent="0.35">
      <c r="A1439" s="31">
        <v>45151.798611111109</v>
      </c>
      <c r="B1439" s="32">
        <v>0.52767361111111111</v>
      </c>
      <c r="C1439" s="33" t="s">
        <v>11</v>
      </c>
      <c r="D1439" s="33" t="s">
        <v>20</v>
      </c>
      <c r="E1439" s="34">
        <v>273.23</v>
      </c>
      <c r="F1439" s="33">
        <v>5</v>
      </c>
      <c r="G1439" s="34">
        <v>1366.15</v>
      </c>
      <c r="H1439" s="33" t="s">
        <v>214</v>
      </c>
      <c r="I1439" s="33" t="str">
        <f t="shared" si="44"/>
        <v>Medium sales</v>
      </c>
      <c r="J1439" s="33" t="str">
        <f t="shared" si="45"/>
        <v>eligible</v>
      </c>
    </row>
    <row r="1440" spans="1:10" x14ac:dyDescent="0.35">
      <c r="A1440" s="31">
        <v>45404.923611111109</v>
      </c>
      <c r="B1440" s="32">
        <v>0.62660879629629629</v>
      </c>
      <c r="C1440" s="33" t="s">
        <v>11</v>
      </c>
      <c r="D1440" s="33" t="s">
        <v>9</v>
      </c>
      <c r="E1440" s="34">
        <v>413.65</v>
      </c>
      <c r="F1440" s="33">
        <v>5</v>
      </c>
      <c r="G1440" s="34">
        <v>2068.25</v>
      </c>
      <c r="H1440" s="33" t="s">
        <v>81</v>
      </c>
      <c r="I1440" s="33" t="str">
        <f t="shared" si="44"/>
        <v>High sales</v>
      </c>
      <c r="J1440" s="33" t="str">
        <f t="shared" si="45"/>
        <v>eligible</v>
      </c>
    </row>
    <row r="1441" spans="1:10" x14ac:dyDescent="0.35">
      <c r="A1441" s="31">
        <v>45609.332638888889</v>
      </c>
      <c r="B1441" s="32">
        <v>0.87490740740740736</v>
      </c>
      <c r="C1441" s="33" t="s">
        <v>14</v>
      </c>
      <c r="D1441" s="33" t="s">
        <v>12</v>
      </c>
      <c r="E1441" s="34">
        <v>365.87</v>
      </c>
      <c r="F1441" s="33">
        <v>5</v>
      </c>
      <c r="G1441" s="34">
        <v>1829.35</v>
      </c>
      <c r="H1441" s="33" t="s">
        <v>111</v>
      </c>
      <c r="I1441" s="33" t="str">
        <f t="shared" si="44"/>
        <v>High sales</v>
      </c>
      <c r="J1441" s="33" t="str">
        <f t="shared" si="45"/>
        <v>not eligible</v>
      </c>
    </row>
    <row r="1442" spans="1:10" x14ac:dyDescent="0.35">
      <c r="A1442" s="31">
        <v>45125.106249999997</v>
      </c>
      <c r="B1442" s="32">
        <v>0.26043981481481482</v>
      </c>
      <c r="C1442" s="33" t="s">
        <v>11</v>
      </c>
      <c r="D1442" s="33" t="s">
        <v>16</v>
      </c>
      <c r="E1442" s="34">
        <v>209.24</v>
      </c>
      <c r="F1442" s="33">
        <v>4</v>
      </c>
      <c r="G1442" s="34">
        <v>836.96</v>
      </c>
      <c r="H1442" s="33" t="s">
        <v>350</v>
      </c>
      <c r="I1442" s="33" t="str">
        <f t="shared" si="44"/>
        <v>Medium sales</v>
      </c>
      <c r="J1442" s="33" t="str">
        <f t="shared" si="45"/>
        <v>not eligible</v>
      </c>
    </row>
    <row r="1443" spans="1:10" x14ac:dyDescent="0.35">
      <c r="A1443" s="31">
        <v>45337.193749999999</v>
      </c>
      <c r="B1443" s="32">
        <v>0.6404050925925926</v>
      </c>
      <c r="C1443" s="33" t="s">
        <v>11</v>
      </c>
      <c r="D1443" s="33" t="s">
        <v>12</v>
      </c>
      <c r="E1443" s="34">
        <v>120.41</v>
      </c>
      <c r="F1443" s="33">
        <v>1</v>
      </c>
      <c r="G1443" s="34">
        <v>120.41</v>
      </c>
      <c r="H1443" s="33" t="s">
        <v>23</v>
      </c>
      <c r="I1443" s="33" t="str">
        <f t="shared" si="44"/>
        <v>Low sales</v>
      </c>
      <c r="J1443" s="33" t="str">
        <f t="shared" si="45"/>
        <v>not eligible</v>
      </c>
    </row>
    <row r="1444" spans="1:10" x14ac:dyDescent="0.35">
      <c r="A1444" s="31">
        <v>45653.661111111112</v>
      </c>
      <c r="B1444" s="32">
        <v>0.11651620370370371</v>
      </c>
      <c r="C1444" s="33" t="s">
        <v>11</v>
      </c>
      <c r="D1444" s="33" t="s">
        <v>12</v>
      </c>
      <c r="E1444" s="34">
        <v>145.22999999999999</v>
      </c>
      <c r="F1444" s="33">
        <v>5</v>
      </c>
      <c r="G1444" s="34">
        <v>726.15</v>
      </c>
      <c r="H1444" s="33" t="s">
        <v>45</v>
      </c>
      <c r="I1444" s="33" t="str">
        <f t="shared" si="44"/>
        <v>Medium sales</v>
      </c>
      <c r="J1444" s="33" t="str">
        <f t="shared" si="45"/>
        <v>not eligible</v>
      </c>
    </row>
    <row r="1445" spans="1:10" x14ac:dyDescent="0.35">
      <c r="A1445" s="31">
        <v>45099.648611111108</v>
      </c>
      <c r="B1445" s="32">
        <v>0.48427083333333337</v>
      </c>
      <c r="C1445" s="33" t="s">
        <v>8</v>
      </c>
      <c r="D1445" s="33" t="s">
        <v>27</v>
      </c>
      <c r="E1445" s="34">
        <v>171.27</v>
      </c>
      <c r="F1445" s="33">
        <v>4</v>
      </c>
      <c r="G1445" s="34">
        <v>685.08</v>
      </c>
      <c r="H1445" s="33" t="s">
        <v>180</v>
      </c>
      <c r="I1445" s="33" t="str">
        <f t="shared" si="44"/>
        <v>Medium sales</v>
      </c>
      <c r="J1445" s="33" t="str">
        <f t="shared" si="45"/>
        <v>not eligible</v>
      </c>
    </row>
    <row r="1446" spans="1:10" x14ac:dyDescent="0.35">
      <c r="A1446" s="31">
        <v>45203.632638888892</v>
      </c>
      <c r="B1446" s="32">
        <v>0.61488425925925927</v>
      </c>
      <c r="C1446" s="33" t="s">
        <v>14</v>
      </c>
      <c r="D1446" s="33" t="s">
        <v>27</v>
      </c>
      <c r="E1446" s="34">
        <v>473.34</v>
      </c>
      <c r="F1446" s="33">
        <v>3</v>
      </c>
      <c r="G1446" s="34">
        <v>1420.02</v>
      </c>
      <c r="H1446" s="33" t="s">
        <v>114</v>
      </c>
      <c r="I1446" s="33" t="str">
        <f t="shared" si="44"/>
        <v>Medium sales</v>
      </c>
      <c r="J1446" s="33" t="str">
        <f t="shared" si="45"/>
        <v>not eligible</v>
      </c>
    </row>
    <row r="1447" spans="1:10" x14ac:dyDescent="0.35">
      <c r="A1447" s="31">
        <v>45011.165972222225</v>
      </c>
      <c r="B1447" s="32">
        <v>0.98297453703703708</v>
      </c>
      <c r="C1447" s="33" t="s">
        <v>11</v>
      </c>
      <c r="D1447" s="33" t="s">
        <v>12</v>
      </c>
      <c r="E1447" s="34">
        <v>65.52</v>
      </c>
      <c r="F1447" s="33">
        <v>1</v>
      </c>
      <c r="G1447" s="34">
        <v>65.52</v>
      </c>
      <c r="H1447" s="33" t="s">
        <v>304</v>
      </c>
      <c r="I1447" s="33" t="str">
        <f t="shared" si="44"/>
        <v>Low sales</v>
      </c>
      <c r="J1447" s="33" t="str">
        <f t="shared" si="45"/>
        <v>not eligible</v>
      </c>
    </row>
    <row r="1448" spans="1:10" x14ac:dyDescent="0.35">
      <c r="A1448" s="31">
        <v>45237.938194444447</v>
      </c>
      <c r="B1448" s="32">
        <v>0.7193518518518518</v>
      </c>
      <c r="C1448" s="33" t="s">
        <v>14</v>
      </c>
      <c r="D1448" s="33" t="s">
        <v>20</v>
      </c>
      <c r="E1448" s="34">
        <v>194.42</v>
      </c>
      <c r="F1448" s="33">
        <v>5</v>
      </c>
      <c r="G1448" s="34">
        <v>972.1</v>
      </c>
      <c r="H1448" s="33" t="s">
        <v>263</v>
      </c>
      <c r="I1448" s="33" t="str">
        <f t="shared" si="44"/>
        <v>Medium sales</v>
      </c>
      <c r="J1448" s="33" t="str">
        <f t="shared" si="45"/>
        <v>not eligible</v>
      </c>
    </row>
    <row r="1449" spans="1:10" x14ac:dyDescent="0.35">
      <c r="A1449" s="31">
        <v>45597.362500000003</v>
      </c>
      <c r="B1449" s="32">
        <v>0.42438657407407404</v>
      </c>
      <c r="C1449" s="33" t="s">
        <v>8</v>
      </c>
      <c r="D1449" s="33" t="s">
        <v>20</v>
      </c>
      <c r="E1449" s="34">
        <v>391.86</v>
      </c>
      <c r="F1449" s="33">
        <v>4</v>
      </c>
      <c r="G1449" s="34">
        <v>1567.44</v>
      </c>
      <c r="H1449" s="33" t="s">
        <v>138</v>
      </c>
      <c r="I1449" s="33" t="str">
        <f t="shared" si="44"/>
        <v>High sales</v>
      </c>
      <c r="J1449" s="33" t="str">
        <f t="shared" si="45"/>
        <v>not eligible</v>
      </c>
    </row>
    <row r="1450" spans="1:10" x14ac:dyDescent="0.35">
      <c r="A1450" s="31">
        <v>44942.252083333333</v>
      </c>
      <c r="B1450" s="32">
        <v>0.53894675925925928</v>
      </c>
      <c r="C1450" s="33" t="s">
        <v>14</v>
      </c>
      <c r="D1450" s="33" t="s">
        <v>20</v>
      </c>
      <c r="E1450" s="34">
        <v>45.45</v>
      </c>
      <c r="F1450" s="33">
        <v>4</v>
      </c>
      <c r="G1450" s="34">
        <v>181.8</v>
      </c>
      <c r="H1450" s="33" t="s">
        <v>309</v>
      </c>
      <c r="I1450" s="33" t="str">
        <f t="shared" si="44"/>
        <v>Low sales</v>
      </c>
      <c r="J1450" s="33" t="str">
        <f t="shared" si="45"/>
        <v>not eligible</v>
      </c>
    </row>
    <row r="1451" spans="1:10" x14ac:dyDescent="0.35">
      <c r="A1451" s="31">
        <v>45500.446527777778</v>
      </c>
      <c r="B1451" s="32">
        <v>0.54273148148148154</v>
      </c>
      <c r="C1451" s="33" t="s">
        <v>11</v>
      </c>
      <c r="D1451" s="33" t="s">
        <v>20</v>
      </c>
      <c r="E1451" s="34">
        <v>376.77</v>
      </c>
      <c r="F1451" s="33">
        <v>3</v>
      </c>
      <c r="G1451" s="34">
        <v>1130.31</v>
      </c>
      <c r="H1451" s="33" t="s">
        <v>97</v>
      </c>
      <c r="I1451" s="33" t="str">
        <f t="shared" si="44"/>
        <v>Medium sales</v>
      </c>
      <c r="J1451" s="33" t="str">
        <f t="shared" si="45"/>
        <v>eligible</v>
      </c>
    </row>
    <row r="1452" spans="1:10" x14ac:dyDescent="0.35">
      <c r="A1452" s="31">
        <v>45144.640972222223</v>
      </c>
      <c r="B1452" s="32">
        <v>0.1171875</v>
      </c>
      <c r="C1452" s="33" t="s">
        <v>11</v>
      </c>
      <c r="D1452" s="33" t="s">
        <v>27</v>
      </c>
      <c r="E1452" s="34">
        <v>69.849999999999994</v>
      </c>
      <c r="F1452" s="33">
        <v>2</v>
      </c>
      <c r="G1452" s="34">
        <v>139.69999999999999</v>
      </c>
      <c r="H1452" s="33" t="s">
        <v>311</v>
      </c>
      <c r="I1452" s="33" t="str">
        <f t="shared" si="44"/>
        <v>Low sales</v>
      </c>
      <c r="J1452" s="33" t="str">
        <f t="shared" si="45"/>
        <v>not eligible</v>
      </c>
    </row>
    <row r="1453" spans="1:10" x14ac:dyDescent="0.35">
      <c r="A1453" s="31">
        <v>45392.851388888892</v>
      </c>
      <c r="B1453" s="32">
        <v>0.87638888888888899</v>
      </c>
      <c r="C1453" s="33" t="s">
        <v>8</v>
      </c>
      <c r="D1453" s="33" t="s">
        <v>12</v>
      </c>
      <c r="E1453" s="34">
        <v>64.83</v>
      </c>
      <c r="F1453" s="33">
        <v>1</v>
      </c>
      <c r="G1453" s="34">
        <v>64.83</v>
      </c>
      <c r="H1453" s="33" t="s">
        <v>337</v>
      </c>
      <c r="I1453" s="33" t="str">
        <f t="shared" si="44"/>
        <v>Low sales</v>
      </c>
      <c r="J1453" s="33" t="str">
        <f t="shared" si="45"/>
        <v>not eligible</v>
      </c>
    </row>
    <row r="1454" spans="1:10" x14ac:dyDescent="0.35">
      <c r="A1454" s="31">
        <v>45167.03125</v>
      </c>
      <c r="B1454" s="32">
        <v>0.3830439814814815</v>
      </c>
      <c r="C1454" s="33" t="s">
        <v>8</v>
      </c>
      <c r="D1454" s="33" t="s">
        <v>20</v>
      </c>
      <c r="E1454" s="34">
        <v>399.77</v>
      </c>
      <c r="F1454" s="33">
        <v>4</v>
      </c>
      <c r="G1454" s="34">
        <v>1599.08</v>
      </c>
      <c r="H1454" s="33" t="s">
        <v>205</v>
      </c>
      <c r="I1454" s="33" t="str">
        <f t="shared" si="44"/>
        <v>High sales</v>
      </c>
      <c r="J1454" s="33" t="str">
        <f t="shared" si="45"/>
        <v>not eligible</v>
      </c>
    </row>
    <row r="1455" spans="1:10" x14ac:dyDescent="0.35">
      <c r="A1455" s="31">
        <v>45414.452777777777</v>
      </c>
      <c r="B1455" s="32">
        <v>0.40225694444444443</v>
      </c>
      <c r="C1455" s="33" t="s">
        <v>14</v>
      </c>
      <c r="D1455" s="33" t="s">
        <v>16</v>
      </c>
      <c r="E1455" s="34">
        <v>73.849999999999994</v>
      </c>
      <c r="F1455" s="33">
        <v>1</v>
      </c>
      <c r="G1455" s="34">
        <v>73.849999999999994</v>
      </c>
      <c r="H1455" s="33" t="s">
        <v>359</v>
      </c>
      <c r="I1455" s="33" t="str">
        <f t="shared" si="44"/>
        <v>Low sales</v>
      </c>
      <c r="J1455" s="33" t="str">
        <f t="shared" si="45"/>
        <v>not eligible</v>
      </c>
    </row>
    <row r="1456" spans="1:10" x14ac:dyDescent="0.35">
      <c r="A1456" s="31">
        <v>45325.59652777778</v>
      </c>
      <c r="B1456" s="32">
        <v>0.78262731481481485</v>
      </c>
      <c r="C1456" s="33" t="s">
        <v>14</v>
      </c>
      <c r="D1456" s="33" t="s">
        <v>20</v>
      </c>
      <c r="E1456" s="34">
        <v>296.94</v>
      </c>
      <c r="F1456" s="33">
        <v>1</v>
      </c>
      <c r="G1456" s="34">
        <v>296.94</v>
      </c>
      <c r="H1456" s="33" t="s">
        <v>337</v>
      </c>
      <c r="I1456" s="33" t="str">
        <f t="shared" si="44"/>
        <v>Low sales</v>
      </c>
      <c r="J1456" s="33" t="str">
        <f t="shared" si="45"/>
        <v>not eligible</v>
      </c>
    </row>
    <row r="1457" spans="1:10" x14ac:dyDescent="0.35">
      <c r="A1457" s="31">
        <v>45038.552083333336</v>
      </c>
      <c r="B1457" s="32">
        <v>0.66636574074074073</v>
      </c>
      <c r="C1457" s="33" t="s">
        <v>11</v>
      </c>
      <c r="D1457" s="33" t="s">
        <v>27</v>
      </c>
      <c r="E1457" s="34">
        <v>304.55</v>
      </c>
      <c r="F1457" s="33">
        <v>5</v>
      </c>
      <c r="G1457" s="34">
        <v>1522.75</v>
      </c>
      <c r="H1457" s="33" t="s">
        <v>374</v>
      </c>
      <c r="I1457" s="33" t="str">
        <f t="shared" si="44"/>
        <v>High sales</v>
      </c>
      <c r="J1457" s="33" t="str">
        <f t="shared" si="45"/>
        <v>eligible</v>
      </c>
    </row>
    <row r="1458" spans="1:10" x14ac:dyDescent="0.35">
      <c r="A1458" s="31">
        <v>45330.369444444441</v>
      </c>
      <c r="B1458" s="32">
        <v>7.6736111111111111E-3</v>
      </c>
      <c r="C1458" s="33" t="s">
        <v>11</v>
      </c>
      <c r="D1458" s="33" t="s">
        <v>20</v>
      </c>
      <c r="E1458" s="34">
        <v>429.89</v>
      </c>
      <c r="F1458" s="33">
        <v>3</v>
      </c>
      <c r="G1458" s="34">
        <v>1289.67</v>
      </c>
      <c r="H1458" s="33" t="s">
        <v>341</v>
      </c>
      <c r="I1458" s="33" t="str">
        <f t="shared" si="44"/>
        <v>Medium sales</v>
      </c>
      <c r="J1458" s="33" t="str">
        <f t="shared" si="45"/>
        <v>eligible</v>
      </c>
    </row>
    <row r="1459" spans="1:10" x14ac:dyDescent="0.35">
      <c r="A1459" s="31">
        <v>45319.636805555558</v>
      </c>
      <c r="B1459" s="32">
        <v>0.16788194444444446</v>
      </c>
      <c r="C1459" s="33" t="s">
        <v>14</v>
      </c>
      <c r="D1459" s="33" t="s">
        <v>16</v>
      </c>
      <c r="E1459" s="34">
        <v>21.13</v>
      </c>
      <c r="F1459" s="33">
        <v>4</v>
      </c>
      <c r="G1459" s="34">
        <v>84.52</v>
      </c>
      <c r="H1459" s="33" t="s">
        <v>26</v>
      </c>
      <c r="I1459" s="33" t="str">
        <f t="shared" si="44"/>
        <v>Low sales</v>
      </c>
      <c r="J1459" s="33" t="str">
        <f t="shared" si="45"/>
        <v>not eligible</v>
      </c>
    </row>
    <row r="1460" spans="1:10" x14ac:dyDescent="0.35">
      <c r="A1460" s="31">
        <v>45532.789583333331</v>
      </c>
      <c r="B1460" s="32">
        <v>0.75869212962962962</v>
      </c>
      <c r="C1460" s="33" t="s">
        <v>14</v>
      </c>
      <c r="D1460" s="33" t="s">
        <v>20</v>
      </c>
      <c r="E1460" s="34">
        <v>278.82</v>
      </c>
      <c r="F1460" s="33">
        <v>1</v>
      </c>
      <c r="G1460" s="34">
        <v>278.82</v>
      </c>
      <c r="H1460" s="33" t="s">
        <v>178</v>
      </c>
      <c r="I1460" s="33" t="str">
        <f t="shared" si="44"/>
        <v>Low sales</v>
      </c>
      <c r="J1460" s="33" t="str">
        <f t="shared" si="45"/>
        <v>not eligible</v>
      </c>
    </row>
    <row r="1461" spans="1:10" x14ac:dyDescent="0.35">
      <c r="A1461" s="31">
        <v>45593.431944444441</v>
      </c>
      <c r="B1461" s="32">
        <v>0.867650462962963</v>
      </c>
      <c r="C1461" s="33" t="s">
        <v>8</v>
      </c>
      <c r="D1461" s="33" t="s">
        <v>12</v>
      </c>
      <c r="E1461" s="34">
        <v>474.71</v>
      </c>
      <c r="F1461" s="33">
        <v>3</v>
      </c>
      <c r="G1461" s="34">
        <v>1424.13</v>
      </c>
      <c r="H1461" s="33" t="s">
        <v>258</v>
      </c>
      <c r="I1461" s="33" t="str">
        <f t="shared" si="44"/>
        <v>Medium sales</v>
      </c>
      <c r="J1461" s="33" t="str">
        <f t="shared" si="45"/>
        <v>not eligible</v>
      </c>
    </row>
    <row r="1462" spans="1:10" x14ac:dyDescent="0.35">
      <c r="A1462" s="31">
        <v>45444.495138888888</v>
      </c>
      <c r="B1462" s="32">
        <v>0.86756944444444439</v>
      </c>
      <c r="C1462" s="33" t="s">
        <v>11</v>
      </c>
      <c r="D1462" s="33" t="s">
        <v>20</v>
      </c>
      <c r="E1462" s="34">
        <v>169.94</v>
      </c>
      <c r="F1462" s="33">
        <v>2</v>
      </c>
      <c r="G1462" s="34">
        <v>339.88</v>
      </c>
      <c r="H1462" s="33" t="s">
        <v>192</v>
      </c>
      <c r="I1462" s="33" t="str">
        <f t="shared" si="44"/>
        <v>Low sales</v>
      </c>
      <c r="J1462" s="33" t="str">
        <f t="shared" si="45"/>
        <v>not eligible</v>
      </c>
    </row>
    <row r="1463" spans="1:10" x14ac:dyDescent="0.35">
      <c r="A1463" s="31">
        <v>45179.367361111108</v>
      </c>
      <c r="B1463" s="32">
        <v>9.7905092592592599E-2</v>
      </c>
      <c r="C1463" s="33" t="s">
        <v>8</v>
      </c>
      <c r="D1463" s="33" t="s">
        <v>9</v>
      </c>
      <c r="E1463" s="34">
        <v>285.20999999999998</v>
      </c>
      <c r="F1463" s="33">
        <v>1</v>
      </c>
      <c r="G1463" s="34">
        <v>285.20999999999998</v>
      </c>
      <c r="H1463" s="33" t="s">
        <v>272</v>
      </c>
      <c r="I1463" s="33" t="str">
        <f t="shared" si="44"/>
        <v>Low sales</v>
      </c>
      <c r="J1463" s="33" t="str">
        <f t="shared" si="45"/>
        <v>not eligible</v>
      </c>
    </row>
    <row r="1464" spans="1:10" x14ac:dyDescent="0.35">
      <c r="A1464" s="31">
        <v>45178.057638888888</v>
      </c>
      <c r="B1464" s="32">
        <v>0.81383101851851858</v>
      </c>
      <c r="C1464" s="33" t="s">
        <v>8</v>
      </c>
      <c r="D1464" s="33" t="s">
        <v>20</v>
      </c>
      <c r="E1464" s="34">
        <v>146.29</v>
      </c>
      <c r="F1464" s="33">
        <v>2</v>
      </c>
      <c r="G1464" s="34">
        <v>292.58</v>
      </c>
      <c r="H1464" s="33" t="s">
        <v>53</v>
      </c>
      <c r="I1464" s="33" t="str">
        <f t="shared" si="44"/>
        <v>Low sales</v>
      </c>
      <c r="J1464" s="33" t="str">
        <f t="shared" si="45"/>
        <v>not eligible</v>
      </c>
    </row>
    <row r="1465" spans="1:10" x14ac:dyDescent="0.35">
      <c r="A1465" s="31">
        <v>45288.577777777777</v>
      </c>
      <c r="B1465" s="32">
        <v>0.14834490740740741</v>
      </c>
      <c r="C1465" s="33" t="s">
        <v>8</v>
      </c>
      <c r="D1465" s="33" t="s">
        <v>20</v>
      </c>
      <c r="E1465" s="34">
        <v>343.74</v>
      </c>
      <c r="F1465" s="33">
        <v>3</v>
      </c>
      <c r="G1465" s="34">
        <v>1031.22</v>
      </c>
      <c r="H1465" s="33" t="s">
        <v>198</v>
      </c>
      <c r="I1465" s="33" t="str">
        <f t="shared" si="44"/>
        <v>Medium sales</v>
      </c>
      <c r="J1465" s="33" t="str">
        <f t="shared" si="45"/>
        <v>not eligible</v>
      </c>
    </row>
    <row r="1466" spans="1:10" x14ac:dyDescent="0.35">
      <c r="A1466" s="31">
        <v>45171.75</v>
      </c>
      <c r="B1466" s="32">
        <v>0.3096875</v>
      </c>
      <c r="C1466" s="33" t="s">
        <v>14</v>
      </c>
      <c r="D1466" s="33" t="s">
        <v>27</v>
      </c>
      <c r="E1466" s="34">
        <v>105.85</v>
      </c>
      <c r="F1466" s="33">
        <v>5</v>
      </c>
      <c r="G1466" s="34">
        <v>529.25</v>
      </c>
      <c r="H1466" s="33" t="s">
        <v>299</v>
      </c>
      <c r="I1466" s="33" t="str">
        <f t="shared" si="44"/>
        <v>Medium sales</v>
      </c>
      <c r="J1466" s="33" t="str">
        <f t="shared" si="45"/>
        <v>not eligible</v>
      </c>
    </row>
    <row r="1467" spans="1:10" x14ac:dyDescent="0.35">
      <c r="A1467" s="31">
        <v>45115.699305555558</v>
      </c>
      <c r="B1467" s="32">
        <v>5.1990740740740747E-2</v>
      </c>
      <c r="C1467" s="33" t="s">
        <v>11</v>
      </c>
      <c r="D1467" s="33" t="s">
        <v>9</v>
      </c>
      <c r="E1467" s="34">
        <v>59.61</v>
      </c>
      <c r="F1467" s="33">
        <v>2</v>
      </c>
      <c r="G1467" s="34">
        <v>119.22</v>
      </c>
      <c r="H1467" s="33" t="s">
        <v>267</v>
      </c>
      <c r="I1467" s="33" t="str">
        <f t="shared" si="44"/>
        <v>Low sales</v>
      </c>
      <c r="J1467" s="33" t="str">
        <f t="shared" si="45"/>
        <v>not eligible</v>
      </c>
    </row>
    <row r="1468" spans="1:10" x14ac:dyDescent="0.35">
      <c r="A1468" s="31">
        <v>45118.07916666667</v>
      </c>
      <c r="B1468" s="32">
        <v>0.36256944444444444</v>
      </c>
      <c r="C1468" s="33" t="s">
        <v>8</v>
      </c>
      <c r="D1468" s="33" t="s">
        <v>16</v>
      </c>
      <c r="E1468" s="34">
        <v>175.94</v>
      </c>
      <c r="F1468" s="33">
        <v>1</v>
      </c>
      <c r="G1468" s="34">
        <v>175.94</v>
      </c>
      <c r="H1468" s="33" t="s">
        <v>353</v>
      </c>
      <c r="I1468" s="33" t="str">
        <f t="shared" si="44"/>
        <v>Low sales</v>
      </c>
      <c r="J1468" s="33" t="str">
        <f t="shared" si="45"/>
        <v>not eligible</v>
      </c>
    </row>
    <row r="1469" spans="1:10" x14ac:dyDescent="0.35">
      <c r="A1469" s="31">
        <v>45383.969444444447</v>
      </c>
      <c r="B1469" s="32">
        <v>0.47636574074074073</v>
      </c>
      <c r="C1469" s="33" t="s">
        <v>14</v>
      </c>
      <c r="D1469" s="33" t="s">
        <v>16</v>
      </c>
      <c r="E1469" s="34">
        <v>116.11</v>
      </c>
      <c r="F1469" s="33">
        <v>5</v>
      </c>
      <c r="G1469" s="34">
        <v>580.54999999999995</v>
      </c>
      <c r="H1469" s="33" t="s">
        <v>406</v>
      </c>
      <c r="I1469" s="33" t="str">
        <f t="shared" si="44"/>
        <v>Medium sales</v>
      </c>
      <c r="J1469" s="33" t="str">
        <f t="shared" si="45"/>
        <v>not eligible</v>
      </c>
    </row>
    <row r="1470" spans="1:10" x14ac:dyDescent="0.35">
      <c r="A1470" s="31">
        <v>45309.584722222222</v>
      </c>
      <c r="B1470" s="32">
        <v>0.80026620370370372</v>
      </c>
      <c r="C1470" s="33" t="s">
        <v>8</v>
      </c>
      <c r="D1470" s="33" t="s">
        <v>16</v>
      </c>
      <c r="E1470" s="34">
        <v>119.6</v>
      </c>
      <c r="F1470" s="33">
        <v>3</v>
      </c>
      <c r="G1470" s="34">
        <v>358.8</v>
      </c>
      <c r="H1470" s="33" t="s">
        <v>366</v>
      </c>
      <c r="I1470" s="33" t="str">
        <f t="shared" si="44"/>
        <v>Low sales</v>
      </c>
      <c r="J1470" s="33" t="str">
        <f t="shared" si="45"/>
        <v>not eligible</v>
      </c>
    </row>
    <row r="1471" spans="1:10" x14ac:dyDescent="0.35">
      <c r="A1471" s="31">
        <v>45631.629861111112</v>
      </c>
      <c r="B1471" s="32">
        <v>0.53835648148148152</v>
      </c>
      <c r="C1471" s="33" t="s">
        <v>14</v>
      </c>
      <c r="D1471" s="33" t="s">
        <v>9</v>
      </c>
      <c r="E1471" s="34">
        <v>409.64</v>
      </c>
      <c r="F1471" s="33">
        <v>4</v>
      </c>
      <c r="G1471" s="34">
        <v>1638.56</v>
      </c>
      <c r="H1471" s="33" t="s">
        <v>117</v>
      </c>
      <c r="I1471" s="33" t="str">
        <f t="shared" si="44"/>
        <v>High sales</v>
      </c>
      <c r="J1471" s="33" t="str">
        <f t="shared" si="45"/>
        <v>not eligible</v>
      </c>
    </row>
    <row r="1472" spans="1:10" x14ac:dyDescent="0.35">
      <c r="A1472" s="31">
        <v>45069.799305555556</v>
      </c>
      <c r="B1472" s="32">
        <v>0.24880787037037036</v>
      </c>
      <c r="C1472" s="33" t="s">
        <v>8</v>
      </c>
      <c r="D1472" s="33" t="s">
        <v>12</v>
      </c>
      <c r="E1472" s="34">
        <v>99.09</v>
      </c>
      <c r="F1472" s="33">
        <v>2</v>
      </c>
      <c r="G1472" s="34">
        <v>198.18</v>
      </c>
      <c r="H1472" s="33" t="s">
        <v>143</v>
      </c>
      <c r="I1472" s="33" t="str">
        <f t="shared" si="44"/>
        <v>Low sales</v>
      </c>
      <c r="J1472" s="33" t="str">
        <f t="shared" si="45"/>
        <v>not eligible</v>
      </c>
    </row>
    <row r="1473" spans="1:10" x14ac:dyDescent="0.35">
      <c r="A1473" s="31">
        <v>45186.125694444447</v>
      </c>
      <c r="B1473" s="32">
        <v>0.87611111111111117</v>
      </c>
      <c r="C1473" s="33" t="s">
        <v>8</v>
      </c>
      <c r="D1473" s="33" t="s">
        <v>20</v>
      </c>
      <c r="E1473" s="34">
        <v>93.93</v>
      </c>
      <c r="F1473" s="33">
        <v>3</v>
      </c>
      <c r="G1473" s="34">
        <v>281.79000000000002</v>
      </c>
      <c r="H1473" s="33" t="s">
        <v>119</v>
      </c>
      <c r="I1473" s="33" t="str">
        <f t="shared" si="44"/>
        <v>Low sales</v>
      </c>
      <c r="J1473" s="33" t="str">
        <f t="shared" si="45"/>
        <v>not eligible</v>
      </c>
    </row>
    <row r="1474" spans="1:10" x14ac:dyDescent="0.35">
      <c r="A1474" s="31">
        <v>45071.27847222222</v>
      </c>
      <c r="B1474" s="32">
        <v>0.50788194444444446</v>
      </c>
      <c r="C1474" s="33" t="s">
        <v>11</v>
      </c>
      <c r="D1474" s="33" t="s">
        <v>20</v>
      </c>
      <c r="E1474" s="34">
        <v>452.91</v>
      </c>
      <c r="F1474" s="33">
        <v>2</v>
      </c>
      <c r="G1474" s="34">
        <v>905.82</v>
      </c>
      <c r="H1474" s="33" t="s">
        <v>328</v>
      </c>
      <c r="I1474" s="33" t="str">
        <f t="shared" si="44"/>
        <v>Medium sales</v>
      </c>
      <c r="J1474" s="33" t="str">
        <f t="shared" si="45"/>
        <v>not eligible</v>
      </c>
    </row>
    <row r="1475" spans="1:10" x14ac:dyDescent="0.35">
      <c r="A1475" s="31">
        <v>45085.372916666667</v>
      </c>
      <c r="B1475" s="32">
        <v>0.7943634259259259</v>
      </c>
      <c r="C1475" s="33" t="s">
        <v>11</v>
      </c>
      <c r="D1475" s="33" t="s">
        <v>27</v>
      </c>
      <c r="E1475" s="34">
        <v>286.94</v>
      </c>
      <c r="F1475" s="33">
        <v>5</v>
      </c>
      <c r="G1475" s="34">
        <v>1434.7</v>
      </c>
      <c r="H1475" s="33" t="s">
        <v>334</v>
      </c>
      <c r="I1475" s="33" t="str">
        <f t="shared" ref="I1475:I1538" si="46">IF(G1475&gt;1500,"High sales", IF(G1475&gt;500,"Medium sales", "Low sales"))</f>
        <v>Medium sales</v>
      </c>
      <c r="J1475" s="33" t="str">
        <f t="shared" ref="J1475:J1538" si="47">IF(AND(G1475&gt;1000,C1475="Premium"), "eligible", "not eligible")</f>
        <v>eligible</v>
      </c>
    </row>
    <row r="1476" spans="1:10" x14ac:dyDescent="0.35">
      <c r="A1476" s="31">
        <v>45250.763888888891</v>
      </c>
      <c r="B1476" s="32">
        <v>0.28359953703703705</v>
      </c>
      <c r="C1476" s="33" t="s">
        <v>8</v>
      </c>
      <c r="D1476" s="33" t="s">
        <v>16</v>
      </c>
      <c r="E1476" s="34">
        <v>250.32</v>
      </c>
      <c r="F1476" s="33">
        <v>2</v>
      </c>
      <c r="G1476" s="34">
        <v>500.64</v>
      </c>
      <c r="H1476" s="33" t="s">
        <v>33</v>
      </c>
      <c r="I1476" s="33" t="str">
        <f t="shared" si="46"/>
        <v>Medium sales</v>
      </c>
      <c r="J1476" s="33" t="str">
        <f t="shared" si="47"/>
        <v>not eligible</v>
      </c>
    </row>
    <row r="1477" spans="1:10" x14ac:dyDescent="0.35">
      <c r="A1477" s="31">
        <v>45472.458333333336</v>
      </c>
      <c r="B1477" s="32">
        <v>0.87135416666666676</v>
      </c>
      <c r="C1477" s="33" t="s">
        <v>14</v>
      </c>
      <c r="D1477" s="33" t="s">
        <v>20</v>
      </c>
      <c r="E1477" s="34">
        <v>182.36</v>
      </c>
      <c r="F1477" s="33">
        <v>4</v>
      </c>
      <c r="G1477" s="34">
        <v>729.44</v>
      </c>
      <c r="H1477" s="33" t="s">
        <v>196</v>
      </c>
      <c r="I1477" s="33" t="str">
        <f t="shared" si="46"/>
        <v>Medium sales</v>
      </c>
      <c r="J1477" s="33" t="str">
        <f t="shared" si="47"/>
        <v>not eligible</v>
      </c>
    </row>
    <row r="1478" spans="1:10" x14ac:dyDescent="0.35">
      <c r="A1478" s="31">
        <v>45658.025694444441</v>
      </c>
      <c r="B1478" s="32">
        <v>0.48090277777777773</v>
      </c>
      <c r="C1478" s="33" t="s">
        <v>14</v>
      </c>
      <c r="D1478" s="33" t="s">
        <v>20</v>
      </c>
      <c r="E1478" s="34">
        <v>191.61</v>
      </c>
      <c r="F1478" s="33">
        <v>4</v>
      </c>
      <c r="G1478" s="34">
        <v>766.44</v>
      </c>
      <c r="H1478" s="33" t="s">
        <v>378</v>
      </c>
      <c r="I1478" s="33" t="str">
        <f t="shared" si="46"/>
        <v>Medium sales</v>
      </c>
      <c r="J1478" s="33" t="str">
        <f t="shared" si="47"/>
        <v>not eligible</v>
      </c>
    </row>
    <row r="1479" spans="1:10" x14ac:dyDescent="0.35">
      <c r="A1479" s="31">
        <v>44961.013194444444</v>
      </c>
      <c r="B1479" s="32">
        <v>0.88734953703703701</v>
      </c>
      <c r="C1479" s="33" t="s">
        <v>8</v>
      </c>
      <c r="D1479" s="33" t="s">
        <v>12</v>
      </c>
      <c r="E1479" s="34">
        <v>146.93</v>
      </c>
      <c r="F1479" s="33">
        <v>5</v>
      </c>
      <c r="G1479" s="34">
        <v>734.65</v>
      </c>
      <c r="H1479" s="33" t="s">
        <v>221</v>
      </c>
      <c r="I1479" s="33" t="str">
        <f t="shared" si="46"/>
        <v>Medium sales</v>
      </c>
      <c r="J1479" s="33" t="str">
        <f t="shared" si="47"/>
        <v>not eligible</v>
      </c>
    </row>
    <row r="1480" spans="1:10" x14ac:dyDescent="0.35">
      <c r="A1480" s="31">
        <v>45486.441666666666</v>
      </c>
      <c r="B1480" s="32">
        <v>0.97664351851851849</v>
      </c>
      <c r="C1480" s="33" t="s">
        <v>11</v>
      </c>
      <c r="D1480" s="33" t="s">
        <v>27</v>
      </c>
      <c r="E1480" s="34">
        <v>380.32</v>
      </c>
      <c r="F1480" s="33">
        <v>4</v>
      </c>
      <c r="G1480" s="34">
        <v>1521.28</v>
      </c>
      <c r="H1480" s="33" t="s">
        <v>287</v>
      </c>
      <c r="I1480" s="33" t="str">
        <f t="shared" si="46"/>
        <v>High sales</v>
      </c>
      <c r="J1480" s="33" t="str">
        <f t="shared" si="47"/>
        <v>eligible</v>
      </c>
    </row>
    <row r="1481" spans="1:10" x14ac:dyDescent="0.35">
      <c r="A1481" s="31">
        <v>45343.193749999999</v>
      </c>
      <c r="B1481" s="32">
        <v>0.54402777777777778</v>
      </c>
      <c r="C1481" s="33" t="s">
        <v>11</v>
      </c>
      <c r="D1481" s="33" t="s">
        <v>9</v>
      </c>
      <c r="E1481" s="34">
        <v>216.76</v>
      </c>
      <c r="F1481" s="33">
        <v>5</v>
      </c>
      <c r="G1481" s="34">
        <v>1083.8</v>
      </c>
      <c r="H1481" s="33" t="s">
        <v>105</v>
      </c>
      <c r="I1481" s="33" t="str">
        <f t="shared" si="46"/>
        <v>Medium sales</v>
      </c>
      <c r="J1481" s="33" t="str">
        <f t="shared" si="47"/>
        <v>eligible</v>
      </c>
    </row>
    <row r="1482" spans="1:10" x14ac:dyDescent="0.35">
      <c r="A1482" s="31">
        <v>45161.911111111112</v>
      </c>
      <c r="B1482" s="32">
        <v>0.1375925925925926</v>
      </c>
      <c r="C1482" s="33" t="s">
        <v>14</v>
      </c>
      <c r="D1482" s="33" t="s">
        <v>27</v>
      </c>
      <c r="E1482" s="34">
        <v>203.05</v>
      </c>
      <c r="F1482" s="33">
        <v>5</v>
      </c>
      <c r="G1482" s="34">
        <v>1015.25</v>
      </c>
      <c r="H1482" s="33" t="s">
        <v>381</v>
      </c>
      <c r="I1482" s="33" t="str">
        <f t="shared" si="46"/>
        <v>Medium sales</v>
      </c>
      <c r="J1482" s="33" t="str">
        <f t="shared" si="47"/>
        <v>not eligible</v>
      </c>
    </row>
    <row r="1483" spans="1:10" x14ac:dyDescent="0.35">
      <c r="A1483" s="31">
        <v>45125.60833333333</v>
      </c>
      <c r="B1483" s="32">
        <v>0.18634259259259259</v>
      </c>
      <c r="C1483" s="33" t="s">
        <v>14</v>
      </c>
      <c r="D1483" s="33" t="s">
        <v>20</v>
      </c>
      <c r="E1483" s="34">
        <v>425.34</v>
      </c>
      <c r="F1483" s="33">
        <v>3</v>
      </c>
      <c r="G1483" s="34">
        <v>1276.02</v>
      </c>
      <c r="H1483" s="33" t="s">
        <v>288</v>
      </c>
      <c r="I1483" s="33" t="str">
        <f t="shared" si="46"/>
        <v>Medium sales</v>
      </c>
      <c r="J1483" s="33" t="str">
        <f t="shared" si="47"/>
        <v>not eligible</v>
      </c>
    </row>
    <row r="1484" spans="1:10" x14ac:dyDescent="0.35">
      <c r="A1484" s="31">
        <v>45358.854861111111</v>
      </c>
      <c r="B1484" s="32">
        <v>3.0532407407407411E-2</v>
      </c>
      <c r="C1484" s="33" t="s">
        <v>11</v>
      </c>
      <c r="D1484" s="33" t="s">
        <v>16</v>
      </c>
      <c r="E1484" s="34">
        <v>259.95</v>
      </c>
      <c r="F1484" s="33">
        <v>3</v>
      </c>
      <c r="G1484" s="34">
        <v>779.85</v>
      </c>
      <c r="H1484" s="33" t="s">
        <v>273</v>
      </c>
      <c r="I1484" s="33" t="str">
        <f t="shared" si="46"/>
        <v>Medium sales</v>
      </c>
      <c r="J1484" s="33" t="str">
        <f t="shared" si="47"/>
        <v>not eligible</v>
      </c>
    </row>
    <row r="1485" spans="1:10" x14ac:dyDescent="0.35">
      <c r="A1485" s="31">
        <v>45458.178472222222</v>
      </c>
      <c r="B1485" s="32">
        <v>0.57659722222222221</v>
      </c>
      <c r="C1485" s="33" t="s">
        <v>11</v>
      </c>
      <c r="D1485" s="33" t="s">
        <v>9</v>
      </c>
      <c r="E1485" s="34">
        <v>175.2</v>
      </c>
      <c r="F1485" s="33">
        <v>4</v>
      </c>
      <c r="G1485" s="34">
        <v>700.8</v>
      </c>
      <c r="H1485" s="33" t="s">
        <v>249</v>
      </c>
      <c r="I1485" s="33" t="str">
        <f t="shared" si="46"/>
        <v>Medium sales</v>
      </c>
      <c r="J1485" s="33" t="str">
        <f t="shared" si="47"/>
        <v>not eligible</v>
      </c>
    </row>
    <row r="1486" spans="1:10" x14ac:dyDescent="0.35">
      <c r="A1486" s="31">
        <v>45327.886111111111</v>
      </c>
      <c r="B1486" s="32">
        <v>0.5420949074074074</v>
      </c>
      <c r="C1486" s="33" t="s">
        <v>14</v>
      </c>
      <c r="D1486" s="33" t="s">
        <v>9</v>
      </c>
      <c r="E1486" s="34">
        <v>251.29</v>
      </c>
      <c r="F1486" s="33">
        <v>2</v>
      </c>
      <c r="G1486" s="34">
        <v>502.58</v>
      </c>
      <c r="H1486" s="33" t="s">
        <v>56</v>
      </c>
      <c r="I1486" s="33" t="str">
        <f t="shared" si="46"/>
        <v>Medium sales</v>
      </c>
      <c r="J1486" s="33" t="str">
        <f t="shared" si="47"/>
        <v>not eligible</v>
      </c>
    </row>
    <row r="1487" spans="1:10" x14ac:dyDescent="0.35">
      <c r="A1487" s="31">
        <v>45217.15</v>
      </c>
      <c r="B1487" s="32">
        <v>9.7175925925925929E-2</v>
      </c>
      <c r="C1487" s="33" t="s">
        <v>8</v>
      </c>
      <c r="D1487" s="33" t="s">
        <v>12</v>
      </c>
      <c r="E1487" s="34">
        <v>56.26</v>
      </c>
      <c r="F1487" s="33">
        <v>5</v>
      </c>
      <c r="G1487" s="34">
        <v>281.3</v>
      </c>
      <c r="H1487" s="33" t="s">
        <v>380</v>
      </c>
      <c r="I1487" s="33" t="str">
        <f t="shared" si="46"/>
        <v>Low sales</v>
      </c>
      <c r="J1487" s="33" t="str">
        <f t="shared" si="47"/>
        <v>not eligible</v>
      </c>
    </row>
    <row r="1488" spans="1:10" x14ac:dyDescent="0.35">
      <c r="A1488" s="31">
        <v>45021.875694444447</v>
      </c>
      <c r="B1488" s="32">
        <v>0.76599537037037047</v>
      </c>
      <c r="C1488" s="33" t="s">
        <v>14</v>
      </c>
      <c r="D1488" s="33" t="s">
        <v>27</v>
      </c>
      <c r="E1488" s="34">
        <v>375.39</v>
      </c>
      <c r="F1488" s="33">
        <v>5</v>
      </c>
      <c r="G1488" s="34">
        <v>1876.95</v>
      </c>
      <c r="H1488" s="33" t="s">
        <v>294</v>
      </c>
      <c r="I1488" s="33" t="str">
        <f t="shared" si="46"/>
        <v>High sales</v>
      </c>
      <c r="J1488" s="33" t="str">
        <f t="shared" si="47"/>
        <v>not eligible</v>
      </c>
    </row>
    <row r="1489" spans="1:10" x14ac:dyDescent="0.35">
      <c r="A1489" s="31">
        <v>45233.609027777777</v>
      </c>
      <c r="B1489" s="32">
        <v>0.51634259259259263</v>
      </c>
      <c r="C1489" s="33" t="s">
        <v>8</v>
      </c>
      <c r="D1489" s="33" t="s">
        <v>12</v>
      </c>
      <c r="E1489" s="34">
        <v>446.89</v>
      </c>
      <c r="F1489" s="33">
        <v>1</v>
      </c>
      <c r="G1489" s="34">
        <v>446.89</v>
      </c>
      <c r="H1489" s="33" t="s">
        <v>278</v>
      </c>
      <c r="I1489" s="33" t="str">
        <f t="shared" si="46"/>
        <v>Low sales</v>
      </c>
      <c r="J1489" s="33" t="str">
        <f t="shared" si="47"/>
        <v>not eligible</v>
      </c>
    </row>
    <row r="1490" spans="1:10" x14ac:dyDescent="0.35">
      <c r="A1490" s="31">
        <v>45639.861805555556</v>
      </c>
      <c r="B1490" s="32">
        <v>0.74824074074074076</v>
      </c>
      <c r="C1490" s="33" t="s">
        <v>11</v>
      </c>
      <c r="D1490" s="33" t="s">
        <v>12</v>
      </c>
      <c r="E1490" s="34">
        <v>408.75</v>
      </c>
      <c r="F1490" s="33">
        <v>4</v>
      </c>
      <c r="G1490" s="34">
        <v>1635</v>
      </c>
      <c r="H1490" s="33" t="s">
        <v>314</v>
      </c>
      <c r="I1490" s="33" t="str">
        <f t="shared" si="46"/>
        <v>High sales</v>
      </c>
      <c r="J1490" s="33" t="str">
        <f t="shared" si="47"/>
        <v>eligible</v>
      </c>
    </row>
    <row r="1491" spans="1:10" x14ac:dyDescent="0.35">
      <c r="A1491" s="31">
        <v>45316.92083333333</v>
      </c>
      <c r="B1491" s="32">
        <v>0.46934027777777776</v>
      </c>
      <c r="C1491" s="33" t="s">
        <v>8</v>
      </c>
      <c r="D1491" s="33" t="s">
        <v>9</v>
      </c>
      <c r="E1491" s="34">
        <v>104.46</v>
      </c>
      <c r="F1491" s="33">
        <v>3</v>
      </c>
      <c r="G1491" s="34">
        <v>313.38</v>
      </c>
      <c r="H1491" s="33" t="s">
        <v>358</v>
      </c>
      <c r="I1491" s="33" t="str">
        <f t="shared" si="46"/>
        <v>Low sales</v>
      </c>
      <c r="J1491" s="33" t="str">
        <f t="shared" si="47"/>
        <v>not eligible</v>
      </c>
    </row>
    <row r="1492" spans="1:10" x14ac:dyDescent="0.35">
      <c r="A1492" s="31">
        <v>45106.009027777778</v>
      </c>
      <c r="B1492" s="32">
        <v>0.55612268518518515</v>
      </c>
      <c r="C1492" s="33" t="s">
        <v>8</v>
      </c>
      <c r="D1492" s="33" t="s">
        <v>27</v>
      </c>
      <c r="E1492" s="34">
        <v>239.18</v>
      </c>
      <c r="F1492" s="33">
        <v>3</v>
      </c>
      <c r="G1492" s="34">
        <v>717.54</v>
      </c>
      <c r="H1492" s="33" t="s">
        <v>145</v>
      </c>
      <c r="I1492" s="33" t="str">
        <f t="shared" si="46"/>
        <v>Medium sales</v>
      </c>
      <c r="J1492" s="33" t="str">
        <f t="shared" si="47"/>
        <v>not eligible</v>
      </c>
    </row>
    <row r="1493" spans="1:10" x14ac:dyDescent="0.35">
      <c r="A1493" s="31">
        <v>44988.35833333333</v>
      </c>
      <c r="B1493" s="32">
        <v>0.96287037037037038</v>
      </c>
      <c r="C1493" s="33" t="s">
        <v>11</v>
      </c>
      <c r="D1493" s="33" t="s">
        <v>9</v>
      </c>
      <c r="E1493" s="34">
        <v>130.68</v>
      </c>
      <c r="F1493" s="33">
        <v>5</v>
      </c>
      <c r="G1493" s="34">
        <v>653.4</v>
      </c>
      <c r="H1493" s="33" t="s">
        <v>174</v>
      </c>
      <c r="I1493" s="33" t="str">
        <f t="shared" si="46"/>
        <v>Medium sales</v>
      </c>
      <c r="J1493" s="33" t="str">
        <f t="shared" si="47"/>
        <v>not eligible</v>
      </c>
    </row>
    <row r="1494" spans="1:10" x14ac:dyDescent="0.35">
      <c r="A1494" s="31">
        <v>45110.631249999999</v>
      </c>
      <c r="B1494" s="32">
        <v>0.66047453703703707</v>
      </c>
      <c r="C1494" s="33" t="s">
        <v>14</v>
      </c>
      <c r="D1494" s="33" t="s">
        <v>16</v>
      </c>
      <c r="E1494" s="34">
        <v>177.48</v>
      </c>
      <c r="F1494" s="33">
        <v>5</v>
      </c>
      <c r="G1494" s="34">
        <v>887.4</v>
      </c>
      <c r="H1494" s="33" t="s">
        <v>265</v>
      </c>
      <c r="I1494" s="33" t="str">
        <f t="shared" si="46"/>
        <v>Medium sales</v>
      </c>
      <c r="J1494" s="33" t="str">
        <f t="shared" si="47"/>
        <v>not eligible</v>
      </c>
    </row>
    <row r="1495" spans="1:10" x14ac:dyDescent="0.35">
      <c r="A1495" s="31">
        <v>45295.29791666667</v>
      </c>
      <c r="B1495" s="32">
        <v>0.69349537037037035</v>
      </c>
      <c r="C1495" s="33" t="s">
        <v>11</v>
      </c>
      <c r="D1495" s="33" t="s">
        <v>9</v>
      </c>
      <c r="E1495" s="34">
        <v>137.13999999999999</v>
      </c>
      <c r="F1495" s="33">
        <v>5</v>
      </c>
      <c r="G1495" s="34">
        <v>685.7</v>
      </c>
      <c r="H1495" s="33" t="s">
        <v>103</v>
      </c>
      <c r="I1495" s="33" t="str">
        <f t="shared" si="46"/>
        <v>Medium sales</v>
      </c>
      <c r="J1495" s="33" t="str">
        <f t="shared" si="47"/>
        <v>not eligible</v>
      </c>
    </row>
    <row r="1496" spans="1:10" x14ac:dyDescent="0.35">
      <c r="A1496" s="31">
        <v>45284.361111111109</v>
      </c>
      <c r="B1496" s="32">
        <v>0.41766203703703703</v>
      </c>
      <c r="C1496" s="33" t="s">
        <v>8</v>
      </c>
      <c r="D1496" s="33" t="s">
        <v>20</v>
      </c>
      <c r="E1496" s="34">
        <v>249.37</v>
      </c>
      <c r="F1496" s="33">
        <v>3</v>
      </c>
      <c r="G1496" s="34">
        <v>748.11</v>
      </c>
      <c r="H1496" s="33" t="s">
        <v>407</v>
      </c>
      <c r="I1496" s="33" t="str">
        <f t="shared" si="46"/>
        <v>Medium sales</v>
      </c>
      <c r="J1496" s="33" t="str">
        <f t="shared" si="47"/>
        <v>not eligible</v>
      </c>
    </row>
    <row r="1497" spans="1:10" x14ac:dyDescent="0.35">
      <c r="A1497" s="31">
        <v>45631.880555555559</v>
      </c>
      <c r="B1497" s="32">
        <v>0.28135416666666663</v>
      </c>
      <c r="C1497" s="33" t="s">
        <v>14</v>
      </c>
      <c r="D1497" s="33" t="s">
        <v>9</v>
      </c>
      <c r="E1497" s="34">
        <v>291.7</v>
      </c>
      <c r="F1497" s="33">
        <v>2</v>
      </c>
      <c r="G1497" s="34">
        <v>583.4</v>
      </c>
      <c r="H1497" s="33" t="s">
        <v>311</v>
      </c>
      <c r="I1497" s="33" t="str">
        <f t="shared" si="46"/>
        <v>Medium sales</v>
      </c>
      <c r="J1497" s="33" t="str">
        <f t="shared" si="47"/>
        <v>not eligible</v>
      </c>
    </row>
    <row r="1498" spans="1:10" x14ac:dyDescent="0.35">
      <c r="A1498" s="31">
        <v>45282.118055555555</v>
      </c>
      <c r="B1498" s="32">
        <v>0.32394675925925925</v>
      </c>
      <c r="C1498" s="33" t="s">
        <v>14</v>
      </c>
      <c r="D1498" s="33" t="s">
        <v>27</v>
      </c>
      <c r="E1498" s="34">
        <v>316.57</v>
      </c>
      <c r="F1498" s="33">
        <v>1</v>
      </c>
      <c r="G1498" s="34">
        <v>316.57</v>
      </c>
      <c r="H1498" s="33" t="s">
        <v>231</v>
      </c>
      <c r="I1498" s="33" t="str">
        <f t="shared" si="46"/>
        <v>Low sales</v>
      </c>
      <c r="J1498" s="33" t="str">
        <f t="shared" si="47"/>
        <v>not eligible</v>
      </c>
    </row>
    <row r="1499" spans="1:10" x14ac:dyDescent="0.35">
      <c r="A1499" s="31">
        <v>45339.34375</v>
      </c>
      <c r="B1499" s="32">
        <v>4.1689814814814818E-2</v>
      </c>
      <c r="C1499" s="33" t="s">
        <v>8</v>
      </c>
      <c r="D1499" s="33" t="s">
        <v>9</v>
      </c>
      <c r="E1499" s="34">
        <v>194.86</v>
      </c>
      <c r="F1499" s="33">
        <v>5</v>
      </c>
      <c r="G1499" s="34">
        <v>974.3</v>
      </c>
      <c r="H1499" s="33" t="s">
        <v>155</v>
      </c>
      <c r="I1499" s="33" t="str">
        <f t="shared" si="46"/>
        <v>Medium sales</v>
      </c>
      <c r="J1499" s="33" t="str">
        <f t="shared" si="47"/>
        <v>not eligible</v>
      </c>
    </row>
    <row r="1500" spans="1:10" x14ac:dyDescent="0.35">
      <c r="A1500" s="31">
        <v>45315.422222222223</v>
      </c>
      <c r="B1500" s="32">
        <v>0.34577546296296297</v>
      </c>
      <c r="C1500" s="33" t="s">
        <v>14</v>
      </c>
      <c r="D1500" s="33" t="s">
        <v>27</v>
      </c>
      <c r="E1500" s="34">
        <v>202.42</v>
      </c>
      <c r="F1500" s="33">
        <v>1</v>
      </c>
      <c r="G1500" s="34">
        <v>202.42</v>
      </c>
      <c r="H1500" s="33" t="s">
        <v>166</v>
      </c>
      <c r="I1500" s="33" t="str">
        <f t="shared" si="46"/>
        <v>Low sales</v>
      </c>
      <c r="J1500" s="33" t="str">
        <f t="shared" si="47"/>
        <v>not eligible</v>
      </c>
    </row>
    <row r="1501" spans="1:10" x14ac:dyDescent="0.35">
      <c r="A1501" s="31">
        <v>45069.754166666666</v>
      </c>
      <c r="B1501" s="32">
        <v>0.14584490740740741</v>
      </c>
      <c r="C1501" s="33" t="s">
        <v>14</v>
      </c>
      <c r="D1501" s="33" t="s">
        <v>12</v>
      </c>
      <c r="E1501" s="34">
        <v>270.39</v>
      </c>
      <c r="F1501" s="33">
        <v>1</v>
      </c>
      <c r="G1501" s="34">
        <v>270.39</v>
      </c>
      <c r="H1501" s="33" t="s">
        <v>175</v>
      </c>
      <c r="I1501" s="33" t="str">
        <f t="shared" si="46"/>
        <v>Low sales</v>
      </c>
      <c r="J1501" s="33" t="str">
        <f t="shared" si="47"/>
        <v>not eligible</v>
      </c>
    </row>
    <row r="1502" spans="1:10" x14ac:dyDescent="0.35">
      <c r="A1502" s="31">
        <v>44968.797222222223</v>
      </c>
      <c r="B1502" s="32">
        <v>0.44684027777777779</v>
      </c>
      <c r="C1502" s="33" t="s">
        <v>11</v>
      </c>
      <c r="D1502" s="33" t="s">
        <v>9</v>
      </c>
      <c r="E1502" s="34">
        <v>136.71</v>
      </c>
      <c r="F1502" s="33">
        <v>4</v>
      </c>
      <c r="G1502" s="34">
        <v>546.84</v>
      </c>
      <c r="H1502" s="33" t="s">
        <v>404</v>
      </c>
      <c r="I1502" s="33" t="str">
        <f t="shared" si="46"/>
        <v>Medium sales</v>
      </c>
      <c r="J1502" s="33" t="str">
        <f t="shared" si="47"/>
        <v>not eligible</v>
      </c>
    </row>
    <row r="1503" spans="1:10" x14ac:dyDescent="0.35">
      <c r="A1503" s="31">
        <v>45266.181250000001</v>
      </c>
      <c r="B1503" s="32">
        <v>0.82239583333333333</v>
      </c>
      <c r="C1503" s="33" t="s">
        <v>14</v>
      </c>
      <c r="D1503" s="33" t="s">
        <v>12</v>
      </c>
      <c r="E1503" s="34">
        <v>451.58</v>
      </c>
      <c r="F1503" s="33">
        <v>1</v>
      </c>
      <c r="G1503" s="34">
        <v>451.58</v>
      </c>
      <c r="H1503" s="33" t="s">
        <v>139</v>
      </c>
      <c r="I1503" s="33" t="str">
        <f t="shared" si="46"/>
        <v>Low sales</v>
      </c>
      <c r="J1503" s="33" t="str">
        <f t="shared" si="47"/>
        <v>not eligible</v>
      </c>
    </row>
    <row r="1504" spans="1:10" x14ac:dyDescent="0.35">
      <c r="A1504" s="31">
        <v>45301.697916666664</v>
      </c>
      <c r="B1504" s="32">
        <v>0.46871527777777783</v>
      </c>
      <c r="C1504" s="33" t="s">
        <v>8</v>
      </c>
      <c r="D1504" s="33" t="s">
        <v>16</v>
      </c>
      <c r="E1504" s="34">
        <v>299.92</v>
      </c>
      <c r="F1504" s="33">
        <v>3</v>
      </c>
      <c r="G1504" s="34">
        <v>899.76</v>
      </c>
      <c r="H1504" s="33" t="s">
        <v>208</v>
      </c>
      <c r="I1504" s="33" t="str">
        <f t="shared" si="46"/>
        <v>Medium sales</v>
      </c>
      <c r="J1504" s="33" t="str">
        <f t="shared" si="47"/>
        <v>not eligible</v>
      </c>
    </row>
    <row r="1505" spans="1:10" x14ac:dyDescent="0.35">
      <c r="A1505" s="31">
        <v>45501.17291666667</v>
      </c>
      <c r="B1505" s="32">
        <v>0.79969907407407403</v>
      </c>
      <c r="C1505" s="33" t="s">
        <v>8</v>
      </c>
      <c r="D1505" s="33" t="s">
        <v>27</v>
      </c>
      <c r="E1505" s="34">
        <v>14.23</v>
      </c>
      <c r="F1505" s="33">
        <v>3</v>
      </c>
      <c r="G1505" s="34">
        <v>42.69</v>
      </c>
      <c r="H1505" s="33" t="s">
        <v>342</v>
      </c>
      <c r="I1505" s="33" t="str">
        <f t="shared" si="46"/>
        <v>Low sales</v>
      </c>
      <c r="J1505" s="33" t="str">
        <f t="shared" si="47"/>
        <v>not eligible</v>
      </c>
    </row>
    <row r="1506" spans="1:10" x14ac:dyDescent="0.35">
      <c r="A1506" s="31">
        <v>45498.59097222222</v>
      </c>
      <c r="B1506" s="32">
        <v>0.85888888888888892</v>
      </c>
      <c r="C1506" s="33" t="s">
        <v>11</v>
      </c>
      <c r="D1506" s="33" t="s">
        <v>9</v>
      </c>
      <c r="E1506" s="34">
        <v>492.43</v>
      </c>
      <c r="F1506" s="33">
        <v>5</v>
      </c>
      <c r="G1506" s="34">
        <v>2462.15</v>
      </c>
      <c r="H1506" s="33" t="s">
        <v>89</v>
      </c>
      <c r="I1506" s="33" t="str">
        <f t="shared" si="46"/>
        <v>High sales</v>
      </c>
      <c r="J1506" s="33" t="str">
        <f t="shared" si="47"/>
        <v>eligible</v>
      </c>
    </row>
    <row r="1507" spans="1:10" x14ac:dyDescent="0.35">
      <c r="A1507" s="31">
        <v>45158.125</v>
      </c>
      <c r="B1507" s="32">
        <v>0.39090277777777777</v>
      </c>
      <c r="C1507" s="33" t="s">
        <v>8</v>
      </c>
      <c r="D1507" s="33" t="s">
        <v>20</v>
      </c>
      <c r="E1507" s="34">
        <v>444.57</v>
      </c>
      <c r="F1507" s="33">
        <v>2</v>
      </c>
      <c r="G1507" s="34">
        <v>889.14</v>
      </c>
      <c r="H1507" s="33" t="s">
        <v>225</v>
      </c>
      <c r="I1507" s="33" t="str">
        <f t="shared" si="46"/>
        <v>Medium sales</v>
      </c>
      <c r="J1507" s="33" t="str">
        <f t="shared" si="47"/>
        <v>not eligible</v>
      </c>
    </row>
    <row r="1508" spans="1:10" x14ac:dyDescent="0.35">
      <c r="A1508" s="31">
        <v>45586.353472222225</v>
      </c>
      <c r="B1508" s="32">
        <v>0.17921296296296296</v>
      </c>
      <c r="C1508" s="33" t="s">
        <v>11</v>
      </c>
      <c r="D1508" s="33" t="s">
        <v>27</v>
      </c>
      <c r="E1508" s="34">
        <v>99.61</v>
      </c>
      <c r="F1508" s="33">
        <v>4</v>
      </c>
      <c r="G1508" s="34">
        <v>398.44</v>
      </c>
      <c r="H1508" s="33" t="s">
        <v>247</v>
      </c>
      <c r="I1508" s="33" t="str">
        <f t="shared" si="46"/>
        <v>Low sales</v>
      </c>
      <c r="J1508" s="33" t="str">
        <f t="shared" si="47"/>
        <v>not eligible</v>
      </c>
    </row>
    <row r="1509" spans="1:10" x14ac:dyDescent="0.35">
      <c r="A1509" s="31">
        <v>45382.186111111114</v>
      </c>
      <c r="B1509" s="32">
        <v>0.35309027777777779</v>
      </c>
      <c r="C1509" s="33" t="s">
        <v>14</v>
      </c>
      <c r="D1509" s="33" t="s">
        <v>9</v>
      </c>
      <c r="E1509" s="34">
        <v>475.13</v>
      </c>
      <c r="F1509" s="33">
        <v>5</v>
      </c>
      <c r="G1509" s="34">
        <v>2375.65</v>
      </c>
      <c r="H1509" s="33" t="s">
        <v>234</v>
      </c>
      <c r="I1509" s="33" t="str">
        <f t="shared" si="46"/>
        <v>High sales</v>
      </c>
      <c r="J1509" s="33" t="str">
        <f t="shared" si="47"/>
        <v>not eligible</v>
      </c>
    </row>
    <row r="1510" spans="1:10" x14ac:dyDescent="0.35">
      <c r="A1510" s="31">
        <v>45092.44027777778</v>
      </c>
      <c r="B1510" s="32">
        <v>0.73923611111111109</v>
      </c>
      <c r="C1510" s="33" t="s">
        <v>11</v>
      </c>
      <c r="D1510" s="33" t="s">
        <v>20</v>
      </c>
      <c r="E1510" s="34">
        <v>162.25</v>
      </c>
      <c r="F1510" s="33">
        <v>4</v>
      </c>
      <c r="G1510" s="34">
        <v>649</v>
      </c>
      <c r="H1510" s="33" t="s">
        <v>316</v>
      </c>
      <c r="I1510" s="33" t="str">
        <f t="shared" si="46"/>
        <v>Medium sales</v>
      </c>
      <c r="J1510" s="33" t="str">
        <f t="shared" si="47"/>
        <v>not eligible</v>
      </c>
    </row>
    <row r="1511" spans="1:10" x14ac:dyDescent="0.35">
      <c r="A1511" s="31">
        <v>45546.831944444442</v>
      </c>
      <c r="B1511" s="32">
        <v>0.68863425925925925</v>
      </c>
      <c r="C1511" s="33" t="s">
        <v>11</v>
      </c>
      <c r="D1511" s="33" t="s">
        <v>12</v>
      </c>
      <c r="E1511" s="34">
        <v>14.88</v>
      </c>
      <c r="F1511" s="33">
        <v>4</v>
      </c>
      <c r="G1511" s="34">
        <v>59.52</v>
      </c>
      <c r="H1511" s="33" t="s">
        <v>18</v>
      </c>
      <c r="I1511" s="33" t="str">
        <f t="shared" si="46"/>
        <v>Low sales</v>
      </c>
      <c r="J1511" s="33" t="str">
        <f t="shared" si="47"/>
        <v>not eligible</v>
      </c>
    </row>
    <row r="1512" spans="1:10" x14ac:dyDescent="0.35">
      <c r="A1512" s="31">
        <v>45280.752083333333</v>
      </c>
      <c r="B1512" s="32">
        <v>3.9189814814814809E-2</v>
      </c>
      <c r="C1512" s="33" t="s">
        <v>11</v>
      </c>
      <c r="D1512" s="33" t="s">
        <v>9</v>
      </c>
      <c r="E1512" s="34">
        <v>67.040000000000006</v>
      </c>
      <c r="F1512" s="33">
        <v>2</v>
      </c>
      <c r="G1512" s="34">
        <v>134.08000000000001</v>
      </c>
      <c r="H1512" s="33" t="s">
        <v>285</v>
      </c>
      <c r="I1512" s="33" t="str">
        <f t="shared" si="46"/>
        <v>Low sales</v>
      </c>
      <c r="J1512" s="33" t="str">
        <f t="shared" si="47"/>
        <v>not eligible</v>
      </c>
    </row>
    <row r="1513" spans="1:10" x14ac:dyDescent="0.35">
      <c r="A1513" s="31">
        <v>45103.343055555553</v>
      </c>
      <c r="B1513" s="32">
        <v>0.17204861111111111</v>
      </c>
      <c r="C1513" s="33" t="s">
        <v>8</v>
      </c>
      <c r="D1513" s="33" t="s">
        <v>12</v>
      </c>
      <c r="E1513" s="34">
        <v>165.02</v>
      </c>
      <c r="F1513" s="33">
        <v>2</v>
      </c>
      <c r="G1513" s="34">
        <v>330.04</v>
      </c>
      <c r="H1513" s="33" t="s">
        <v>275</v>
      </c>
      <c r="I1513" s="33" t="str">
        <f t="shared" si="46"/>
        <v>Low sales</v>
      </c>
      <c r="J1513" s="33" t="str">
        <f t="shared" si="47"/>
        <v>not eligible</v>
      </c>
    </row>
    <row r="1514" spans="1:10" x14ac:dyDescent="0.35">
      <c r="A1514" s="31">
        <v>45043.012499999997</v>
      </c>
      <c r="B1514" s="32">
        <v>0.16061342592592592</v>
      </c>
      <c r="C1514" s="33" t="s">
        <v>14</v>
      </c>
      <c r="D1514" s="33" t="s">
        <v>20</v>
      </c>
      <c r="E1514" s="34">
        <v>239.38</v>
      </c>
      <c r="F1514" s="33">
        <v>2</v>
      </c>
      <c r="G1514" s="34">
        <v>478.76</v>
      </c>
      <c r="H1514" s="33" t="s">
        <v>334</v>
      </c>
      <c r="I1514" s="33" t="str">
        <f t="shared" si="46"/>
        <v>Low sales</v>
      </c>
      <c r="J1514" s="33" t="str">
        <f t="shared" si="47"/>
        <v>not eligible</v>
      </c>
    </row>
    <row r="1515" spans="1:10" x14ac:dyDescent="0.35">
      <c r="A1515" s="31">
        <v>45134.188888888886</v>
      </c>
      <c r="B1515" s="32">
        <v>0.83223379629629635</v>
      </c>
      <c r="C1515" s="33" t="s">
        <v>11</v>
      </c>
      <c r="D1515" s="33" t="s">
        <v>9</v>
      </c>
      <c r="E1515" s="34">
        <v>186.16</v>
      </c>
      <c r="F1515" s="33">
        <v>1</v>
      </c>
      <c r="G1515" s="34">
        <v>186.16</v>
      </c>
      <c r="H1515" s="33" t="s">
        <v>393</v>
      </c>
      <c r="I1515" s="33" t="str">
        <f t="shared" si="46"/>
        <v>Low sales</v>
      </c>
      <c r="J1515" s="33" t="str">
        <f t="shared" si="47"/>
        <v>not eligible</v>
      </c>
    </row>
    <row r="1516" spans="1:10" x14ac:dyDescent="0.35">
      <c r="A1516" s="31">
        <v>44931.111111111109</v>
      </c>
      <c r="B1516" s="32">
        <v>0.1582523148148148</v>
      </c>
      <c r="C1516" s="33" t="s">
        <v>14</v>
      </c>
      <c r="D1516" s="33" t="s">
        <v>12</v>
      </c>
      <c r="E1516" s="34">
        <v>151.41</v>
      </c>
      <c r="F1516" s="33">
        <v>3</v>
      </c>
      <c r="G1516" s="34">
        <v>454.23</v>
      </c>
      <c r="H1516" s="33" t="s">
        <v>251</v>
      </c>
      <c r="I1516" s="33" t="str">
        <f t="shared" si="46"/>
        <v>Low sales</v>
      </c>
      <c r="J1516" s="33" t="str">
        <f t="shared" si="47"/>
        <v>not eligible</v>
      </c>
    </row>
    <row r="1517" spans="1:10" x14ac:dyDescent="0.35">
      <c r="A1517" s="31">
        <v>45209.425000000003</v>
      </c>
      <c r="B1517" s="32">
        <v>0.25422453703703701</v>
      </c>
      <c r="C1517" s="33" t="s">
        <v>14</v>
      </c>
      <c r="D1517" s="33" t="s">
        <v>20</v>
      </c>
      <c r="E1517" s="34">
        <v>279.55</v>
      </c>
      <c r="F1517" s="33">
        <v>2</v>
      </c>
      <c r="G1517" s="34">
        <v>559.1</v>
      </c>
      <c r="H1517" s="33" t="s">
        <v>403</v>
      </c>
      <c r="I1517" s="33" t="str">
        <f t="shared" si="46"/>
        <v>Medium sales</v>
      </c>
      <c r="J1517" s="33" t="str">
        <f t="shared" si="47"/>
        <v>not eligible</v>
      </c>
    </row>
    <row r="1518" spans="1:10" x14ac:dyDescent="0.35">
      <c r="A1518" s="31">
        <v>45214.376388888886</v>
      </c>
      <c r="B1518" s="32">
        <v>0.72112268518518519</v>
      </c>
      <c r="C1518" s="33" t="s">
        <v>11</v>
      </c>
      <c r="D1518" s="33" t="s">
        <v>16</v>
      </c>
      <c r="E1518" s="34">
        <v>59.46</v>
      </c>
      <c r="F1518" s="33">
        <v>1</v>
      </c>
      <c r="G1518" s="34">
        <v>59.46</v>
      </c>
      <c r="H1518" s="33" t="s">
        <v>407</v>
      </c>
      <c r="I1518" s="33" t="str">
        <f t="shared" si="46"/>
        <v>Low sales</v>
      </c>
      <c r="J1518" s="33" t="str">
        <f t="shared" si="47"/>
        <v>not eligible</v>
      </c>
    </row>
    <row r="1519" spans="1:10" x14ac:dyDescent="0.35">
      <c r="A1519" s="31">
        <v>45017.626388888886</v>
      </c>
      <c r="B1519" s="32">
        <v>0.23011574074074073</v>
      </c>
      <c r="C1519" s="33" t="s">
        <v>11</v>
      </c>
      <c r="D1519" s="33" t="s">
        <v>16</v>
      </c>
      <c r="E1519" s="34">
        <v>474.5</v>
      </c>
      <c r="F1519" s="33">
        <v>1</v>
      </c>
      <c r="G1519" s="34">
        <v>474.5</v>
      </c>
      <c r="H1519" s="33" t="s">
        <v>39</v>
      </c>
      <c r="I1519" s="33" t="str">
        <f t="shared" si="46"/>
        <v>Low sales</v>
      </c>
      <c r="J1519" s="33" t="str">
        <f t="shared" si="47"/>
        <v>not eligible</v>
      </c>
    </row>
    <row r="1520" spans="1:10" x14ac:dyDescent="0.35">
      <c r="A1520" s="31">
        <v>45549.816666666666</v>
      </c>
      <c r="B1520" s="32">
        <v>0.26832175925925927</v>
      </c>
      <c r="C1520" s="33" t="s">
        <v>8</v>
      </c>
      <c r="D1520" s="33" t="s">
        <v>12</v>
      </c>
      <c r="E1520" s="34">
        <v>246.32</v>
      </c>
      <c r="F1520" s="33">
        <v>4</v>
      </c>
      <c r="G1520" s="34">
        <v>985.28</v>
      </c>
      <c r="H1520" s="33" t="s">
        <v>346</v>
      </c>
      <c r="I1520" s="33" t="str">
        <f t="shared" si="46"/>
        <v>Medium sales</v>
      </c>
      <c r="J1520" s="33" t="str">
        <f t="shared" si="47"/>
        <v>not eligible</v>
      </c>
    </row>
    <row r="1521" spans="1:10" x14ac:dyDescent="0.35">
      <c r="A1521" s="31">
        <v>45596.30972222222</v>
      </c>
      <c r="B1521" s="32">
        <v>0.28078703703703706</v>
      </c>
      <c r="C1521" s="33" t="s">
        <v>11</v>
      </c>
      <c r="D1521" s="33" t="s">
        <v>9</v>
      </c>
      <c r="E1521" s="34">
        <v>28.58</v>
      </c>
      <c r="F1521" s="33">
        <v>3</v>
      </c>
      <c r="G1521" s="34">
        <v>85.74</v>
      </c>
      <c r="H1521" s="33" t="s">
        <v>180</v>
      </c>
      <c r="I1521" s="33" t="str">
        <f t="shared" si="46"/>
        <v>Low sales</v>
      </c>
      <c r="J1521" s="33" t="str">
        <f t="shared" si="47"/>
        <v>not eligible</v>
      </c>
    </row>
    <row r="1522" spans="1:10" x14ac:dyDescent="0.35">
      <c r="A1522" s="31">
        <v>45457.9375</v>
      </c>
      <c r="B1522" s="32">
        <v>0.35702546296296295</v>
      </c>
      <c r="C1522" s="33" t="s">
        <v>11</v>
      </c>
      <c r="D1522" s="33" t="s">
        <v>20</v>
      </c>
      <c r="E1522" s="34">
        <v>209.59</v>
      </c>
      <c r="F1522" s="33">
        <v>3</v>
      </c>
      <c r="G1522" s="34">
        <v>628.77</v>
      </c>
      <c r="H1522" s="33" t="s">
        <v>43</v>
      </c>
      <c r="I1522" s="33" t="str">
        <f t="shared" si="46"/>
        <v>Medium sales</v>
      </c>
      <c r="J1522" s="33" t="str">
        <f t="shared" si="47"/>
        <v>not eligible</v>
      </c>
    </row>
    <row r="1523" spans="1:10" x14ac:dyDescent="0.35">
      <c r="A1523" s="31">
        <v>44965.511805555558</v>
      </c>
      <c r="B1523" s="32">
        <v>0.45873842592592595</v>
      </c>
      <c r="C1523" s="33" t="s">
        <v>14</v>
      </c>
      <c r="D1523" s="33" t="s">
        <v>20</v>
      </c>
      <c r="E1523" s="34">
        <v>93.7</v>
      </c>
      <c r="F1523" s="33">
        <v>5</v>
      </c>
      <c r="G1523" s="34">
        <v>468.5</v>
      </c>
      <c r="H1523" s="33" t="s">
        <v>63</v>
      </c>
      <c r="I1523" s="33" t="str">
        <f t="shared" si="46"/>
        <v>Low sales</v>
      </c>
      <c r="J1523" s="33" t="str">
        <f t="shared" si="47"/>
        <v>not eligible</v>
      </c>
    </row>
    <row r="1524" spans="1:10" x14ac:dyDescent="0.35">
      <c r="A1524" s="31">
        <v>45057.050694444442</v>
      </c>
      <c r="B1524" s="32">
        <v>0.36803240740740745</v>
      </c>
      <c r="C1524" s="33" t="s">
        <v>11</v>
      </c>
      <c r="D1524" s="33" t="s">
        <v>20</v>
      </c>
      <c r="E1524" s="34">
        <v>309.02</v>
      </c>
      <c r="F1524" s="33">
        <v>4</v>
      </c>
      <c r="G1524" s="34">
        <v>1236.08</v>
      </c>
      <c r="H1524" s="33" t="s">
        <v>362</v>
      </c>
      <c r="I1524" s="33" t="str">
        <f t="shared" si="46"/>
        <v>Medium sales</v>
      </c>
      <c r="J1524" s="33" t="str">
        <f t="shared" si="47"/>
        <v>eligible</v>
      </c>
    </row>
    <row r="1525" spans="1:10" x14ac:dyDescent="0.35">
      <c r="A1525" s="31">
        <v>45317.832638888889</v>
      </c>
      <c r="B1525" s="32">
        <v>0.76766203703703706</v>
      </c>
      <c r="C1525" s="33" t="s">
        <v>11</v>
      </c>
      <c r="D1525" s="33" t="s">
        <v>16</v>
      </c>
      <c r="E1525" s="34">
        <v>345.01</v>
      </c>
      <c r="F1525" s="33">
        <v>5</v>
      </c>
      <c r="G1525" s="34">
        <v>1725.05</v>
      </c>
      <c r="H1525" s="33" t="s">
        <v>392</v>
      </c>
      <c r="I1525" s="33" t="str">
        <f t="shared" si="46"/>
        <v>High sales</v>
      </c>
      <c r="J1525" s="33" t="str">
        <f t="shared" si="47"/>
        <v>eligible</v>
      </c>
    </row>
    <row r="1526" spans="1:10" x14ac:dyDescent="0.35">
      <c r="A1526" s="31">
        <v>45614.025694444441</v>
      </c>
      <c r="B1526" s="32">
        <v>3.3518518518518517E-2</v>
      </c>
      <c r="C1526" s="33" t="s">
        <v>8</v>
      </c>
      <c r="D1526" s="33" t="s">
        <v>20</v>
      </c>
      <c r="E1526" s="34">
        <v>152.61000000000001</v>
      </c>
      <c r="F1526" s="33">
        <v>4</v>
      </c>
      <c r="G1526" s="34">
        <v>610.44000000000005</v>
      </c>
      <c r="H1526" s="33" t="s">
        <v>124</v>
      </c>
      <c r="I1526" s="33" t="str">
        <f t="shared" si="46"/>
        <v>Medium sales</v>
      </c>
      <c r="J1526" s="33" t="str">
        <f t="shared" si="47"/>
        <v>not eligible</v>
      </c>
    </row>
    <row r="1527" spans="1:10" x14ac:dyDescent="0.35">
      <c r="A1527" s="31">
        <v>45391.723611111112</v>
      </c>
      <c r="B1527" s="32">
        <v>0.59983796296296299</v>
      </c>
      <c r="C1527" s="33" t="s">
        <v>14</v>
      </c>
      <c r="D1527" s="33" t="s">
        <v>9</v>
      </c>
      <c r="E1527" s="34">
        <v>207.82</v>
      </c>
      <c r="F1527" s="33">
        <v>2</v>
      </c>
      <c r="G1527" s="34">
        <v>415.64</v>
      </c>
      <c r="H1527" s="33" t="s">
        <v>116</v>
      </c>
      <c r="I1527" s="33" t="str">
        <f t="shared" si="46"/>
        <v>Low sales</v>
      </c>
      <c r="J1527" s="33" t="str">
        <f t="shared" si="47"/>
        <v>not eligible</v>
      </c>
    </row>
    <row r="1528" spans="1:10" x14ac:dyDescent="0.35">
      <c r="A1528" s="31">
        <v>45217.442361111112</v>
      </c>
      <c r="B1528" s="32">
        <v>0.95572916666666663</v>
      </c>
      <c r="C1528" s="33" t="s">
        <v>11</v>
      </c>
      <c r="D1528" s="33" t="s">
        <v>27</v>
      </c>
      <c r="E1528" s="34">
        <v>315.83999999999997</v>
      </c>
      <c r="F1528" s="33">
        <v>1</v>
      </c>
      <c r="G1528" s="34">
        <v>315.83999999999997</v>
      </c>
      <c r="H1528" s="33" t="s">
        <v>300</v>
      </c>
      <c r="I1528" s="33" t="str">
        <f t="shared" si="46"/>
        <v>Low sales</v>
      </c>
      <c r="J1528" s="33" t="str">
        <f t="shared" si="47"/>
        <v>not eligible</v>
      </c>
    </row>
    <row r="1529" spans="1:10" x14ac:dyDescent="0.35">
      <c r="A1529" s="31">
        <v>45387.859722222223</v>
      </c>
      <c r="B1529" s="32">
        <v>0.41576388888888888</v>
      </c>
      <c r="C1529" s="33" t="s">
        <v>8</v>
      </c>
      <c r="D1529" s="33" t="s">
        <v>9</v>
      </c>
      <c r="E1529" s="34">
        <v>442.21</v>
      </c>
      <c r="F1529" s="33">
        <v>4</v>
      </c>
      <c r="G1529" s="34">
        <v>1768.84</v>
      </c>
      <c r="H1529" s="33" t="s">
        <v>157</v>
      </c>
      <c r="I1529" s="33" t="str">
        <f t="shared" si="46"/>
        <v>High sales</v>
      </c>
      <c r="J1529" s="33" t="str">
        <f t="shared" si="47"/>
        <v>not eligible</v>
      </c>
    </row>
    <row r="1530" spans="1:10" x14ac:dyDescent="0.35">
      <c r="A1530" s="31">
        <v>45198.90902777778</v>
      </c>
      <c r="B1530" s="32">
        <v>0.54978009259259253</v>
      </c>
      <c r="C1530" s="33" t="s">
        <v>14</v>
      </c>
      <c r="D1530" s="33" t="s">
        <v>12</v>
      </c>
      <c r="E1530" s="34">
        <v>420.41</v>
      </c>
      <c r="F1530" s="33">
        <v>5</v>
      </c>
      <c r="G1530" s="34">
        <v>2102.0500000000002</v>
      </c>
      <c r="H1530" s="33" t="s">
        <v>98</v>
      </c>
      <c r="I1530" s="33" t="str">
        <f t="shared" si="46"/>
        <v>High sales</v>
      </c>
      <c r="J1530" s="33" t="str">
        <f t="shared" si="47"/>
        <v>not eligible</v>
      </c>
    </row>
    <row r="1531" spans="1:10" x14ac:dyDescent="0.35">
      <c r="A1531" s="31">
        <v>44930.474305555559</v>
      </c>
      <c r="B1531" s="32">
        <v>0.23406249999999998</v>
      </c>
      <c r="C1531" s="33" t="s">
        <v>14</v>
      </c>
      <c r="D1531" s="33" t="s">
        <v>20</v>
      </c>
      <c r="E1531" s="34">
        <v>67.239999999999995</v>
      </c>
      <c r="F1531" s="33">
        <v>2</v>
      </c>
      <c r="G1531" s="34">
        <v>134.47999999999999</v>
      </c>
      <c r="H1531" s="33" t="s">
        <v>385</v>
      </c>
      <c r="I1531" s="33" t="str">
        <f t="shared" si="46"/>
        <v>Low sales</v>
      </c>
      <c r="J1531" s="33" t="str">
        <f t="shared" si="47"/>
        <v>not eligible</v>
      </c>
    </row>
    <row r="1532" spans="1:10" x14ac:dyDescent="0.35">
      <c r="A1532" s="31">
        <v>45169.636805555558</v>
      </c>
      <c r="B1532" s="32">
        <v>0.21938657407407405</v>
      </c>
      <c r="C1532" s="33" t="s">
        <v>11</v>
      </c>
      <c r="D1532" s="33" t="s">
        <v>16</v>
      </c>
      <c r="E1532" s="34">
        <v>197.91</v>
      </c>
      <c r="F1532" s="33">
        <v>2</v>
      </c>
      <c r="G1532" s="34">
        <v>395.82</v>
      </c>
      <c r="H1532" s="33" t="s">
        <v>408</v>
      </c>
      <c r="I1532" s="33" t="str">
        <f t="shared" si="46"/>
        <v>Low sales</v>
      </c>
      <c r="J1532" s="33" t="str">
        <f t="shared" si="47"/>
        <v>not eligible</v>
      </c>
    </row>
    <row r="1533" spans="1:10" x14ac:dyDescent="0.35">
      <c r="A1533" s="31">
        <v>45648.904861111114</v>
      </c>
      <c r="B1533" s="32">
        <v>0.10131944444444445</v>
      </c>
      <c r="C1533" s="33" t="s">
        <v>14</v>
      </c>
      <c r="D1533" s="33" t="s">
        <v>12</v>
      </c>
      <c r="E1533" s="34">
        <v>249.53</v>
      </c>
      <c r="F1533" s="33">
        <v>2</v>
      </c>
      <c r="G1533" s="34">
        <v>499.06</v>
      </c>
      <c r="H1533" s="33" t="s">
        <v>13</v>
      </c>
      <c r="I1533" s="33" t="str">
        <f t="shared" si="46"/>
        <v>Low sales</v>
      </c>
      <c r="J1533" s="33" t="str">
        <f t="shared" si="47"/>
        <v>not eligible</v>
      </c>
    </row>
    <row r="1534" spans="1:10" x14ac:dyDescent="0.35">
      <c r="A1534" s="31">
        <v>45183.215277777781</v>
      </c>
      <c r="B1534" s="32">
        <v>0.84387731481481476</v>
      </c>
      <c r="C1534" s="33" t="s">
        <v>14</v>
      </c>
      <c r="D1534" s="33" t="s">
        <v>9</v>
      </c>
      <c r="E1534" s="34">
        <v>377.37</v>
      </c>
      <c r="F1534" s="33">
        <v>1</v>
      </c>
      <c r="G1534" s="34">
        <v>377.37</v>
      </c>
      <c r="H1534" s="33" t="s">
        <v>374</v>
      </c>
      <c r="I1534" s="33" t="str">
        <f t="shared" si="46"/>
        <v>Low sales</v>
      </c>
      <c r="J1534" s="33" t="str">
        <f t="shared" si="47"/>
        <v>not eligible</v>
      </c>
    </row>
    <row r="1535" spans="1:10" x14ac:dyDescent="0.35">
      <c r="A1535" s="31">
        <v>45419.965277777781</v>
      </c>
      <c r="B1535" s="32">
        <v>0.28891203703703705</v>
      </c>
      <c r="C1535" s="33" t="s">
        <v>14</v>
      </c>
      <c r="D1535" s="33" t="s">
        <v>16</v>
      </c>
      <c r="E1535" s="34">
        <v>416.25</v>
      </c>
      <c r="F1535" s="33">
        <v>5</v>
      </c>
      <c r="G1535" s="34">
        <v>2081.25</v>
      </c>
      <c r="H1535" s="33" t="s">
        <v>245</v>
      </c>
      <c r="I1535" s="33" t="str">
        <f t="shared" si="46"/>
        <v>High sales</v>
      </c>
      <c r="J1535" s="33" t="str">
        <f t="shared" si="47"/>
        <v>not eligible</v>
      </c>
    </row>
    <row r="1536" spans="1:10" x14ac:dyDescent="0.35">
      <c r="A1536" s="31">
        <v>44996.343055555553</v>
      </c>
      <c r="B1536" s="32">
        <v>0.79626157407407405</v>
      </c>
      <c r="C1536" s="33" t="s">
        <v>11</v>
      </c>
      <c r="D1536" s="33" t="s">
        <v>12</v>
      </c>
      <c r="E1536" s="34">
        <v>352.46</v>
      </c>
      <c r="F1536" s="33">
        <v>1</v>
      </c>
      <c r="G1536" s="34">
        <v>352.46</v>
      </c>
      <c r="H1536" s="33" t="s">
        <v>265</v>
      </c>
      <c r="I1536" s="33" t="str">
        <f t="shared" si="46"/>
        <v>Low sales</v>
      </c>
      <c r="J1536" s="33" t="str">
        <f t="shared" si="47"/>
        <v>not eligible</v>
      </c>
    </row>
    <row r="1537" spans="1:10" x14ac:dyDescent="0.35">
      <c r="A1537" s="31">
        <v>45038.558333333334</v>
      </c>
      <c r="B1537" s="32">
        <v>0.51932870370370365</v>
      </c>
      <c r="C1537" s="33" t="s">
        <v>8</v>
      </c>
      <c r="D1537" s="33" t="s">
        <v>27</v>
      </c>
      <c r="E1537" s="34">
        <v>45.82</v>
      </c>
      <c r="F1537" s="33">
        <v>4</v>
      </c>
      <c r="G1537" s="34">
        <v>183.28</v>
      </c>
      <c r="H1537" s="33" t="s">
        <v>197</v>
      </c>
      <c r="I1537" s="33" t="str">
        <f t="shared" si="46"/>
        <v>Low sales</v>
      </c>
      <c r="J1537" s="33" t="str">
        <f t="shared" si="47"/>
        <v>not eligible</v>
      </c>
    </row>
    <row r="1538" spans="1:10" x14ac:dyDescent="0.35">
      <c r="A1538" s="31">
        <v>45108.14166666667</v>
      </c>
      <c r="B1538" s="32">
        <v>0.65023148148148147</v>
      </c>
      <c r="C1538" s="33" t="s">
        <v>8</v>
      </c>
      <c r="D1538" s="33" t="s">
        <v>9</v>
      </c>
      <c r="E1538" s="34">
        <v>213.11</v>
      </c>
      <c r="F1538" s="33">
        <v>4</v>
      </c>
      <c r="G1538" s="34">
        <v>852.44</v>
      </c>
      <c r="H1538" s="33" t="s">
        <v>264</v>
      </c>
      <c r="I1538" s="33" t="str">
        <f t="shared" si="46"/>
        <v>Medium sales</v>
      </c>
      <c r="J1538" s="33" t="str">
        <f t="shared" si="47"/>
        <v>not eligible</v>
      </c>
    </row>
    <row r="1539" spans="1:10" x14ac:dyDescent="0.35">
      <c r="A1539" s="31">
        <v>45656.679166666669</v>
      </c>
      <c r="B1539" s="32">
        <v>8.4351851851851845E-2</v>
      </c>
      <c r="C1539" s="33" t="s">
        <v>8</v>
      </c>
      <c r="D1539" s="33" t="s">
        <v>16</v>
      </c>
      <c r="E1539" s="34">
        <v>347.94</v>
      </c>
      <c r="F1539" s="33">
        <v>1</v>
      </c>
      <c r="G1539" s="34">
        <v>347.94</v>
      </c>
      <c r="H1539" s="33" t="s">
        <v>128</v>
      </c>
      <c r="I1539" s="33" t="str">
        <f t="shared" ref="I1539:I1602" si="48">IF(G1539&gt;1500,"High sales", IF(G1539&gt;500,"Medium sales", "Low sales"))</f>
        <v>Low sales</v>
      </c>
      <c r="J1539" s="33" t="str">
        <f t="shared" ref="J1539:J1602" si="49">IF(AND(G1539&gt;1000,C1539="Premium"), "eligible", "not eligible")</f>
        <v>not eligible</v>
      </c>
    </row>
    <row r="1540" spans="1:10" x14ac:dyDescent="0.35">
      <c r="A1540" s="31">
        <v>45186.563194444447</v>
      </c>
      <c r="B1540" s="32">
        <v>0.14974537037037036</v>
      </c>
      <c r="C1540" s="33" t="s">
        <v>14</v>
      </c>
      <c r="D1540" s="33" t="s">
        <v>12</v>
      </c>
      <c r="E1540" s="34">
        <v>204.27</v>
      </c>
      <c r="F1540" s="33">
        <v>2</v>
      </c>
      <c r="G1540" s="34">
        <v>408.54</v>
      </c>
      <c r="H1540" s="33" t="s">
        <v>68</v>
      </c>
      <c r="I1540" s="33" t="str">
        <f t="shared" si="48"/>
        <v>Low sales</v>
      </c>
      <c r="J1540" s="33" t="str">
        <f t="shared" si="49"/>
        <v>not eligible</v>
      </c>
    </row>
    <row r="1541" spans="1:10" x14ac:dyDescent="0.35">
      <c r="A1541" s="31">
        <v>45247.808333333334</v>
      </c>
      <c r="B1541" s="32">
        <v>0.57467592592592587</v>
      </c>
      <c r="C1541" s="33" t="s">
        <v>11</v>
      </c>
      <c r="D1541" s="33" t="s">
        <v>27</v>
      </c>
      <c r="E1541" s="34">
        <v>105.34</v>
      </c>
      <c r="F1541" s="33">
        <v>3</v>
      </c>
      <c r="G1541" s="34">
        <v>316.02</v>
      </c>
      <c r="H1541" s="33" t="s">
        <v>311</v>
      </c>
      <c r="I1541" s="33" t="str">
        <f t="shared" si="48"/>
        <v>Low sales</v>
      </c>
      <c r="J1541" s="33" t="str">
        <f t="shared" si="49"/>
        <v>not eligible</v>
      </c>
    </row>
    <row r="1542" spans="1:10" x14ac:dyDescent="0.35">
      <c r="A1542" s="31">
        <v>45199.767361111109</v>
      </c>
      <c r="B1542" s="32">
        <v>0.90892361111111108</v>
      </c>
      <c r="C1542" s="33" t="s">
        <v>11</v>
      </c>
      <c r="D1542" s="33" t="s">
        <v>20</v>
      </c>
      <c r="E1542" s="34">
        <v>448.28</v>
      </c>
      <c r="F1542" s="33">
        <v>5</v>
      </c>
      <c r="G1542" s="34">
        <v>2241.4</v>
      </c>
      <c r="H1542" s="33" t="s">
        <v>215</v>
      </c>
      <c r="I1542" s="33" t="str">
        <f t="shared" si="48"/>
        <v>High sales</v>
      </c>
      <c r="J1542" s="33" t="str">
        <f t="shared" si="49"/>
        <v>eligible</v>
      </c>
    </row>
    <row r="1543" spans="1:10" x14ac:dyDescent="0.35">
      <c r="A1543" s="31">
        <v>45056.424305555556</v>
      </c>
      <c r="B1543" s="32">
        <v>0.35579861111111111</v>
      </c>
      <c r="C1543" s="33" t="s">
        <v>11</v>
      </c>
      <c r="D1543" s="33" t="s">
        <v>27</v>
      </c>
      <c r="E1543" s="34">
        <v>454.81</v>
      </c>
      <c r="F1543" s="33">
        <v>3</v>
      </c>
      <c r="G1543" s="34">
        <v>1364.43</v>
      </c>
      <c r="H1543" s="33" t="s">
        <v>345</v>
      </c>
      <c r="I1543" s="33" t="str">
        <f t="shared" si="48"/>
        <v>Medium sales</v>
      </c>
      <c r="J1543" s="33" t="str">
        <f t="shared" si="49"/>
        <v>eligible</v>
      </c>
    </row>
    <row r="1544" spans="1:10" x14ac:dyDescent="0.35">
      <c r="A1544" s="31">
        <v>44948.65625</v>
      </c>
      <c r="B1544" s="32">
        <v>9.1620370370370366E-2</v>
      </c>
      <c r="C1544" s="33" t="s">
        <v>8</v>
      </c>
      <c r="D1544" s="33" t="s">
        <v>12</v>
      </c>
      <c r="E1544" s="34">
        <v>439.13</v>
      </c>
      <c r="F1544" s="33">
        <v>3</v>
      </c>
      <c r="G1544" s="34">
        <v>1317.39</v>
      </c>
      <c r="H1544" s="33" t="s">
        <v>10</v>
      </c>
      <c r="I1544" s="33" t="str">
        <f t="shared" si="48"/>
        <v>Medium sales</v>
      </c>
      <c r="J1544" s="33" t="str">
        <f t="shared" si="49"/>
        <v>not eligible</v>
      </c>
    </row>
    <row r="1545" spans="1:10" x14ac:dyDescent="0.35">
      <c r="A1545" s="31">
        <v>45194.069444444445</v>
      </c>
      <c r="B1545" s="32">
        <v>0.8212962962962963</v>
      </c>
      <c r="C1545" s="33" t="s">
        <v>14</v>
      </c>
      <c r="D1545" s="33" t="s">
        <v>9</v>
      </c>
      <c r="E1545" s="34">
        <v>189.75</v>
      </c>
      <c r="F1545" s="33">
        <v>5</v>
      </c>
      <c r="G1545" s="34">
        <v>948.75</v>
      </c>
      <c r="H1545" s="33" t="s">
        <v>71</v>
      </c>
      <c r="I1545" s="33" t="str">
        <f t="shared" si="48"/>
        <v>Medium sales</v>
      </c>
      <c r="J1545" s="33" t="str">
        <f t="shared" si="49"/>
        <v>not eligible</v>
      </c>
    </row>
    <row r="1546" spans="1:10" x14ac:dyDescent="0.35">
      <c r="A1546" s="31">
        <v>45491.867361111108</v>
      </c>
      <c r="B1546" s="32">
        <v>0.87951388888888893</v>
      </c>
      <c r="C1546" s="33" t="s">
        <v>14</v>
      </c>
      <c r="D1546" s="33" t="s">
        <v>12</v>
      </c>
      <c r="E1546" s="34">
        <v>442.32</v>
      </c>
      <c r="F1546" s="33">
        <v>3</v>
      </c>
      <c r="G1546" s="34">
        <v>1326.96</v>
      </c>
      <c r="H1546" s="33" t="s">
        <v>262</v>
      </c>
      <c r="I1546" s="33" t="str">
        <f t="shared" si="48"/>
        <v>Medium sales</v>
      </c>
      <c r="J1546" s="33" t="str">
        <f t="shared" si="49"/>
        <v>not eligible</v>
      </c>
    </row>
    <row r="1547" spans="1:10" x14ac:dyDescent="0.35">
      <c r="A1547" s="31">
        <v>45127.966666666667</v>
      </c>
      <c r="B1547" s="32">
        <v>0.12217592592592592</v>
      </c>
      <c r="C1547" s="33" t="s">
        <v>8</v>
      </c>
      <c r="D1547" s="33" t="s">
        <v>9</v>
      </c>
      <c r="E1547" s="34">
        <v>273.18</v>
      </c>
      <c r="F1547" s="33">
        <v>4</v>
      </c>
      <c r="G1547" s="34">
        <v>1092.72</v>
      </c>
      <c r="H1547" s="33" t="s">
        <v>359</v>
      </c>
      <c r="I1547" s="33" t="str">
        <f t="shared" si="48"/>
        <v>Medium sales</v>
      </c>
      <c r="J1547" s="33" t="str">
        <f t="shared" si="49"/>
        <v>not eligible</v>
      </c>
    </row>
    <row r="1548" spans="1:10" x14ac:dyDescent="0.35">
      <c r="A1548" s="31">
        <v>44947.950694444444</v>
      </c>
      <c r="B1548" s="32">
        <v>0.25991898148148146</v>
      </c>
      <c r="C1548" s="33" t="s">
        <v>11</v>
      </c>
      <c r="D1548" s="33" t="s">
        <v>27</v>
      </c>
      <c r="E1548" s="34">
        <v>241.21</v>
      </c>
      <c r="F1548" s="33">
        <v>3</v>
      </c>
      <c r="G1548" s="34">
        <v>723.63</v>
      </c>
      <c r="H1548" s="33" t="s">
        <v>130</v>
      </c>
      <c r="I1548" s="33" t="str">
        <f t="shared" si="48"/>
        <v>Medium sales</v>
      </c>
      <c r="J1548" s="33" t="str">
        <f t="shared" si="49"/>
        <v>not eligible</v>
      </c>
    </row>
    <row r="1549" spans="1:10" x14ac:dyDescent="0.35">
      <c r="A1549" s="31">
        <v>44955.711805555555</v>
      </c>
      <c r="B1549" s="32">
        <v>0.63065972222222222</v>
      </c>
      <c r="C1549" s="33" t="s">
        <v>8</v>
      </c>
      <c r="D1549" s="33" t="s">
        <v>20</v>
      </c>
      <c r="E1549" s="34">
        <v>445.34</v>
      </c>
      <c r="F1549" s="33">
        <v>5</v>
      </c>
      <c r="G1549" s="34">
        <v>2226.6999999999998</v>
      </c>
      <c r="H1549" s="33" t="s">
        <v>325</v>
      </c>
      <c r="I1549" s="33" t="str">
        <f t="shared" si="48"/>
        <v>High sales</v>
      </c>
      <c r="J1549" s="33" t="str">
        <f t="shared" si="49"/>
        <v>not eligible</v>
      </c>
    </row>
    <row r="1550" spans="1:10" x14ac:dyDescent="0.35">
      <c r="A1550" s="31">
        <v>45273.361805555556</v>
      </c>
      <c r="B1550" s="32">
        <v>0.77866898148148145</v>
      </c>
      <c r="C1550" s="33" t="s">
        <v>14</v>
      </c>
      <c r="D1550" s="33" t="s">
        <v>20</v>
      </c>
      <c r="E1550" s="34">
        <v>358.78</v>
      </c>
      <c r="F1550" s="33">
        <v>1</v>
      </c>
      <c r="G1550" s="34">
        <v>358.78</v>
      </c>
      <c r="H1550" s="33" t="s">
        <v>179</v>
      </c>
      <c r="I1550" s="33" t="str">
        <f t="shared" si="48"/>
        <v>Low sales</v>
      </c>
      <c r="J1550" s="33" t="str">
        <f t="shared" si="49"/>
        <v>not eligible</v>
      </c>
    </row>
    <row r="1551" spans="1:10" x14ac:dyDescent="0.35">
      <c r="A1551" s="31">
        <v>45046.297222222223</v>
      </c>
      <c r="B1551" s="32">
        <v>0.34096064814814814</v>
      </c>
      <c r="C1551" s="33" t="s">
        <v>8</v>
      </c>
      <c r="D1551" s="33" t="s">
        <v>12</v>
      </c>
      <c r="E1551" s="34">
        <v>324.83999999999997</v>
      </c>
      <c r="F1551" s="33">
        <v>2</v>
      </c>
      <c r="G1551" s="34">
        <v>649.67999999999995</v>
      </c>
      <c r="H1551" s="33" t="s">
        <v>142</v>
      </c>
      <c r="I1551" s="33" t="str">
        <f t="shared" si="48"/>
        <v>Medium sales</v>
      </c>
      <c r="J1551" s="33" t="str">
        <f t="shared" si="49"/>
        <v>not eligible</v>
      </c>
    </row>
    <row r="1552" spans="1:10" x14ac:dyDescent="0.35">
      <c r="A1552" s="31">
        <v>44960.330555555556</v>
      </c>
      <c r="B1552" s="32">
        <v>0.43563657407407402</v>
      </c>
      <c r="C1552" s="33" t="s">
        <v>14</v>
      </c>
      <c r="D1552" s="33" t="s">
        <v>20</v>
      </c>
      <c r="E1552" s="34">
        <v>42.3</v>
      </c>
      <c r="F1552" s="33">
        <v>2</v>
      </c>
      <c r="G1552" s="34">
        <v>84.6</v>
      </c>
      <c r="H1552" s="33" t="s">
        <v>408</v>
      </c>
      <c r="I1552" s="33" t="str">
        <f t="shared" si="48"/>
        <v>Low sales</v>
      </c>
      <c r="J1552" s="33" t="str">
        <f t="shared" si="49"/>
        <v>not eligible</v>
      </c>
    </row>
    <row r="1553" spans="1:10" x14ac:dyDescent="0.35">
      <c r="A1553" s="31">
        <v>45466.359722222223</v>
      </c>
      <c r="B1553" s="32">
        <v>0.14800925925925926</v>
      </c>
      <c r="C1553" s="33" t="s">
        <v>8</v>
      </c>
      <c r="D1553" s="33" t="s">
        <v>9</v>
      </c>
      <c r="E1553" s="34">
        <v>60.27</v>
      </c>
      <c r="F1553" s="33">
        <v>1</v>
      </c>
      <c r="G1553" s="34">
        <v>60.27</v>
      </c>
      <c r="H1553" s="33" t="s">
        <v>29</v>
      </c>
      <c r="I1553" s="33" t="str">
        <f t="shared" si="48"/>
        <v>Low sales</v>
      </c>
      <c r="J1553" s="33" t="str">
        <f t="shared" si="49"/>
        <v>not eligible</v>
      </c>
    </row>
    <row r="1554" spans="1:10" x14ac:dyDescent="0.35">
      <c r="A1554" s="31">
        <v>45182.334722222222</v>
      </c>
      <c r="B1554" s="32">
        <v>6.9027777777777785E-2</v>
      </c>
      <c r="C1554" s="33" t="s">
        <v>14</v>
      </c>
      <c r="D1554" s="33" t="s">
        <v>16</v>
      </c>
      <c r="E1554" s="34">
        <v>153.27000000000001</v>
      </c>
      <c r="F1554" s="33">
        <v>5</v>
      </c>
      <c r="G1554" s="34">
        <v>766.35</v>
      </c>
      <c r="H1554" s="33" t="s">
        <v>192</v>
      </c>
      <c r="I1554" s="33" t="str">
        <f t="shared" si="48"/>
        <v>Medium sales</v>
      </c>
      <c r="J1554" s="33" t="str">
        <f t="shared" si="49"/>
        <v>not eligible</v>
      </c>
    </row>
    <row r="1555" spans="1:10" x14ac:dyDescent="0.35">
      <c r="A1555" s="31">
        <v>45476.425000000003</v>
      </c>
      <c r="B1555" s="32">
        <v>0.58450231481481485</v>
      </c>
      <c r="C1555" s="33" t="s">
        <v>11</v>
      </c>
      <c r="D1555" s="33" t="s">
        <v>20</v>
      </c>
      <c r="E1555" s="34">
        <v>192.86</v>
      </c>
      <c r="F1555" s="33">
        <v>1</v>
      </c>
      <c r="G1555" s="34">
        <v>192.86</v>
      </c>
      <c r="H1555" s="33" t="s">
        <v>342</v>
      </c>
      <c r="I1555" s="33" t="str">
        <f t="shared" si="48"/>
        <v>Low sales</v>
      </c>
      <c r="J1555" s="33" t="str">
        <f t="shared" si="49"/>
        <v>not eligible</v>
      </c>
    </row>
    <row r="1556" spans="1:10" x14ac:dyDescent="0.35">
      <c r="A1556" s="31">
        <v>44934.447916666664</v>
      </c>
      <c r="B1556" s="32">
        <v>0.20527777777777778</v>
      </c>
      <c r="C1556" s="33" t="s">
        <v>14</v>
      </c>
      <c r="D1556" s="33" t="s">
        <v>16</v>
      </c>
      <c r="E1556" s="34">
        <v>394.97</v>
      </c>
      <c r="F1556" s="33">
        <v>4</v>
      </c>
      <c r="G1556" s="34">
        <v>1579.88</v>
      </c>
      <c r="H1556" s="33" t="s">
        <v>302</v>
      </c>
      <c r="I1556" s="33" t="str">
        <f t="shared" si="48"/>
        <v>High sales</v>
      </c>
      <c r="J1556" s="33" t="str">
        <f t="shared" si="49"/>
        <v>not eligible</v>
      </c>
    </row>
    <row r="1557" spans="1:10" x14ac:dyDescent="0.35">
      <c r="A1557" s="31">
        <v>45167.806250000001</v>
      </c>
      <c r="B1557" s="32">
        <v>0.79483796296296294</v>
      </c>
      <c r="C1557" s="33" t="s">
        <v>11</v>
      </c>
      <c r="D1557" s="33" t="s">
        <v>20</v>
      </c>
      <c r="E1557" s="34">
        <v>107.77</v>
      </c>
      <c r="F1557" s="33">
        <v>5</v>
      </c>
      <c r="G1557" s="34">
        <v>538.85</v>
      </c>
      <c r="H1557" s="33" t="s">
        <v>205</v>
      </c>
      <c r="I1557" s="33" t="str">
        <f t="shared" si="48"/>
        <v>Medium sales</v>
      </c>
      <c r="J1557" s="33" t="str">
        <f t="shared" si="49"/>
        <v>not eligible</v>
      </c>
    </row>
    <row r="1558" spans="1:10" x14ac:dyDescent="0.35">
      <c r="A1558" s="31">
        <v>45553.722916666666</v>
      </c>
      <c r="B1558" s="32">
        <v>0.9802777777777778</v>
      </c>
      <c r="C1558" s="33" t="s">
        <v>8</v>
      </c>
      <c r="D1558" s="33" t="s">
        <v>12</v>
      </c>
      <c r="E1558" s="34">
        <v>161.65</v>
      </c>
      <c r="F1558" s="33">
        <v>2</v>
      </c>
      <c r="G1558" s="34">
        <v>323.3</v>
      </c>
      <c r="H1558" s="33" t="s">
        <v>33</v>
      </c>
      <c r="I1558" s="33" t="str">
        <f t="shared" si="48"/>
        <v>Low sales</v>
      </c>
      <c r="J1558" s="33" t="str">
        <f t="shared" si="49"/>
        <v>not eligible</v>
      </c>
    </row>
    <row r="1559" spans="1:10" x14ac:dyDescent="0.35">
      <c r="A1559" s="31">
        <v>45426.96875</v>
      </c>
      <c r="B1559" s="32">
        <v>0.40410879629629631</v>
      </c>
      <c r="C1559" s="33" t="s">
        <v>8</v>
      </c>
      <c r="D1559" s="33" t="s">
        <v>9</v>
      </c>
      <c r="E1559" s="34">
        <v>176.77</v>
      </c>
      <c r="F1559" s="33">
        <v>5</v>
      </c>
      <c r="G1559" s="34">
        <v>883.85</v>
      </c>
      <c r="H1559" s="33" t="s">
        <v>237</v>
      </c>
      <c r="I1559" s="33" t="str">
        <f t="shared" si="48"/>
        <v>Medium sales</v>
      </c>
      <c r="J1559" s="33" t="str">
        <f t="shared" si="49"/>
        <v>not eligible</v>
      </c>
    </row>
    <row r="1560" spans="1:10" x14ac:dyDescent="0.35">
      <c r="A1560" s="31">
        <v>45375.588194444441</v>
      </c>
      <c r="B1560" s="32">
        <v>0.48251157407407402</v>
      </c>
      <c r="C1560" s="33" t="s">
        <v>14</v>
      </c>
      <c r="D1560" s="33" t="s">
        <v>20</v>
      </c>
      <c r="E1560" s="34">
        <v>444.42</v>
      </c>
      <c r="F1560" s="33">
        <v>4</v>
      </c>
      <c r="G1560" s="34">
        <v>1777.68</v>
      </c>
      <c r="H1560" s="33" t="s">
        <v>339</v>
      </c>
      <c r="I1560" s="33" t="str">
        <f t="shared" si="48"/>
        <v>High sales</v>
      </c>
      <c r="J1560" s="33" t="str">
        <f t="shared" si="49"/>
        <v>not eligible</v>
      </c>
    </row>
    <row r="1561" spans="1:10" x14ac:dyDescent="0.35">
      <c r="A1561" s="31">
        <v>45498.947916666664</v>
      </c>
      <c r="B1561" s="32">
        <v>9.5381944444444436E-2</v>
      </c>
      <c r="C1561" s="33" t="s">
        <v>8</v>
      </c>
      <c r="D1561" s="33" t="s">
        <v>16</v>
      </c>
      <c r="E1561" s="34">
        <v>148.07</v>
      </c>
      <c r="F1561" s="33">
        <v>1</v>
      </c>
      <c r="G1561" s="34">
        <v>148.07</v>
      </c>
      <c r="H1561" s="33" t="s">
        <v>320</v>
      </c>
      <c r="I1561" s="33" t="str">
        <f t="shared" si="48"/>
        <v>Low sales</v>
      </c>
      <c r="J1561" s="33" t="str">
        <f t="shared" si="49"/>
        <v>not eligible</v>
      </c>
    </row>
    <row r="1562" spans="1:10" x14ac:dyDescent="0.35">
      <c r="A1562" s="31">
        <v>45388.288888888892</v>
      </c>
      <c r="B1562" s="32">
        <v>0.47464120370370372</v>
      </c>
      <c r="C1562" s="33" t="s">
        <v>8</v>
      </c>
      <c r="D1562" s="33" t="s">
        <v>9</v>
      </c>
      <c r="E1562" s="34">
        <v>191.56</v>
      </c>
      <c r="F1562" s="33">
        <v>5</v>
      </c>
      <c r="G1562" s="34">
        <v>957.8</v>
      </c>
      <c r="H1562" s="33" t="s">
        <v>329</v>
      </c>
      <c r="I1562" s="33" t="str">
        <f t="shared" si="48"/>
        <v>Medium sales</v>
      </c>
      <c r="J1562" s="33" t="str">
        <f t="shared" si="49"/>
        <v>not eligible</v>
      </c>
    </row>
    <row r="1563" spans="1:10" x14ac:dyDescent="0.35">
      <c r="A1563" s="31">
        <v>45629.890277777777</v>
      </c>
      <c r="B1563" s="32">
        <v>0.15947916666666667</v>
      </c>
      <c r="C1563" s="33" t="s">
        <v>14</v>
      </c>
      <c r="D1563" s="33" t="s">
        <v>27</v>
      </c>
      <c r="E1563" s="34">
        <v>36.46</v>
      </c>
      <c r="F1563" s="33">
        <v>5</v>
      </c>
      <c r="G1563" s="34">
        <v>182.3</v>
      </c>
      <c r="H1563" s="33" t="s">
        <v>351</v>
      </c>
      <c r="I1563" s="33" t="str">
        <f t="shared" si="48"/>
        <v>Low sales</v>
      </c>
      <c r="J1563" s="33" t="str">
        <f t="shared" si="49"/>
        <v>not eligible</v>
      </c>
    </row>
    <row r="1564" spans="1:10" x14ac:dyDescent="0.35">
      <c r="A1564" s="31">
        <v>44969.329861111109</v>
      </c>
      <c r="B1564" s="32">
        <v>0.94403935185185184</v>
      </c>
      <c r="C1564" s="33" t="s">
        <v>11</v>
      </c>
      <c r="D1564" s="33" t="s">
        <v>16</v>
      </c>
      <c r="E1564" s="34">
        <v>471.85</v>
      </c>
      <c r="F1564" s="33">
        <v>4</v>
      </c>
      <c r="G1564" s="34">
        <v>1887.4</v>
      </c>
      <c r="H1564" s="33" t="s">
        <v>72</v>
      </c>
      <c r="I1564" s="33" t="str">
        <f t="shared" si="48"/>
        <v>High sales</v>
      </c>
      <c r="J1564" s="33" t="str">
        <f t="shared" si="49"/>
        <v>eligible</v>
      </c>
    </row>
    <row r="1565" spans="1:10" x14ac:dyDescent="0.35">
      <c r="A1565" s="31">
        <v>45197.977777777778</v>
      </c>
      <c r="B1565" s="32">
        <v>0.91381944444444441</v>
      </c>
      <c r="C1565" s="33" t="s">
        <v>8</v>
      </c>
      <c r="D1565" s="33" t="s">
        <v>20</v>
      </c>
      <c r="E1565" s="34">
        <v>121.97</v>
      </c>
      <c r="F1565" s="33">
        <v>1</v>
      </c>
      <c r="G1565" s="34">
        <v>121.97</v>
      </c>
      <c r="H1565" s="33" t="s">
        <v>407</v>
      </c>
      <c r="I1565" s="33" t="str">
        <f t="shared" si="48"/>
        <v>Low sales</v>
      </c>
      <c r="J1565" s="33" t="str">
        <f t="shared" si="49"/>
        <v>not eligible</v>
      </c>
    </row>
    <row r="1566" spans="1:10" x14ac:dyDescent="0.35">
      <c r="A1566" s="31">
        <v>45583.453472222223</v>
      </c>
      <c r="B1566" s="32">
        <v>0.44939814814814816</v>
      </c>
      <c r="C1566" s="33" t="s">
        <v>14</v>
      </c>
      <c r="D1566" s="33" t="s">
        <v>9</v>
      </c>
      <c r="E1566" s="34">
        <v>200.29</v>
      </c>
      <c r="F1566" s="33">
        <v>2</v>
      </c>
      <c r="G1566" s="34">
        <v>400.58</v>
      </c>
      <c r="H1566" s="33" t="s">
        <v>295</v>
      </c>
      <c r="I1566" s="33" t="str">
        <f t="shared" si="48"/>
        <v>Low sales</v>
      </c>
      <c r="J1566" s="33" t="str">
        <f t="shared" si="49"/>
        <v>not eligible</v>
      </c>
    </row>
    <row r="1567" spans="1:10" x14ac:dyDescent="0.35">
      <c r="A1567" s="31">
        <v>45005.722222222219</v>
      </c>
      <c r="B1567" s="32">
        <v>0.64861111111111114</v>
      </c>
      <c r="C1567" s="33" t="s">
        <v>8</v>
      </c>
      <c r="D1567" s="33" t="s">
        <v>27</v>
      </c>
      <c r="E1567" s="34">
        <v>418.8</v>
      </c>
      <c r="F1567" s="33">
        <v>3</v>
      </c>
      <c r="G1567" s="34">
        <v>1256.4000000000001</v>
      </c>
      <c r="H1567" s="33" t="s">
        <v>210</v>
      </c>
      <c r="I1567" s="33" t="str">
        <f t="shared" si="48"/>
        <v>Medium sales</v>
      </c>
      <c r="J1567" s="33" t="str">
        <f t="shared" si="49"/>
        <v>not eligible</v>
      </c>
    </row>
    <row r="1568" spans="1:10" x14ac:dyDescent="0.35">
      <c r="A1568" s="31">
        <v>44990.630555555559</v>
      </c>
      <c r="B1568" s="32">
        <v>0.16468750000000001</v>
      </c>
      <c r="C1568" s="33" t="s">
        <v>14</v>
      </c>
      <c r="D1568" s="33" t="s">
        <v>9</v>
      </c>
      <c r="E1568" s="34">
        <v>373.49</v>
      </c>
      <c r="F1568" s="33">
        <v>3</v>
      </c>
      <c r="G1568" s="34">
        <v>1120.47</v>
      </c>
      <c r="H1568" s="33" t="s">
        <v>243</v>
      </c>
      <c r="I1568" s="33" t="str">
        <f t="shared" si="48"/>
        <v>Medium sales</v>
      </c>
      <c r="J1568" s="33" t="str">
        <f t="shared" si="49"/>
        <v>not eligible</v>
      </c>
    </row>
    <row r="1569" spans="1:10" x14ac:dyDescent="0.35">
      <c r="A1569" s="31">
        <v>45005.82916666667</v>
      </c>
      <c r="B1569" s="32">
        <v>0.38914351851851853</v>
      </c>
      <c r="C1569" s="33" t="s">
        <v>14</v>
      </c>
      <c r="D1569" s="33" t="s">
        <v>16</v>
      </c>
      <c r="E1569" s="34">
        <v>368.63</v>
      </c>
      <c r="F1569" s="33">
        <v>1</v>
      </c>
      <c r="G1569" s="34">
        <v>368.63</v>
      </c>
      <c r="H1569" s="33" t="s">
        <v>291</v>
      </c>
      <c r="I1569" s="33" t="str">
        <f t="shared" si="48"/>
        <v>Low sales</v>
      </c>
      <c r="J1569" s="33" t="str">
        <f t="shared" si="49"/>
        <v>not eligible</v>
      </c>
    </row>
    <row r="1570" spans="1:10" x14ac:dyDescent="0.35">
      <c r="A1570" s="31">
        <v>45474.650694444441</v>
      </c>
      <c r="B1570" s="32">
        <v>0.12708333333333333</v>
      </c>
      <c r="C1570" s="33" t="s">
        <v>14</v>
      </c>
      <c r="D1570" s="33" t="s">
        <v>12</v>
      </c>
      <c r="E1570" s="34">
        <v>372.7</v>
      </c>
      <c r="F1570" s="33">
        <v>4</v>
      </c>
      <c r="G1570" s="34">
        <v>1490.8</v>
      </c>
      <c r="H1570" s="33" t="s">
        <v>302</v>
      </c>
      <c r="I1570" s="33" t="str">
        <f t="shared" si="48"/>
        <v>Medium sales</v>
      </c>
      <c r="J1570" s="33" t="str">
        <f t="shared" si="49"/>
        <v>not eligible</v>
      </c>
    </row>
    <row r="1571" spans="1:10" x14ac:dyDescent="0.35">
      <c r="A1571" s="31">
        <v>45394.48541666667</v>
      </c>
      <c r="B1571" s="32">
        <v>0.56376157407407412</v>
      </c>
      <c r="C1571" s="33" t="s">
        <v>8</v>
      </c>
      <c r="D1571" s="33" t="s">
        <v>27</v>
      </c>
      <c r="E1571" s="34">
        <v>10.06</v>
      </c>
      <c r="F1571" s="33">
        <v>1</v>
      </c>
      <c r="G1571" s="34">
        <v>10.06</v>
      </c>
      <c r="H1571" s="33" t="s">
        <v>182</v>
      </c>
      <c r="I1571" s="33" t="str">
        <f t="shared" si="48"/>
        <v>Low sales</v>
      </c>
      <c r="J1571" s="33" t="str">
        <f t="shared" si="49"/>
        <v>not eligible</v>
      </c>
    </row>
    <row r="1572" spans="1:10" x14ac:dyDescent="0.35">
      <c r="A1572" s="31">
        <v>45025.686111111114</v>
      </c>
      <c r="B1572" s="32">
        <v>0.59832175925925923</v>
      </c>
      <c r="C1572" s="33" t="s">
        <v>11</v>
      </c>
      <c r="D1572" s="33" t="s">
        <v>12</v>
      </c>
      <c r="E1572" s="34">
        <v>338.83</v>
      </c>
      <c r="F1572" s="33">
        <v>1</v>
      </c>
      <c r="G1572" s="34">
        <v>338.83</v>
      </c>
      <c r="H1572" s="33" t="s">
        <v>235</v>
      </c>
      <c r="I1572" s="33" t="str">
        <f t="shared" si="48"/>
        <v>Low sales</v>
      </c>
      <c r="J1572" s="33" t="str">
        <f t="shared" si="49"/>
        <v>not eligible</v>
      </c>
    </row>
    <row r="1573" spans="1:10" x14ac:dyDescent="0.35">
      <c r="A1573" s="31">
        <v>45033.873611111114</v>
      </c>
      <c r="B1573" s="32">
        <v>0.21846064814814814</v>
      </c>
      <c r="C1573" s="33" t="s">
        <v>8</v>
      </c>
      <c r="D1573" s="33" t="s">
        <v>27</v>
      </c>
      <c r="E1573" s="34">
        <v>19.71</v>
      </c>
      <c r="F1573" s="33">
        <v>4</v>
      </c>
      <c r="G1573" s="34">
        <v>78.84</v>
      </c>
      <c r="H1573" s="33" t="s">
        <v>219</v>
      </c>
      <c r="I1573" s="33" t="str">
        <f t="shared" si="48"/>
        <v>Low sales</v>
      </c>
      <c r="J1573" s="33" t="str">
        <f t="shared" si="49"/>
        <v>not eligible</v>
      </c>
    </row>
    <row r="1574" spans="1:10" x14ac:dyDescent="0.35">
      <c r="A1574" s="31">
        <v>45039.192361111112</v>
      </c>
      <c r="B1574" s="32">
        <v>0.60405092592592591</v>
      </c>
      <c r="C1574" s="33" t="s">
        <v>8</v>
      </c>
      <c r="D1574" s="33" t="s">
        <v>27</v>
      </c>
      <c r="E1574" s="34">
        <v>473.9</v>
      </c>
      <c r="F1574" s="33">
        <v>5</v>
      </c>
      <c r="G1574" s="34">
        <v>2369.5</v>
      </c>
      <c r="H1574" s="33" t="s">
        <v>207</v>
      </c>
      <c r="I1574" s="33" t="str">
        <f t="shared" si="48"/>
        <v>High sales</v>
      </c>
      <c r="J1574" s="33" t="str">
        <f t="shared" si="49"/>
        <v>not eligible</v>
      </c>
    </row>
    <row r="1575" spans="1:10" x14ac:dyDescent="0.35">
      <c r="A1575" s="31">
        <v>44948.462500000001</v>
      </c>
      <c r="B1575" s="32">
        <v>0.25052083333333336</v>
      </c>
      <c r="C1575" s="33" t="s">
        <v>14</v>
      </c>
      <c r="D1575" s="33" t="s">
        <v>9</v>
      </c>
      <c r="E1575" s="34">
        <v>375.51</v>
      </c>
      <c r="F1575" s="33">
        <v>3</v>
      </c>
      <c r="G1575" s="34">
        <v>1126.53</v>
      </c>
      <c r="H1575" s="33" t="s">
        <v>201</v>
      </c>
      <c r="I1575" s="33" t="str">
        <f t="shared" si="48"/>
        <v>Medium sales</v>
      </c>
      <c r="J1575" s="33" t="str">
        <f t="shared" si="49"/>
        <v>not eligible</v>
      </c>
    </row>
    <row r="1576" spans="1:10" x14ac:dyDescent="0.35">
      <c r="A1576" s="31">
        <v>45030.470138888886</v>
      </c>
      <c r="B1576" s="32">
        <v>3.4513888888888893E-2</v>
      </c>
      <c r="C1576" s="33" t="s">
        <v>14</v>
      </c>
      <c r="D1576" s="33" t="s">
        <v>9</v>
      </c>
      <c r="E1576" s="34">
        <v>173.38</v>
      </c>
      <c r="F1576" s="33">
        <v>3</v>
      </c>
      <c r="G1576" s="34">
        <v>520.14</v>
      </c>
      <c r="H1576" s="33" t="s">
        <v>126</v>
      </c>
      <c r="I1576" s="33" t="str">
        <f t="shared" si="48"/>
        <v>Medium sales</v>
      </c>
      <c r="J1576" s="33" t="str">
        <f t="shared" si="49"/>
        <v>not eligible</v>
      </c>
    </row>
    <row r="1577" spans="1:10" x14ac:dyDescent="0.35">
      <c r="A1577" s="31">
        <v>45579.376388888886</v>
      </c>
      <c r="B1577" s="32">
        <v>0.74055555555555552</v>
      </c>
      <c r="C1577" s="33" t="s">
        <v>14</v>
      </c>
      <c r="D1577" s="33" t="s">
        <v>9</v>
      </c>
      <c r="E1577" s="34">
        <v>39.71</v>
      </c>
      <c r="F1577" s="33">
        <v>4</v>
      </c>
      <c r="G1577" s="34">
        <v>158.84</v>
      </c>
      <c r="H1577" s="33" t="s">
        <v>363</v>
      </c>
      <c r="I1577" s="33" t="str">
        <f t="shared" si="48"/>
        <v>Low sales</v>
      </c>
      <c r="J1577" s="33" t="str">
        <f t="shared" si="49"/>
        <v>not eligible</v>
      </c>
    </row>
    <row r="1578" spans="1:10" x14ac:dyDescent="0.35">
      <c r="A1578" s="31">
        <v>45072.444444444445</v>
      </c>
      <c r="B1578" s="32">
        <v>0.82346064814814823</v>
      </c>
      <c r="C1578" s="33" t="s">
        <v>8</v>
      </c>
      <c r="D1578" s="33" t="s">
        <v>27</v>
      </c>
      <c r="E1578" s="34">
        <v>328.78</v>
      </c>
      <c r="F1578" s="33">
        <v>5</v>
      </c>
      <c r="G1578" s="34">
        <v>1643.9</v>
      </c>
      <c r="H1578" s="33" t="s">
        <v>342</v>
      </c>
      <c r="I1578" s="33" t="str">
        <f t="shared" si="48"/>
        <v>High sales</v>
      </c>
      <c r="J1578" s="33" t="str">
        <f t="shared" si="49"/>
        <v>not eligible</v>
      </c>
    </row>
    <row r="1579" spans="1:10" x14ac:dyDescent="0.35">
      <c r="A1579" s="31">
        <v>45110.394444444442</v>
      </c>
      <c r="B1579" s="32">
        <v>0.42162037037037042</v>
      </c>
      <c r="C1579" s="33" t="s">
        <v>14</v>
      </c>
      <c r="D1579" s="33" t="s">
        <v>12</v>
      </c>
      <c r="E1579" s="34">
        <v>120.69</v>
      </c>
      <c r="F1579" s="33">
        <v>2</v>
      </c>
      <c r="G1579" s="34">
        <v>241.38</v>
      </c>
      <c r="H1579" s="33" t="s">
        <v>214</v>
      </c>
      <c r="I1579" s="33" t="str">
        <f t="shared" si="48"/>
        <v>Low sales</v>
      </c>
      <c r="J1579" s="33" t="str">
        <f t="shared" si="49"/>
        <v>not eligible</v>
      </c>
    </row>
    <row r="1580" spans="1:10" x14ac:dyDescent="0.35">
      <c r="A1580" s="31">
        <v>45478.93472222222</v>
      </c>
      <c r="B1580" s="32">
        <v>0.55483796296296295</v>
      </c>
      <c r="C1580" s="33" t="s">
        <v>8</v>
      </c>
      <c r="D1580" s="33" t="s">
        <v>27</v>
      </c>
      <c r="E1580" s="34">
        <v>449.23</v>
      </c>
      <c r="F1580" s="33">
        <v>5</v>
      </c>
      <c r="G1580" s="34">
        <v>2246.15</v>
      </c>
      <c r="H1580" s="33" t="s">
        <v>270</v>
      </c>
      <c r="I1580" s="33" t="str">
        <f t="shared" si="48"/>
        <v>High sales</v>
      </c>
      <c r="J1580" s="33" t="str">
        <f t="shared" si="49"/>
        <v>not eligible</v>
      </c>
    </row>
    <row r="1581" spans="1:10" x14ac:dyDescent="0.35">
      <c r="A1581" s="31">
        <v>45125.134027777778</v>
      </c>
      <c r="B1581" s="32">
        <v>0.84211805555555552</v>
      </c>
      <c r="C1581" s="33" t="s">
        <v>11</v>
      </c>
      <c r="D1581" s="33" t="s">
        <v>20</v>
      </c>
      <c r="E1581" s="34">
        <v>214.09</v>
      </c>
      <c r="F1581" s="33">
        <v>5</v>
      </c>
      <c r="G1581" s="34">
        <v>1070.45</v>
      </c>
      <c r="H1581" s="33" t="s">
        <v>103</v>
      </c>
      <c r="I1581" s="33" t="str">
        <f t="shared" si="48"/>
        <v>Medium sales</v>
      </c>
      <c r="J1581" s="33" t="str">
        <f t="shared" si="49"/>
        <v>eligible</v>
      </c>
    </row>
    <row r="1582" spans="1:10" x14ac:dyDescent="0.35">
      <c r="A1582" s="31">
        <v>45036.761805555558</v>
      </c>
      <c r="B1582" s="32">
        <v>2.5925925925925925E-3</v>
      </c>
      <c r="C1582" s="33" t="s">
        <v>11</v>
      </c>
      <c r="D1582" s="33" t="s">
        <v>12</v>
      </c>
      <c r="E1582" s="34">
        <v>83.85</v>
      </c>
      <c r="F1582" s="33">
        <v>1</v>
      </c>
      <c r="G1582" s="34">
        <v>83.85</v>
      </c>
      <c r="H1582" s="33" t="s">
        <v>81</v>
      </c>
      <c r="I1582" s="33" t="str">
        <f t="shared" si="48"/>
        <v>Low sales</v>
      </c>
      <c r="J1582" s="33" t="str">
        <f t="shared" si="49"/>
        <v>not eligible</v>
      </c>
    </row>
    <row r="1583" spans="1:10" x14ac:dyDescent="0.35">
      <c r="A1583" s="31">
        <v>45666.166666666664</v>
      </c>
      <c r="B1583" s="32">
        <v>0.46392361111111113</v>
      </c>
      <c r="C1583" s="33" t="s">
        <v>11</v>
      </c>
      <c r="D1583" s="33" t="s">
        <v>12</v>
      </c>
      <c r="E1583" s="34">
        <v>320.29000000000002</v>
      </c>
      <c r="F1583" s="33">
        <v>5</v>
      </c>
      <c r="G1583" s="34">
        <v>1601.45</v>
      </c>
      <c r="H1583" s="33" t="s">
        <v>85</v>
      </c>
      <c r="I1583" s="33" t="str">
        <f t="shared" si="48"/>
        <v>High sales</v>
      </c>
      <c r="J1583" s="33" t="str">
        <f t="shared" si="49"/>
        <v>eligible</v>
      </c>
    </row>
    <row r="1584" spans="1:10" x14ac:dyDescent="0.35">
      <c r="A1584" s="31">
        <v>45545.705555555556</v>
      </c>
      <c r="B1584" s="32">
        <v>0.23165509259259257</v>
      </c>
      <c r="C1584" s="33" t="s">
        <v>8</v>
      </c>
      <c r="D1584" s="33" t="s">
        <v>16</v>
      </c>
      <c r="E1584" s="34">
        <v>316.81</v>
      </c>
      <c r="F1584" s="33">
        <v>1</v>
      </c>
      <c r="G1584" s="34">
        <v>316.81</v>
      </c>
      <c r="H1584" s="33" t="s">
        <v>211</v>
      </c>
      <c r="I1584" s="33" t="str">
        <f t="shared" si="48"/>
        <v>Low sales</v>
      </c>
      <c r="J1584" s="33" t="str">
        <f t="shared" si="49"/>
        <v>not eligible</v>
      </c>
    </row>
    <row r="1585" spans="1:10" x14ac:dyDescent="0.35">
      <c r="A1585" s="31">
        <v>45591.486111111109</v>
      </c>
      <c r="B1585" s="32">
        <v>0.48218749999999999</v>
      </c>
      <c r="C1585" s="33" t="s">
        <v>14</v>
      </c>
      <c r="D1585" s="33" t="s">
        <v>20</v>
      </c>
      <c r="E1585" s="34">
        <v>260.95</v>
      </c>
      <c r="F1585" s="33">
        <v>3</v>
      </c>
      <c r="G1585" s="34">
        <v>782.85</v>
      </c>
      <c r="H1585" s="33" t="s">
        <v>276</v>
      </c>
      <c r="I1585" s="33" t="str">
        <f t="shared" si="48"/>
        <v>Medium sales</v>
      </c>
      <c r="J1585" s="33" t="str">
        <f t="shared" si="49"/>
        <v>not eligible</v>
      </c>
    </row>
    <row r="1586" spans="1:10" x14ac:dyDescent="0.35">
      <c r="A1586" s="31">
        <v>45046.729166666664</v>
      </c>
      <c r="B1586" s="32">
        <v>0.10002314814814815</v>
      </c>
      <c r="C1586" s="33" t="s">
        <v>11</v>
      </c>
      <c r="D1586" s="33" t="s">
        <v>27</v>
      </c>
      <c r="E1586" s="34">
        <v>282.91000000000003</v>
      </c>
      <c r="F1586" s="33">
        <v>1</v>
      </c>
      <c r="G1586" s="34">
        <v>282.91000000000003</v>
      </c>
      <c r="H1586" s="33" t="s">
        <v>59</v>
      </c>
      <c r="I1586" s="33" t="str">
        <f t="shared" si="48"/>
        <v>Low sales</v>
      </c>
      <c r="J1586" s="33" t="str">
        <f t="shared" si="49"/>
        <v>not eligible</v>
      </c>
    </row>
    <row r="1587" spans="1:10" x14ac:dyDescent="0.35">
      <c r="A1587" s="31">
        <v>45549.251388888886</v>
      </c>
      <c r="B1587" s="32">
        <v>0.94616898148148154</v>
      </c>
      <c r="C1587" s="33" t="s">
        <v>8</v>
      </c>
      <c r="D1587" s="33" t="s">
        <v>27</v>
      </c>
      <c r="E1587" s="34">
        <v>243.07</v>
      </c>
      <c r="F1587" s="33">
        <v>1</v>
      </c>
      <c r="G1587" s="34">
        <v>243.07</v>
      </c>
      <c r="H1587" s="33" t="s">
        <v>28</v>
      </c>
      <c r="I1587" s="33" t="str">
        <f t="shared" si="48"/>
        <v>Low sales</v>
      </c>
      <c r="J1587" s="33" t="str">
        <f t="shared" si="49"/>
        <v>not eligible</v>
      </c>
    </row>
    <row r="1588" spans="1:10" x14ac:dyDescent="0.35">
      <c r="A1588" s="31">
        <v>45096.895833333336</v>
      </c>
      <c r="B1588" s="32">
        <v>0.98594907407407406</v>
      </c>
      <c r="C1588" s="33" t="s">
        <v>8</v>
      </c>
      <c r="D1588" s="33" t="s">
        <v>12</v>
      </c>
      <c r="E1588" s="34">
        <v>265.57</v>
      </c>
      <c r="F1588" s="33">
        <v>4</v>
      </c>
      <c r="G1588" s="34">
        <v>1062.28</v>
      </c>
      <c r="H1588" s="33" t="s">
        <v>310</v>
      </c>
      <c r="I1588" s="33" t="str">
        <f t="shared" si="48"/>
        <v>Medium sales</v>
      </c>
      <c r="J1588" s="33" t="str">
        <f t="shared" si="49"/>
        <v>not eligible</v>
      </c>
    </row>
    <row r="1589" spans="1:10" x14ac:dyDescent="0.35">
      <c r="A1589" s="31">
        <v>45572.261111111111</v>
      </c>
      <c r="B1589" s="32">
        <v>0.49960648148148151</v>
      </c>
      <c r="C1589" s="33" t="s">
        <v>14</v>
      </c>
      <c r="D1589" s="33" t="s">
        <v>20</v>
      </c>
      <c r="E1589" s="34">
        <v>275.93</v>
      </c>
      <c r="F1589" s="33">
        <v>4</v>
      </c>
      <c r="G1589" s="34">
        <v>1103.72</v>
      </c>
      <c r="H1589" s="33" t="s">
        <v>41</v>
      </c>
      <c r="I1589" s="33" t="str">
        <f t="shared" si="48"/>
        <v>Medium sales</v>
      </c>
      <c r="J1589" s="33" t="str">
        <f t="shared" si="49"/>
        <v>not eligible</v>
      </c>
    </row>
    <row r="1590" spans="1:10" x14ac:dyDescent="0.35">
      <c r="A1590" s="31">
        <v>45570.762499999997</v>
      </c>
      <c r="B1590" s="32">
        <v>0.17243055555555556</v>
      </c>
      <c r="C1590" s="33" t="s">
        <v>8</v>
      </c>
      <c r="D1590" s="33" t="s">
        <v>16</v>
      </c>
      <c r="E1590" s="34">
        <v>77.92</v>
      </c>
      <c r="F1590" s="33">
        <v>3</v>
      </c>
      <c r="G1590" s="34">
        <v>233.76</v>
      </c>
      <c r="H1590" s="33" t="s">
        <v>246</v>
      </c>
      <c r="I1590" s="33" t="str">
        <f t="shared" si="48"/>
        <v>Low sales</v>
      </c>
      <c r="J1590" s="33" t="str">
        <f t="shared" si="49"/>
        <v>not eligible</v>
      </c>
    </row>
    <row r="1591" spans="1:10" x14ac:dyDescent="0.35">
      <c r="A1591" s="31">
        <v>45378.570833333331</v>
      </c>
      <c r="B1591" s="32">
        <v>0.59096064814814808</v>
      </c>
      <c r="C1591" s="33" t="s">
        <v>8</v>
      </c>
      <c r="D1591" s="33" t="s">
        <v>16</v>
      </c>
      <c r="E1591" s="34">
        <v>444.7</v>
      </c>
      <c r="F1591" s="33">
        <v>4</v>
      </c>
      <c r="G1591" s="34">
        <v>1778.8</v>
      </c>
      <c r="H1591" s="33" t="s">
        <v>380</v>
      </c>
      <c r="I1591" s="33" t="str">
        <f t="shared" si="48"/>
        <v>High sales</v>
      </c>
      <c r="J1591" s="33" t="str">
        <f t="shared" si="49"/>
        <v>not eligible</v>
      </c>
    </row>
    <row r="1592" spans="1:10" x14ac:dyDescent="0.35">
      <c r="A1592" s="31">
        <v>45007.314583333333</v>
      </c>
      <c r="B1592" s="32">
        <v>0.83643518518518523</v>
      </c>
      <c r="C1592" s="33" t="s">
        <v>11</v>
      </c>
      <c r="D1592" s="33" t="s">
        <v>9</v>
      </c>
      <c r="E1592" s="34">
        <v>288.39999999999998</v>
      </c>
      <c r="F1592" s="33">
        <v>4</v>
      </c>
      <c r="G1592" s="34">
        <v>1153.5999999999999</v>
      </c>
      <c r="H1592" s="33" t="s">
        <v>96</v>
      </c>
      <c r="I1592" s="33" t="str">
        <f t="shared" si="48"/>
        <v>Medium sales</v>
      </c>
      <c r="J1592" s="33" t="str">
        <f t="shared" si="49"/>
        <v>eligible</v>
      </c>
    </row>
    <row r="1593" spans="1:10" x14ac:dyDescent="0.35">
      <c r="A1593" s="31">
        <v>45050.92291666667</v>
      </c>
      <c r="B1593" s="32">
        <v>0.66765046296296304</v>
      </c>
      <c r="C1593" s="33" t="s">
        <v>11</v>
      </c>
      <c r="D1593" s="33" t="s">
        <v>12</v>
      </c>
      <c r="E1593" s="34">
        <v>356.47</v>
      </c>
      <c r="F1593" s="33">
        <v>5</v>
      </c>
      <c r="G1593" s="34">
        <v>1782.35</v>
      </c>
      <c r="H1593" s="33" t="s">
        <v>268</v>
      </c>
      <c r="I1593" s="33" t="str">
        <f t="shared" si="48"/>
        <v>High sales</v>
      </c>
      <c r="J1593" s="33" t="str">
        <f t="shared" si="49"/>
        <v>eligible</v>
      </c>
    </row>
    <row r="1594" spans="1:10" x14ac:dyDescent="0.35">
      <c r="A1594" s="31">
        <v>45027.245833333334</v>
      </c>
      <c r="B1594" s="32">
        <v>0.66417824074074072</v>
      </c>
      <c r="C1594" s="33" t="s">
        <v>8</v>
      </c>
      <c r="D1594" s="33" t="s">
        <v>20</v>
      </c>
      <c r="E1594" s="34">
        <v>186.67</v>
      </c>
      <c r="F1594" s="33">
        <v>2</v>
      </c>
      <c r="G1594" s="34">
        <v>373.34</v>
      </c>
      <c r="H1594" s="33" t="s">
        <v>205</v>
      </c>
      <c r="I1594" s="33" t="str">
        <f t="shared" si="48"/>
        <v>Low sales</v>
      </c>
      <c r="J1594" s="33" t="str">
        <f t="shared" si="49"/>
        <v>not eligible</v>
      </c>
    </row>
    <row r="1595" spans="1:10" x14ac:dyDescent="0.35">
      <c r="A1595" s="31">
        <v>45142.067361111112</v>
      </c>
      <c r="B1595" s="32">
        <v>0.40121527777777777</v>
      </c>
      <c r="C1595" s="33" t="s">
        <v>11</v>
      </c>
      <c r="D1595" s="33" t="s">
        <v>16</v>
      </c>
      <c r="E1595" s="34">
        <v>150.12</v>
      </c>
      <c r="F1595" s="33">
        <v>5</v>
      </c>
      <c r="G1595" s="34">
        <v>750.6</v>
      </c>
      <c r="H1595" s="33" t="s">
        <v>227</v>
      </c>
      <c r="I1595" s="33" t="str">
        <f t="shared" si="48"/>
        <v>Medium sales</v>
      </c>
      <c r="J1595" s="33" t="str">
        <f t="shared" si="49"/>
        <v>not eligible</v>
      </c>
    </row>
    <row r="1596" spans="1:10" x14ac:dyDescent="0.35">
      <c r="A1596" s="31">
        <v>45293.754166666666</v>
      </c>
      <c r="B1596" s="32">
        <v>0.79862268518518509</v>
      </c>
      <c r="C1596" s="33" t="s">
        <v>14</v>
      </c>
      <c r="D1596" s="33" t="s">
        <v>9</v>
      </c>
      <c r="E1596" s="34">
        <v>319.94</v>
      </c>
      <c r="F1596" s="33">
        <v>3</v>
      </c>
      <c r="G1596" s="34">
        <v>959.82</v>
      </c>
      <c r="H1596" s="33" t="s">
        <v>122</v>
      </c>
      <c r="I1596" s="33" t="str">
        <f t="shared" si="48"/>
        <v>Medium sales</v>
      </c>
      <c r="J1596" s="33" t="str">
        <f t="shared" si="49"/>
        <v>not eligible</v>
      </c>
    </row>
    <row r="1597" spans="1:10" x14ac:dyDescent="0.35">
      <c r="A1597" s="31">
        <v>45565.861111111109</v>
      </c>
      <c r="B1597" s="32">
        <v>0.72770833333333329</v>
      </c>
      <c r="C1597" s="33" t="s">
        <v>14</v>
      </c>
      <c r="D1597" s="33" t="s">
        <v>16</v>
      </c>
      <c r="E1597" s="34">
        <v>26.53</v>
      </c>
      <c r="F1597" s="33">
        <v>5</v>
      </c>
      <c r="G1597" s="34">
        <v>132.65</v>
      </c>
      <c r="H1597" s="33" t="s">
        <v>328</v>
      </c>
      <c r="I1597" s="33" t="str">
        <f t="shared" si="48"/>
        <v>Low sales</v>
      </c>
      <c r="J1597" s="33" t="str">
        <f t="shared" si="49"/>
        <v>not eligible</v>
      </c>
    </row>
    <row r="1598" spans="1:10" x14ac:dyDescent="0.35">
      <c r="A1598" s="31">
        <v>45204.289583333331</v>
      </c>
      <c r="B1598" s="32">
        <v>0.98321759259259256</v>
      </c>
      <c r="C1598" s="33" t="s">
        <v>11</v>
      </c>
      <c r="D1598" s="33" t="s">
        <v>9</v>
      </c>
      <c r="E1598" s="34">
        <v>484</v>
      </c>
      <c r="F1598" s="33">
        <v>4</v>
      </c>
      <c r="G1598" s="34">
        <v>1936</v>
      </c>
      <c r="H1598" s="33" t="s">
        <v>393</v>
      </c>
      <c r="I1598" s="33" t="str">
        <f t="shared" si="48"/>
        <v>High sales</v>
      </c>
      <c r="J1598" s="33" t="str">
        <f t="shared" si="49"/>
        <v>eligible</v>
      </c>
    </row>
    <row r="1599" spans="1:10" x14ac:dyDescent="0.35">
      <c r="A1599" s="31">
        <v>45515.897222222222</v>
      </c>
      <c r="B1599" s="32">
        <v>0.61281249999999998</v>
      </c>
      <c r="C1599" s="33" t="s">
        <v>14</v>
      </c>
      <c r="D1599" s="33" t="s">
        <v>16</v>
      </c>
      <c r="E1599" s="34">
        <v>433.4</v>
      </c>
      <c r="F1599" s="33">
        <v>4</v>
      </c>
      <c r="G1599" s="34">
        <v>1733.6</v>
      </c>
      <c r="H1599" s="33" t="s">
        <v>177</v>
      </c>
      <c r="I1599" s="33" t="str">
        <f t="shared" si="48"/>
        <v>High sales</v>
      </c>
      <c r="J1599" s="33" t="str">
        <f t="shared" si="49"/>
        <v>not eligible</v>
      </c>
    </row>
    <row r="1600" spans="1:10" x14ac:dyDescent="0.35">
      <c r="A1600" s="31">
        <v>45049.340277777781</v>
      </c>
      <c r="B1600" s="32">
        <v>0.35686342592592596</v>
      </c>
      <c r="C1600" s="33" t="s">
        <v>11</v>
      </c>
      <c r="D1600" s="33" t="s">
        <v>12</v>
      </c>
      <c r="E1600" s="34">
        <v>449.84</v>
      </c>
      <c r="F1600" s="33">
        <v>1</v>
      </c>
      <c r="G1600" s="34">
        <v>449.84</v>
      </c>
      <c r="H1600" s="33" t="s">
        <v>331</v>
      </c>
      <c r="I1600" s="33" t="str">
        <f t="shared" si="48"/>
        <v>Low sales</v>
      </c>
      <c r="J1600" s="33" t="str">
        <f t="shared" si="49"/>
        <v>not eligible</v>
      </c>
    </row>
    <row r="1601" spans="1:10" x14ac:dyDescent="0.35">
      <c r="A1601" s="31">
        <v>45357.834027777775</v>
      </c>
      <c r="B1601" s="32">
        <v>0.60142361111111109</v>
      </c>
      <c r="C1601" s="33" t="s">
        <v>11</v>
      </c>
      <c r="D1601" s="33" t="s">
        <v>20</v>
      </c>
      <c r="E1601" s="34">
        <v>397.36</v>
      </c>
      <c r="F1601" s="33">
        <v>3</v>
      </c>
      <c r="G1601" s="34">
        <v>1192.08</v>
      </c>
      <c r="H1601" s="33" t="s">
        <v>374</v>
      </c>
      <c r="I1601" s="33" t="str">
        <f t="shared" si="48"/>
        <v>Medium sales</v>
      </c>
      <c r="J1601" s="33" t="str">
        <f t="shared" si="49"/>
        <v>eligible</v>
      </c>
    </row>
    <row r="1602" spans="1:10" x14ac:dyDescent="0.35">
      <c r="A1602" s="31">
        <v>45581.57708333333</v>
      </c>
      <c r="B1602" s="32">
        <v>0.19833333333333333</v>
      </c>
      <c r="C1602" s="33" t="s">
        <v>14</v>
      </c>
      <c r="D1602" s="33" t="s">
        <v>9</v>
      </c>
      <c r="E1602" s="34">
        <v>204.09</v>
      </c>
      <c r="F1602" s="33">
        <v>2</v>
      </c>
      <c r="G1602" s="34">
        <v>408.18</v>
      </c>
      <c r="H1602" s="33" t="s">
        <v>119</v>
      </c>
      <c r="I1602" s="33" t="str">
        <f t="shared" si="48"/>
        <v>Low sales</v>
      </c>
      <c r="J1602" s="33" t="str">
        <f t="shared" si="49"/>
        <v>not eligible</v>
      </c>
    </row>
    <row r="1603" spans="1:10" x14ac:dyDescent="0.35">
      <c r="A1603" s="31">
        <v>45457.624305555553</v>
      </c>
      <c r="B1603" s="32">
        <v>0.61163194444444446</v>
      </c>
      <c r="C1603" s="33" t="s">
        <v>14</v>
      </c>
      <c r="D1603" s="33" t="s">
        <v>16</v>
      </c>
      <c r="E1603" s="34">
        <v>431.96</v>
      </c>
      <c r="F1603" s="33">
        <v>5</v>
      </c>
      <c r="G1603" s="34">
        <v>2159.8000000000002</v>
      </c>
      <c r="H1603" s="33" t="s">
        <v>212</v>
      </c>
      <c r="I1603" s="33" t="str">
        <f t="shared" ref="I1603:I1666" si="50">IF(G1603&gt;1500,"High sales", IF(G1603&gt;500,"Medium sales", "Low sales"))</f>
        <v>High sales</v>
      </c>
      <c r="J1603" s="33" t="str">
        <f t="shared" ref="J1603:J1666" si="51">IF(AND(G1603&gt;1000,C1603="Premium"), "eligible", "not eligible")</f>
        <v>not eligible</v>
      </c>
    </row>
    <row r="1604" spans="1:10" x14ac:dyDescent="0.35">
      <c r="A1604" s="31">
        <v>45241.424305555556</v>
      </c>
      <c r="B1604" s="32">
        <v>0.96246527777777768</v>
      </c>
      <c r="C1604" s="33" t="s">
        <v>11</v>
      </c>
      <c r="D1604" s="33" t="s">
        <v>12</v>
      </c>
      <c r="E1604" s="34">
        <v>325.58</v>
      </c>
      <c r="F1604" s="33">
        <v>4</v>
      </c>
      <c r="G1604" s="34">
        <v>1302.32</v>
      </c>
      <c r="H1604" s="33" t="s">
        <v>270</v>
      </c>
      <c r="I1604" s="33" t="str">
        <f t="shared" si="50"/>
        <v>Medium sales</v>
      </c>
      <c r="J1604" s="33" t="str">
        <f t="shared" si="51"/>
        <v>eligible</v>
      </c>
    </row>
    <row r="1605" spans="1:10" x14ac:dyDescent="0.35">
      <c r="A1605" s="31">
        <v>45121.156944444447</v>
      </c>
      <c r="B1605" s="32">
        <v>0.57976851851851852</v>
      </c>
      <c r="C1605" s="33" t="s">
        <v>8</v>
      </c>
      <c r="D1605" s="33" t="s">
        <v>27</v>
      </c>
      <c r="E1605" s="34">
        <v>302.12</v>
      </c>
      <c r="F1605" s="33">
        <v>5</v>
      </c>
      <c r="G1605" s="34">
        <v>1510.6</v>
      </c>
      <c r="H1605" s="33" t="s">
        <v>409</v>
      </c>
      <c r="I1605" s="33" t="str">
        <f t="shared" si="50"/>
        <v>High sales</v>
      </c>
      <c r="J1605" s="33" t="str">
        <f t="shared" si="51"/>
        <v>not eligible</v>
      </c>
    </row>
    <row r="1606" spans="1:10" x14ac:dyDescent="0.35">
      <c r="A1606" s="31">
        <v>44941.334027777775</v>
      </c>
      <c r="B1606" s="32">
        <v>0.58344907407407409</v>
      </c>
      <c r="C1606" s="33" t="s">
        <v>8</v>
      </c>
      <c r="D1606" s="33" t="s">
        <v>9</v>
      </c>
      <c r="E1606" s="34">
        <v>18.22</v>
      </c>
      <c r="F1606" s="33">
        <v>1</v>
      </c>
      <c r="G1606" s="34">
        <v>18.22</v>
      </c>
      <c r="H1606" s="33" t="s">
        <v>295</v>
      </c>
      <c r="I1606" s="33" t="str">
        <f t="shared" si="50"/>
        <v>Low sales</v>
      </c>
      <c r="J1606" s="33" t="str">
        <f t="shared" si="51"/>
        <v>not eligible</v>
      </c>
    </row>
    <row r="1607" spans="1:10" x14ac:dyDescent="0.35">
      <c r="A1607" s="31">
        <v>45240.256249999999</v>
      </c>
      <c r="B1607" s="32">
        <v>0.76284722222222223</v>
      </c>
      <c r="C1607" s="33" t="s">
        <v>11</v>
      </c>
      <c r="D1607" s="33" t="s">
        <v>27</v>
      </c>
      <c r="E1607" s="34">
        <v>99.87</v>
      </c>
      <c r="F1607" s="33">
        <v>4</v>
      </c>
      <c r="G1607" s="34">
        <v>399.48</v>
      </c>
      <c r="H1607" s="33" t="s">
        <v>286</v>
      </c>
      <c r="I1607" s="33" t="str">
        <f t="shared" si="50"/>
        <v>Low sales</v>
      </c>
      <c r="J1607" s="33" t="str">
        <f t="shared" si="51"/>
        <v>not eligible</v>
      </c>
    </row>
    <row r="1608" spans="1:10" x14ac:dyDescent="0.35">
      <c r="A1608" s="31">
        <v>45615.047222222223</v>
      </c>
      <c r="B1608" s="32">
        <v>0.64077546296296295</v>
      </c>
      <c r="C1608" s="33" t="s">
        <v>11</v>
      </c>
      <c r="D1608" s="33" t="s">
        <v>16</v>
      </c>
      <c r="E1608" s="34">
        <v>419.91</v>
      </c>
      <c r="F1608" s="33">
        <v>2</v>
      </c>
      <c r="G1608" s="34">
        <v>839.82</v>
      </c>
      <c r="H1608" s="33" t="s">
        <v>234</v>
      </c>
      <c r="I1608" s="33" t="str">
        <f t="shared" si="50"/>
        <v>Medium sales</v>
      </c>
      <c r="J1608" s="33" t="str">
        <f t="shared" si="51"/>
        <v>not eligible</v>
      </c>
    </row>
    <row r="1609" spans="1:10" x14ac:dyDescent="0.35">
      <c r="A1609" s="31">
        <v>45174.915277777778</v>
      </c>
      <c r="B1609" s="32">
        <v>0.91087962962962965</v>
      </c>
      <c r="C1609" s="33" t="s">
        <v>8</v>
      </c>
      <c r="D1609" s="33" t="s">
        <v>16</v>
      </c>
      <c r="E1609" s="34">
        <v>423.98</v>
      </c>
      <c r="F1609" s="33">
        <v>1</v>
      </c>
      <c r="G1609" s="34">
        <v>423.98</v>
      </c>
      <c r="H1609" s="33" t="s">
        <v>219</v>
      </c>
      <c r="I1609" s="33" t="str">
        <f t="shared" si="50"/>
        <v>Low sales</v>
      </c>
      <c r="J1609" s="33" t="str">
        <f t="shared" si="51"/>
        <v>not eligible</v>
      </c>
    </row>
    <row r="1610" spans="1:10" x14ac:dyDescent="0.35">
      <c r="A1610" s="31">
        <v>45103.310416666667</v>
      </c>
      <c r="B1610" s="32">
        <v>0.15857638888888889</v>
      </c>
      <c r="C1610" s="33" t="s">
        <v>8</v>
      </c>
      <c r="D1610" s="33" t="s">
        <v>12</v>
      </c>
      <c r="E1610" s="34">
        <v>161.46</v>
      </c>
      <c r="F1610" s="33">
        <v>3</v>
      </c>
      <c r="G1610" s="34">
        <v>484.38</v>
      </c>
      <c r="H1610" s="33" t="s">
        <v>207</v>
      </c>
      <c r="I1610" s="33" t="str">
        <f t="shared" si="50"/>
        <v>Low sales</v>
      </c>
      <c r="J1610" s="33" t="str">
        <f t="shared" si="51"/>
        <v>not eligible</v>
      </c>
    </row>
    <row r="1611" spans="1:10" x14ac:dyDescent="0.35">
      <c r="A1611" s="31">
        <v>44943.066666666666</v>
      </c>
      <c r="B1611" s="32">
        <v>8.880787037037037E-2</v>
      </c>
      <c r="C1611" s="33" t="s">
        <v>11</v>
      </c>
      <c r="D1611" s="33" t="s">
        <v>27</v>
      </c>
      <c r="E1611" s="34">
        <v>399.81</v>
      </c>
      <c r="F1611" s="33">
        <v>2</v>
      </c>
      <c r="G1611" s="34">
        <v>799.62</v>
      </c>
      <c r="H1611" s="33" t="s">
        <v>299</v>
      </c>
      <c r="I1611" s="33" t="str">
        <f t="shared" si="50"/>
        <v>Medium sales</v>
      </c>
      <c r="J1611" s="33" t="str">
        <f t="shared" si="51"/>
        <v>not eligible</v>
      </c>
    </row>
    <row r="1612" spans="1:10" x14ac:dyDescent="0.35">
      <c r="A1612" s="31">
        <v>44935.845833333333</v>
      </c>
      <c r="B1612" s="32">
        <v>0.3190162037037037</v>
      </c>
      <c r="C1612" s="33" t="s">
        <v>14</v>
      </c>
      <c r="D1612" s="33" t="s">
        <v>16</v>
      </c>
      <c r="E1612" s="34">
        <v>109.81</v>
      </c>
      <c r="F1612" s="33">
        <v>1</v>
      </c>
      <c r="G1612" s="34">
        <v>109.81</v>
      </c>
      <c r="H1612" s="33" t="s">
        <v>201</v>
      </c>
      <c r="I1612" s="33" t="str">
        <f t="shared" si="50"/>
        <v>Low sales</v>
      </c>
      <c r="J1612" s="33" t="str">
        <f t="shared" si="51"/>
        <v>not eligible</v>
      </c>
    </row>
    <row r="1613" spans="1:10" x14ac:dyDescent="0.35">
      <c r="A1613" s="31">
        <v>45473.243055555555</v>
      </c>
      <c r="B1613" s="32">
        <v>0.85371527777777778</v>
      </c>
      <c r="C1613" s="33" t="s">
        <v>11</v>
      </c>
      <c r="D1613" s="33" t="s">
        <v>16</v>
      </c>
      <c r="E1613" s="34">
        <v>276</v>
      </c>
      <c r="F1613" s="33">
        <v>5</v>
      </c>
      <c r="G1613" s="34">
        <v>1380</v>
      </c>
      <c r="H1613" s="33" t="s">
        <v>335</v>
      </c>
      <c r="I1613" s="33" t="str">
        <f t="shared" si="50"/>
        <v>Medium sales</v>
      </c>
      <c r="J1613" s="33" t="str">
        <f t="shared" si="51"/>
        <v>eligible</v>
      </c>
    </row>
    <row r="1614" spans="1:10" x14ac:dyDescent="0.35">
      <c r="A1614" s="31">
        <v>45300.252083333333</v>
      </c>
      <c r="B1614" s="32">
        <v>2.5150462962962961E-2</v>
      </c>
      <c r="C1614" s="33" t="s">
        <v>8</v>
      </c>
      <c r="D1614" s="33" t="s">
        <v>16</v>
      </c>
      <c r="E1614" s="34">
        <v>181.08</v>
      </c>
      <c r="F1614" s="33">
        <v>2</v>
      </c>
      <c r="G1614" s="34">
        <v>362.16</v>
      </c>
      <c r="H1614" s="33" t="s">
        <v>348</v>
      </c>
      <c r="I1614" s="33" t="str">
        <f t="shared" si="50"/>
        <v>Low sales</v>
      </c>
      <c r="J1614" s="33" t="str">
        <f t="shared" si="51"/>
        <v>not eligible</v>
      </c>
    </row>
    <row r="1615" spans="1:10" x14ac:dyDescent="0.35">
      <c r="A1615" s="31">
        <v>45623.409722222219</v>
      </c>
      <c r="B1615" s="32">
        <v>0.60611111111111116</v>
      </c>
      <c r="C1615" s="33" t="s">
        <v>8</v>
      </c>
      <c r="D1615" s="33" t="s">
        <v>20</v>
      </c>
      <c r="E1615" s="34">
        <v>65.44</v>
      </c>
      <c r="F1615" s="33">
        <v>2</v>
      </c>
      <c r="G1615" s="34">
        <v>130.88</v>
      </c>
      <c r="H1615" s="33" t="s">
        <v>23</v>
      </c>
      <c r="I1615" s="33" t="str">
        <f t="shared" si="50"/>
        <v>Low sales</v>
      </c>
      <c r="J1615" s="33" t="str">
        <f t="shared" si="51"/>
        <v>not eligible</v>
      </c>
    </row>
    <row r="1616" spans="1:10" x14ac:dyDescent="0.35">
      <c r="A1616" s="31">
        <v>45073.162499999999</v>
      </c>
      <c r="B1616" s="32">
        <v>0.14798611111111112</v>
      </c>
      <c r="C1616" s="33" t="s">
        <v>8</v>
      </c>
      <c r="D1616" s="33" t="s">
        <v>12</v>
      </c>
      <c r="E1616" s="34">
        <v>174.24</v>
      </c>
      <c r="F1616" s="33">
        <v>2</v>
      </c>
      <c r="G1616" s="34">
        <v>348.48</v>
      </c>
      <c r="H1616" s="33" t="s">
        <v>120</v>
      </c>
      <c r="I1616" s="33" t="str">
        <f t="shared" si="50"/>
        <v>Low sales</v>
      </c>
      <c r="J1616" s="33" t="str">
        <f t="shared" si="51"/>
        <v>not eligible</v>
      </c>
    </row>
    <row r="1617" spans="1:10" x14ac:dyDescent="0.35">
      <c r="A1617" s="31">
        <v>45043.664583333331</v>
      </c>
      <c r="B1617" s="32">
        <v>0.93890046296296292</v>
      </c>
      <c r="C1617" s="33" t="s">
        <v>8</v>
      </c>
      <c r="D1617" s="33" t="s">
        <v>9</v>
      </c>
      <c r="E1617" s="34">
        <v>252.78</v>
      </c>
      <c r="F1617" s="33">
        <v>1</v>
      </c>
      <c r="G1617" s="34">
        <v>252.78</v>
      </c>
      <c r="H1617" s="33" t="s">
        <v>349</v>
      </c>
      <c r="I1617" s="33" t="str">
        <f t="shared" si="50"/>
        <v>Low sales</v>
      </c>
      <c r="J1617" s="33" t="str">
        <f t="shared" si="51"/>
        <v>not eligible</v>
      </c>
    </row>
    <row r="1618" spans="1:10" x14ac:dyDescent="0.35">
      <c r="A1618" s="31">
        <v>45268.52847222222</v>
      </c>
      <c r="B1618" s="32">
        <v>0.34684027777777776</v>
      </c>
      <c r="C1618" s="33" t="s">
        <v>14</v>
      </c>
      <c r="D1618" s="33" t="s">
        <v>12</v>
      </c>
      <c r="E1618" s="34">
        <v>353.13</v>
      </c>
      <c r="F1618" s="33">
        <v>3</v>
      </c>
      <c r="G1618" s="34">
        <v>1059.3900000000001</v>
      </c>
      <c r="H1618" s="33" t="s">
        <v>311</v>
      </c>
      <c r="I1618" s="33" t="str">
        <f t="shared" si="50"/>
        <v>Medium sales</v>
      </c>
      <c r="J1618" s="33" t="str">
        <f t="shared" si="51"/>
        <v>not eligible</v>
      </c>
    </row>
    <row r="1619" spans="1:10" x14ac:dyDescent="0.35">
      <c r="A1619" s="31">
        <v>45067.845833333333</v>
      </c>
      <c r="B1619" s="32">
        <v>0.18084490740740741</v>
      </c>
      <c r="C1619" s="33" t="s">
        <v>14</v>
      </c>
      <c r="D1619" s="33" t="s">
        <v>16</v>
      </c>
      <c r="E1619" s="34">
        <v>363.19</v>
      </c>
      <c r="F1619" s="33">
        <v>1</v>
      </c>
      <c r="G1619" s="34">
        <v>363.19</v>
      </c>
      <c r="H1619" s="33" t="s">
        <v>365</v>
      </c>
      <c r="I1619" s="33" t="str">
        <f t="shared" si="50"/>
        <v>Low sales</v>
      </c>
      <c r="J1619" s="33" t="str">
        <f t="shared" si="51"/>
        <v>not eligible</v>
      </c>
    </row>
    <row r="1620" spans="1:10" x14ac:dyDescent="0.35">
      <c r="A1620" s="31">
        <v>45449.995138888888</v>
      </c>
      <c r="B1620" s="32">
        <v>0.1935648148148148</v>
      </c>
      <c r="C1620" s="33" t="s">
        <v>14</v>
      </c>
      <c r="D1620" s="33" t="s">
        <v>12</v>
      </c>
      <c r="E1620" s="34">
        <v>269.23</v>
      </c>
      <c r="F1620" s="33">
        <v>5</v>
      </c>
      <c r="G1620" s="34">
        <v>1346.15</v>
      </c>
      <c r="H1620" s="33" t="s">
        <v>203</v>
      </c>
      <c r="I1620" s="33" t="str">
        <f t="shared" si="50"/>
        <v>Medium sales</v>
      </c>
      <c r="J1620" s="33" t="str">
        <f t="shared" si="51"/>
        <v>not eligible</v>
      </c>
    </row>
    <row r="1621" spans="1:10" x14ac:dyDescent="0.35">
      <c r="A1621" s="31">
        <v>44943.784722222219</v>
      </c>
      <c r="B1621" s="32">
        <v>0.34825231481481483</v>
      </c>
      <c r="C1621" s="33" t="s">
        <v>14</v>
      </c>
      <c r="D1621" s="33" t="s">
        <v>16</v>
      </c>
      <c r="E1621" s="34">
        <v>486.36</v>
      </c>
      <c r="F1621" s="33">
        <v>5</v>
      </c>
      <c r="G1621" s="34">
        <v>2431.8000000000002</v>
      </c>
      <c r="H1621" s="33" t="s">
        <v>73</v>
      </c>
      <c r="I1621" s="33" t="str">
        <f t="shared" si="50"/>
        <v>High sales</v>
      </c>
      <c r="J1621" s="33" t="str">
        <f t="shared" si="51"/>
        <v>not eligible</v>
      </c>
    </row>
    <row r="1622" spans="1:10" x14ac:dyDescent="0.35">
      <c r="A1622" s="31">
        <v>45095.968055555553</v>
      </c>
      <c r="B1622" s="32">
        <v>0.44831018518518517</v>
      </c>
      <c r="C1622" s="33" t="s">
        <v>8</v>
      </c>
      <c r="D1622" s="33" t="s">
        <v>12</v>
      </c>
      <c r="E1622" s="34">
        <v>58.51</v>
      </c>
      <c r="F1622" s="33">
        <v>3</v>
      </c>
      <c r="G1622" s="34">
        <v>175.53</v>
      </c>
      <c r="H1622" s="33" t="s">
        <v>354</v>
      </c>
      <c r="I1622" s="33" t="str">
        <f t="shared" si="50"/>
        <v>Low sales</v>
      </c>
      <c r="J1622" s="33" t="str">
        <f t="shared" si="51"/>
        <v>not eligible</v>
      </c>
    </row>
    <row r="1623" spans="1:10" x14ac:dyDescent="0.35">
      <c r="A1623" s="31">
        <v>45298.085416666669</v>
      </c>
      <c r="B1623" s="32">
        <v>0.63907407407407402</v>
      </c>
      <c r="C1623" s="33" t="s">
        <v>11</v>
      </c>
      <c r="D1623" s="33" t="s">
        <v>20</v>
      </c>
      <c r="E1623" s="34">
        <v>213.29</v>
      </c>
      <c r="F1623" s="33">
        <v>3</v>
      </c>
      <c r="G1623" s="34">
        <v>639.87</v>
      </c>
      <c r="H1623" s="33" t="s">
        <v>181</v>
      </c>
      <c r="I1623" s="33" t="str">
        <f t="shared" si="50"/>
        <v>Medium sales</v>
      </c>
      <c r="J1623" s="33" t="str">
        <f t="shared" si="51"/>
        <v>not eligible</v>
      </c>
    </row>
    <row r="1624" spans="1:10" x14ac:dyDescent="0.35">
      <c r="A1624" s="31">
        <v>45050.98541666667</v>
      </c>
      <c r="B1624" s="32">
        <v>0.59607638888888892</v>
      </c>
      <c r="C1624" s="33" t="s">
        <v>8</v>
      </c>
      <c r="D1624" s="33" t="s">
        <v>16</v>
      </c>
      <c r="E1624" s="34">
        <v>203.54</v>
      </c>
      <c r="F1624" s="33">
        <v>5</v>
      </c>
      <c r="G1624" s="34">
        <v>1017.7</v>
      </c>
      <c r="H1624" s="33" t="s">
        <v>125</v>
      </c>
      <c r="I1624" s="33" t="str">
        <f t="shared" si="50"/>
        <v>Medium sales</v>
      </c>
      <c r="J1624" s="33" t="str">
        <f t="shared" si="51"/>
        <v>not eligible</v>
      </c>
    </row>
    <row r="1625" spans="1:10" x14ac:dyDescent="0.35">
      <c r="A1625" s="31">
        <v>45167.990277777775</v>
      </c>
      <c r="B1625" s="32">
        <v>0.29158564814814814</v>
      </c>
      <c r="C1625" s="33" t="s">
        <v>8</v>
      </c>
      <c r="D1625" s="33" t="s">
        <v>16</v>
      </c>
      <c r="E1625" s="34">
        <v>451.15</v>
      </c>
      <c r="F1625" s="33">
        <v>1</v>
      </c>
      <c r="G1625" s="34">
        <v>451.15</v>
      </c>
      <c r="H1625" s="33" t="s">
        <v>141</v>
      </c>
      <c r="I1625" s="33" t="str">
        <f t="shared" si="50"/>
        <v>Low sales</v>
      </c>
      <c r="J1625" s="33" t="str">
        <f t="shared" si="51"/>
        <v>not eligible</v>
      </c>
    </row>
    <row r="1626" spans="1:10" x14ac:dyDescent="0.35">
      <c r="A1626" s="31">
        <v>45546.120138888888</v>
      </c>
      <c r="B1626" s="32">
        <v>0.76811342592592602</v>
      </c>
      <c r="C1626" s="33" t="s">
        <v>14</v>
      </c>
      <c r="D1626" s="33" t="s">
        <v>9</v>
      </c>
      <c r="E1626" s="34">
        <v>219.14</v>
      </c>
      <c r="F1626" s="33">
        <v>1</v>
      </c>
      <c r="G1626" s="34">
        <v>219.14</v>
      </c>
      <c r="H1626" s="33" t="s">
        <v>105</v>
      </c>
      <c r="I1626" s="33" t="str">
        <f t="shared" si="50"/>
        <v>Low sales</v>
      </c>
      <c r="J1626" s="33" t="str">
        <f t="shared" si="51"/>
        <v>not eligible</v>
      </c>
    </row>
    <row r="1627" spans="1:10" x14ac:dyDescent="0.35">
      <c r="A1627" s="31">
        <v>45053.135416666664</v>
      </c>
      <c r="B1627" s="32">
        <v>0.21429398148148149</v>
      </c>
      <c r="C1627" s="33" t="s">
        <v>11</v>
      </c>
      <c r="D1627" s="33" t="s">
        <v>16</v>
      </c>
      <c r="E1627" s="34">
        <v>192.64</v>
      </c>
      <c r="F1627" s="33">
        <v>5</v>
      </c>
      <c r="G1627" s="34">
        <v>963.2</v>
      </c>
      <c r="H1627" s="33" t="s">
        <v>45</v>
      </c>
      <c r="I1627" s="33" t="str">
        <f t="shared" si="50"/>
        <v>Medium sales</v>
      </c>
      <c r="J1627" s="33" t="str">
        <f t="shared" si="51"/>
        <v>not eligible</v>
      </c>
    </row>
    <row r="1628" spans="1:10" x14ac:dyDescent="0.35">
      <c r="A1628" s="31">
        <v>45121.870138888888</v>
      </c>
      <c r="B1628" s="32">
        <v>0.43417824074074068</v>
      </c>
      <c r="C1628" s="33" t="s">
        <v>8</v>
      </c>
      <c r="D1628" s="33" t="s">
        <v>20</v>
      </c>
      <c r="E1628" s="34">
        <v>278.33</v>
      </c>
      <c r="F1628" s="33">
        <v>2</v>
      </c>
      <c r="G1628" s="34">
        <v>556.66</v>
      </c>
      <c r="H1628" s="33" t="s">
        <v>134</v>
      </c>
      <c r="I1628" s="33" t="str">
        <f t="shared" si="50"/>
        <v>Medium sales</v>
      </c>
      <c r="J1628" s="33" t="str">
        <f t="shared" si="51"/>
        <v>not eligible</v>
      </c>
    </row>
    <row r="1629" spans="1:10" x14ac:dyDescent="0.35">
      <c r="A1629" s="31">
        <v>45440.397222222222</v>
      </c>
      <c r="B1629" s="32">
        <v>0.31959490740740742</v>
      </c>
      <c r="C1629" s="33" t="s">
        <v>14</v>
      </c>
      <c r="D1629" s="33" t="s">
        <v>9</v>
      </c>
      <c r="E1629" s="34">
        <v>165.83</v>
      </c>
      <c r="F1629" s="33">
        <v>2</v>
      </c>
      <c r="G1629" s="34">
        <v>331.66</v>
      </c>
      <c r="H1629" s="33" t="s">
        <v>302</v>
      </c>
      <c r="I1629" s="33" t="str">
        <f t="shared" si="50"/>
        <v>Low sales</v>
      </c>
      <c r="J1629" s="33" t="str">
        <f t="shared" si="51"/>
        <v>not eligible</v>
      </c>
    </row>
    <row r="1630" spans="1:10" x14ac:dyDescent="0.35">
      <c r="A1630" s="31">
        <v>45666.655555555553</v>
      </c>
      <c r="B1630" s="32">
        <v>0.91030092592592593</v>
      </c>
      <c r="C1630" s="33" t="s">
        <v>11</v>
      </c>
      <c r="D1630" s="33" t="s">
        <v>16</v>
      </c>
      <c r="E1630" s="34">
        <v>186.59</v>
      </c>
      <c r="F1630" s="33">
        <v>1</v>
      </c>
      <c r="G1630" s="34">
        <v>186.59</v>
      </c>
      <c r="H1630" s="33" t="s">
        <v>334</v>
      </c>
      <c r="I1630" s="33" t="str">
        <f t="shared" si="50"/>
        <v>Low sales</v>
      </c>
      <c r="J1630" s="33" t="str">
        <f t="shared" si="51"/>
        <v>not eligible</v>
      </c>
    </row>
    <row r="1631" spans="1:10" x14ac:dyDescent="0.35">
      <c r="A1631" s="31">
        <v>45476.456944444442</v>
      </c>
      <c r="B1631" s="32">
        <v>0.2923263888888889</v>
      </c>
      <c r="C1631" s="33" t="s">
        <v>14</v>
      </c>
      <c r="D1631" s="33" t="s">
        <v>12</v>
      </c>
      <c r="E1631" s="34">
        <v>255.41</v>
      </c>
      <c r="F1631" s="33">
        <v>5</v>
      </c>
      <c r="G1631" s="34">
        <v>1277.05</v>
      </c>
      <c r="H1631" s="33" t="s">
        <v>277</v>
      </c>
      <c r="I1631" s="33" t="str">
        <f t="shared" si="50"/>
        <v>Medium sales</v>
      </c>
      <c r="J1631" s="33" t="str">
        <f t="shared" si="51"/>
        <v>not eligible</v>
      </c>
    </row>
    <row r="1632" spans="1:10" x14ac:dyDescent="0.35">
      <c r="A1632" s="31">
        <v>45657.224999999999</v>
      </c>
      <c r="B1632" s="32">
        <v>0.46181712962962962</v>
      </c>
      <c r="C1632" s="33" t="s">
        <v>11</v>
      </c>
      <c r="D1632" s="33" t="s">
        <v>27</v>
      </c>
      <c r="E1632" s="34">
        <v>302.89999999999998</v>
      </c>
      <c r="F1632" s="33">
        <v>1</v>
      </c>
      <c r="G1632" s="34">
        <v>302.89999999999998</v>
      </c>
      <c r="H1632" s="33" t="s">
        <v>264</v>
      </c>
      <c r="I1632" s="33" t="str">
        <f t="shared" si="50"/>
        <v>Low sales</v>
      </c>
      <c r="J1632" s="33" t="str">
        <f t="shared" si="51"/>
        <v>not eligible</v>
      </c>
    </row>
    <row r="1633" spans="1:10" x14ac:dyDescent="0.35">
      <c r="A1633" s="31">
        <v>45595.261805555558</v>
      </c>
      <c r="B1633" s="32">
        <v>0.22537037037037036</v>
      </c>
      <c r="C1633" s="33" t="s">
        <v>14</v>
      </c>
      <c r="D1633" s="33" t="s">
        <v>20</v>
      </c>
      <c r="E1633" s="34">
        <v>409.69</v>
      </c>
      <c r="F1633" s="33">
        <v>5</v>
      </c>
      <c r="G1633" s="34">
        <v>2048.4499999999998</v>
      </c>
      <c r="H1633" s="33" t="s">
        <v>105</v>
      </c>
      <c r="I1633" s="33" t="str">
        <f t="shared" si="50"/>
        <v>High sales</v>
      </c>
      <c r="J1633" s="33" t="str">
        <f t="shared" si="51"/>
        <v>not eligible</v>
      </c>
    </row>
    <row r="1634" spans="1:10" x14ac:dyDescent="0.35">
      <c r="A1634" s="31">
        <v>45158.143750000003</v>
      </c>
      <c r="B1634" s="32">
        <v>4.628472222222222E-2</v>
      </c>
      <c r="C1634" s="33" t="s">
        <v>8</v>
      </c>
      <c r="D1634" s="33" t="s">
        <v>16</v>
      </c>
      <c r="E1634" s="34">
        <v>370.37</v>
      </c>
      <c r="F1634" s="33">
        <v>5</v>
      </c>
      <c r="G1634" s="34">
        <v>1851.85</v>
      </c>
      <c r="H1634" s="33" t="s">
        <v>298</v>
      </c>
      <c r="I1634" s="33" t="str">
        <f t="shared" si="50"/>
        <v>High sales</v>
      </c>
      <c r="J1634" s="33" t="str">
        <f t="shared" si="51"/>
        <v>not eligible</v>
      </c>
    </row>
    <row r="1635" spans="1:10" x14ac:dyDescent="0.35">
      <c r="A1635" s="31">
        <v>44938.656944444447</v>
      </c>
      <c r="B1635" s="32">
        <v>0.89200231481481485</v>
      </c>
      <c r="C1635" s="33" t="s">
        <v>8</v>
      </c>
      <c r="D1635" s="33" t="s">
        <v>20</v>
      </c>
      <c r="E1635" s="34">
        <v>163.52000000000001</v>
      </c>
      <c r="F1635" s="33">
        <v>2</v>
      </c>
      <c r="G1635" s="34">
        <v>327.04000000000002</v>
      </c>
      <c r="H1635" s="33" t="s">
        <v>262</v>
      </c>
      <c r="I1635" s="33" t="str">
        <f t="shared" si="50"/>
        <v>Low sales</v>
      </c>
      <c r="J1635" s="33" t="str">
        <f t="shared" si="51"/>
        <v>not eligible</v>
      </c>
    </row>
    <row r="1636" spans="1:10" x14ac:dyDescent="0.35">
      <c r="A1636" s="31">
        <v>45343.281944444447</v>
      </c>
      <c r="B1636" s="32">
        <v>0.30912037037037038</v>
      </c>
      <c r="C1636" s="33" t="s">
        <v>14</v>
      </c>
      <c r="D1636" s="33" t="s">
        <v>9</v>
      </c>
      <c r="E1636" s="34">
        <v>195.61</v>
      </c>
      <c r="F1636" s="33">
        <v>4</v>
      </c>
      <c r="G1636" s="34">
        <v>782.44</v>
      </c>
      <c r="H1636" s="33" t="s">
        <v>42</v>
      </c>
      <c r="I1636" s="33" t="str">
        <f t="shared" si="50"/>
        <v>Medium sales</v>
      </c>
      <c r="J1636" s="33" t="str">
        <f t="shared" si="51"/>
        <v>not eligible</v>
      </c>
    </row>
    <row r="1637" spans="1:10" x14ac:dyDescent="0.35">
      <c r="A1637" s="31">
        <v>45495.869444444441</v>
      </c>
      <c r="B1637" s="32">
        <v>0.38761574074074073</v>
      </c>
      <c r="C1637" s="33" t="s">
        <v>8</v>
      </c>
      <c r="D1637" s="33" t="s">
        <v>16</v>
      </c>
      <c r="E1637" s="34">
        <v>154.74</v>
      </c>
      <c r="F1637" s="33">
        <v>3</v>
      </c>
      <c r="G1637" s="34">
        <v>464.22</v>
      </c>
      <c r="H1637" s="33" t="s">
        <v>409</v>
      </c>
      <c r="I1637" s="33" t="str">
        <f t="shared" si="50"/>
        <v>Low sales</v>
      </c>
      <c r="J1637" s="33" t="str">
        <f t="shared" si="51"/>
        <v>not eligible</v>
      </c>
    </row>
    <row r="1638" spans="1:10" x14ac:dyDescent="0.35">
      <c r="A1638" s="31">
        <v>45370.18472222222</v>
      </c>
      <c r="B1638" s="32">
        <v>6.1307870370370367E-2</v>
      </c>
      <c r="C1638" s="33" t="s">
        <v>11</v>
      </c>
      <c r="D1638" s="33" t="s">
        <v>9</v>
      </c>
      <c r="E1638" s="34">
        <v>87.69</v>
      </c>
      <c r="F1638" s="33">
        <v>3</v>
      </c>
      <c r="G1638" s="34">
        <v>263.07</v>
      </c>
      <c r="H1638" s="33" t="s">
        <v>72</v>
      </c>
      <c r="I1638" s="33" t="str">
        <f t="shared" si="50"/>
        <v>Low sales</v>
      </c>
      <c r="J1638" s="33" t="str">
        <f t="shared" si="51"/>
        <v>not eligible</v>
      </c>
    </row>
    <row r="1639" spans="1:10" x14ac:dyDescent="0.35">
      <c r="A1639" s="31">
        <v>44973.727777777778</v>
      </c>
      <c r="B1639" s="32">
        <v>0.10892361111111111</v>
      </c>
      <c r="C1639" s="33" t="s">
        <v>14</v>
      </c>
      <c r="D1639" s="33" t="s">
        <v>20</v>
      </c>
      <c r="E1639" s="34">
        <v>91.36</v>
      </c>
      <c r="F1639" s="33">
        <v>1</v>
      </c>
      <c r="G1639" s="34">
        <v>91.36</v>
      </c>
      <c r="H1639" s="33" t="s">
        <v>368</v>
      </c>
      <c r="I1639" s="33" t="str">
        <f t="shared" si="50"/>
        <v>Low sales</v>
      </c>
      <c r="J1639" s="33" t="str">
        <f t="shared" si="51"/>
        <v>not eligible</v>
      </c>
    </row>
    <row r="1640" spans="1:10" x14ac:dyDescent="0.35">
      <c r="A1640" s="31">
        <v>45519.338194444441</v>
      </c>
      <c r="B1640" s="32">
        <v>0.94844907407407408</v>
      </c>
      <c r="C1640" s="33" t="s">
        <v>14</v>
      </c>
      <c r="D1640" s="33" t="s">
        <v>20</v>
      </c>
      <c r="E1640" s="34">
        <v>197.27</v>
      </c>
      <c r="F1640" s="33">
        <v>5</v>
      </c>
      <c r="G1640" s="34">
        <v>986.35</v>
      </c>
      <c r="H1640" s="33" t="s">
        <v>56</v>
      </c>
      <c r="I1640" s="33" t="str">
        <f t="shared" si="50"/>
        <v>Medium sales</v>
      </c>
      <c r="J1640" s="33" t="str">
        <f t="shared" si="51"/>
        <v>not eligible</v>
      </c>
    </row>
    <row r="1641" spans="1:10" x14ac:dyDescent="0.35">
      <c r="A1641" s="31">
        <v>45632.342361111114</v>
      </c>
      <c r="B1641" s="32">
        <v>0.93714120370370368</v>
      </c>
      <c r="C1641" s="33" t="s">
        <v>11</v>
      </c>
      <c r="D1641" s="33" t="s">
        <v>16</v>
      </c>
      <c r="E1641" s="34">
        <v>444.24</v>
      </c>
      <c r="F1641" s="33">
        <v>3</v>
      </c>
      <c r="G1641" s="34">
        <v>1332.72</v>
      </c>
      <c r="H1641" s="33" t="s">
        <v>44</v>
      </c>
      <c r="I1641" s="33" t="str">
        <f t="shared" si="50"/>
        <v>Medium sales</v>
      </c>
      <c r="J1641" s="33" t="str">
        <f t="shared" si="51"/>
        <v>eligible</v>
      </c>
    </row>
    <row r="1642" spans="1:10" x14ac:dyDescent="0.35">
      <c r="A1642" s="31">
        <v>45162.277083333334</v>
      </c>
      <c r="B1642" s="32">
        <v>0.79129629629629628</v>
      </c>
      <c r="C1642" s="33" t="s">
        <v>8</v>
      </c>
      <c r="D1642" s="33" t="s">
        <v>16</v>
      </c>
      <c r="E1642" s="34">
        <v>316.93</v>
      </c>
      <c r="F1642" s="33">
        <v>2</v>
      </c>
      <c r="G1642" s="34">
        <v>633.86</v>
      </c>
      <c r="H1642" s="33" t="s">
        <v>66</v>
      </c>
      <c r="I1642" s="33" t="str">
        <f t="shared" si="50"/>
        <v>Medium sales</v>
      </c>
      <c r="J1642" s="33" t="str">
        <f t="shared" si="51"/>
        <v>not eligible</v>
      </c>
    </row>
    <row r="1643" spans="1:10" x14ac:dyDescent="0.35">
      <c r="A1643" s="31">
        <v>45516.038194444445</v>
      </c>
      <c r="B1643" s="32">
        <v>0.91113425925925917</v>
      </c>
      <c r="C1643" s="33" t="s">
        <v>14</v>
      </c>
      <c r="D1643" s="33" t="s">
        <v>20</v>
      </c>
      <c r="E1643" s="34">
        <v>196.78</v>
      </c>
      <c r="F1643" s="33">
        <v>1</v>
      </c>
      <c r="G1643" s="34">
        <v>196.78</v>
      </c>
      <c r="H1643" s="33" t="s">
        <v>217</v>
      </c>
      <c r="I1643" s="33" t="str">
        <f t="shared" si="50"/>
        <v>Low sales</v>
      </c>
      <c r="J1643" s="33" t="str">
        <f t="shared" si="51"/>
        <v>not eligible</v>
      </c>
    </row>
    <row r="1644" spans="1:10" x14ac:dyDescent="0.35">
      <c r="A1644" s="31">
        <v>45337.844444444447</v>
      </c>
      <c r="B1644" s="32">
        <v>0.37201388888888887</v>
      </c>
      <c r="C1644" s="33" t="s">
        <v>8</v>
      </c>
      <c r="D1644" s="33" t="s">
        <v>27</v>
      </c>
      <c r="E1644" s="34">
        <v>126.32</v>
      </c>
      <c r="F1644" s="33">
        <v>3</v>
      </c>
      <c r="G1644" s="34">
        <v>378.96</v>
      </c>
      <c r="H1644" s="33" t="s">
        <v>50</v>
      </c>
      <c r="I1644" s="33" t="str">
        <f t="shared" si="50"/>
        <v>Low sales</v>
      </c>
      <c r="J1644" s="33" t="str">
        <f t="shared" si="51"/>
        <v>not eligible</v>
      </c>
    </row>
    <row r="1645" spans="1:10" x14ac:dyDescent="0.35">
      <c r="A1645" s="31">
        <v>45220.967361111114</v>
      </c>
      <c r="B1645" s="32">
        <v>0.79158564814814814</v>
      </c>
      <c r="C1645" s="33" t="s">
        <v>11</v>
      </c>
      <c r="D1645" s="33" t="s">
        <v>20</v>
      </c>
      <c r="E1645" s="34">
        <v>402.85</v>
      </c>
      <c r="F1645" s="33">
        <v>2</v>
      </c>
      <c r="G1645" s="34">
        <v>805.7</v>
      </c>
      <c r="H1645" s="33" t="s">
        <v>61</v>
      </c>
      <c r="I1645" s="33" t="str">
        <f t="shared" si="50"/>
        <v>Medium sales</v>
      </c>
      <c r="J1645" s="33" t="str">
        <f t="shared" si="51"/>
        <v>not eligible</v>
      </c>
    </row>
    <row r="1646" spans="1:10" x14ac:dyDescent="0.35">
      <c r="A1646" s="31">
        <v>44983.472222222219</v>
      </c>
      <c r="B1646" s="32">
        <v>0.73783564814814817</v>
      </c>
      <c r="C1646" s="33" t="s">
        <v>11</v>
      </c>
      <c r="D1646" s="33" t="s">
        <v>12</v>
      </c>
      <c r="E1646" s="34">
        <v>434.47</v>
      </c>
      <c r="F1646" s="33">
        <v>1</v>
      </c>
      <c r="G1646" s="34">
        <v>434.47</v>
      </c>
      <c r="H1646" s="33" t="s">
        <v>336</v>
      </c>
      <c r="I1646" s="33" t="str">
        <f t="shared" si="50"/>
        <v>Low sales</v>
      </c>
      <c r="J1646" s="33" t="str">
        <f t="shared" si="51"/>
        <v>not eligible</v>
      </c>
    </row>
    <row r="1647" spans="1:10" x14ac:dyDescent="0.35">
      <c r="A1647" s="31">
        <v>45372.529166666667</v>
      </c>
      <c r="B1647" s="32">
        <v>0.83983796296296298</v>
      </c>
      <c r="C1647" s="33" t="s">
        <v>8</v>
      </c>
      <c r="D1647" s="33" t="s">
        <v>9</v>
      </c>
      <c r="E1647" s="34">
        <v>290.19</v>
      </c>
      <c r="F1647" s="33">
        <v>2</v>
      </c>
      <c r="G1647" s="34">
        <v>580.38</v>
      </c>
      <c r="H1647" s="33" t="s">
        <v>338</v>
      </c>
      <c r="I1647" s="33" t="str">
        <f t="shared" si="50"/>
        <v>Medium sales</v>
      </c>
      <c r="J1647" s="33" t="str">
        <f t="shared" si="51"/>
        <v>not eligible</v>
      </c>
    </row>
    <row r="1648" spans="1:10" x14ac:dyDescent="0.35">
      <c r="A1648" s="31">
        <v>45398.060416666667</v>
      </c>
      <c r="B1648" s="32">
        <v>0.38011574074074073</v>
      </c>
      <c r="C1648" s="33" t="s">
        <v>11</v>
      </c>
      <c r="D1648" s="33" t="s">
        <v>12</v>
      </c>
      <c r="E1648" s="34">
        <v>142.81</v>
      </c>
      <c r="F1648" s="33">
        <v>5</v>
      </c>
      <c r="G1648" s="34">
        <v>714.05</v>
      </c>
      <c r="H1648" s="33" t="s">
        <v>279</v>
      </c>
      <c r="I1648" s="33" t="str">
        <f t="shared" si="50"/>
        <v>Medium sales</v>
      </c>
      <c r="J1648" s="33" t="str">
        <f t="shared" si="51"/>
        <v>not eligible</v>
      </c>
    </row>
    <row r="1649" spans="1:10" x14ac:dyDescent="0.35">
      <c r="A1649" s="31">
        <v>45229.705555555556</v>
      </c>
      <c r="B1649" s="32">
        <v>0.44489583333333332</v>
      </c>
      <c r="C1649" s="33" t="s">
        <v>11</v>
      </c>
      <c r="D1649" s="33" t="s">
        <v>20</v>
      </c>
      <c r="E1649" s="34">
        <v>75.56</v>
      </c>
      <c r="F1649" s="33">
        <v>2</v>
      </c>
      <c r="G1649" s="34">
        <v>151.12</v>
      </c>
      <c r="H1649" s="33" t="s">
        <v>327</v>
      </c>
      <c r="I1649" s="33" t="str">
        <f t="shared" si="50"/>
        <v>Low sales</v>
      </c>
      <c r="J1649" s="33" t="str">
        <f t="shared" si="51"/>
        <v>not eligible</v>
      </c>
    </row>
    <row r="1650" spans="1:10" x14ac:dyDescent="0.35">
      <c r="A1650" s="31">
        <v>44983.575694444444</v>
      </c>
      <c r="B1650" s="32">
        <v>0.4180787037037037</v>
      </c>
      <c r="C1650" s="33" t="s">
        <v>8</v>
      </c>
      <c r="D1650" s="33" t="s">
        <v>27</v>
      </c>
      <c r="E1650" s="34">
        <v>389.68</v>
      </c>
      <c r="F1650" s="33">
        <v>4</v>
      </c>
      <c r="G1650" s="34">
        <v>1558.72</v>
      </c>
      <c r="H1650" s="33" t="s">
        <v>398</v>
      </c>
      <c r="I1650" s="33" t="str">
        <f t="shared" si="50"/>
        <v>High sales</v>
      </c>
      <c r="J1650" s="33" t="str">
        <f t="shared" si="51"/>
        <v>not eligible</v>
      </c>
    </row>
    <row r="1651" spans="1:10" x14ac:dyDescent="0.35">
      <c r="A1651" s="31">
        <v>45201.715277777781</v>
      </c>
      <c r="B1651" s="32">
        <v>0.87046296296296299</v>
      </c>
      <c r="C1651" s="33" t="s">
        <v>11</v>
      </c>
      <c r="D1651" s="33" t="s">
        <v>9</v>
      </c>
      <c r="E1651" s="34">
        <v>237.81</v>
      </c>
      <c r="F1651" s="33">
        <v>3</v>
      </c>
      <c r="G1651" s="34">
        <v>713.43</v>
      </c>
      <c r="H1651" s="33" t="s">
        <v>334</v>
      </c>
      <c r="I1651" s="33" t="str">
        <f t="shared" si="50"/>
        <v>Medium sales</v>
      </c>
      <c r="J1651" s="33" t="str">
        <f t="shared" si="51"/>
        <v>not eligible</v>
      </c>
    </row>
    <row r="1652" spans="1:10" x14ac:dyDescent="0.35">
      <c r="A1652" s="31">
        <v>44979.931250000001</v>
      </c>
      <c r="B1652" s="32">
        <v>0.51478009259259261</v>
      </c>
      <c r="C1652" s="33" t="s">
        <v>11</v>
      </c>
      <c r="D1652" s="33" t="s">
        <v>20</v>
      </c>
      <c r="E1652" s="34">
        <v>474.93</v>
      </c>
      <c r="F1652" s="33">
        <v>2</v>
      </c>
      <c r="G1652" s="34">
        <v>949.86</v>
      </c>
      <c r="H1652" s="33" t="s">
        <v>10</v>
      </c>
      <c r="I1652" s="33" t="str">
        <f t="shared" si="50"/>
        <v>Medium sales</v>
      </c>
      <c r="J1652" s="33" t="str">
        <f t="shared" si="51"/>
        <v>not eligible</v>
      </c>
    </row>
    <row r="1653" spans="1:10" x14ac:dyDescent="0.35">
      <c r="A1653" s="31">
        <v>45181.167361111111</v>
      </c>
      <c r="B1653" s="32">
        <v>0.85487268518518522</v>
      </c>
      <c r="C1653" s="33" t="s">
        <v>14</v>
      </c>
      <c r="D1653" s="33" t="s">
        <v>12</v>
      </c>
      <c r="E1653" s="34">
        <v>375.96</v>
      </c>
      <c r="F1653" s="33">
        <v>3</v>
      </c>
      <c r="G1653" s="34">
        <v>1127.8800000000001</v>
      </c>
      <c r="H1653" s="33" t="s">
        <v>254</v>
      </c>
      <c r="I1653" s="33" t="str">
        <f t="shared" si="50"/>
        <v>Medium sales</v>
      </c>
      <c r="J1653" s="33" t="str">
        <f t="shared" si="51"/>
        <v>not eligible</v>
      </c>
    </row>
    <row r="1654" spans="1:10" x14ac:dyDescent="0.35">
      <c r="A1654" s="31">
        <v>45267.603472222225</v>
      </c>
      <c r="B1654" s="32">
        <v>0.5397453703703704</v>
      </c>
      <c r="C1654" s="33" t="s">
        <v>14</v>
      </c>
      <c r="D1654" s="33" t="s">
        <v>9</v>
      </c>
      <c r="E1654" s="34">
        <v>229.73</v>
      </c>
      <c r="F1654" s="33">
        <v>3</v>
      </c>
      <c r="G1654" s="34">
        <v>689.19</v>
      </c>
      <c r="H1654" s="33" t="s">
        <v>160</v>
      </c>
      <c r="I1654" s="33" t="str">
        <f t="shared" si="50"/>
        <v>Medium sales</v>
      </c>
      <c r="J1654" s="33" t="str">
        <f t="shared" si="51"/>
        <v>not eligible</v>
      </c>
    </row>
    <row r="1655" spans="1:10" x14ac:dyDescent="0.35">
      <c r="A1655" s="31">
        <v>45168.012499999997</v>
      </c>
      <c r="B1655" s="32">
        <v>0.1297800925925926</v>
      </c>
      <c r="C1655" s="33" t="s">
        <v>8</v>
      </c>
      <c r="D1655" s="33" t="s">
        <v>27</v>
      </c>
      <c r="E1655" s="34">
        <v>54.15</v>
      </c>
      <c r="F1655" s="33">
        <v>3</v>
      </c>
      <c r="G1655" s="34">
        <v>162.44999999999999</v>
      </c>
      <c r="H1655" s="33" t="s">
        <v>41</v>
      </c>
      <c r="I1655" s="33" t="str">
        <f t="shared" si="50"/>
        <v>Low sales</v>
      </c>
      <c r="J1655" s="33" t="str">
        <f t="shared" si="51"/>
        <v>not eligible</v>
      </c>
    </row>
    <row r="1656" spans="1:10" x14ac:dyDescent="0.35">
      <c r="A1656" s="31">
        <v>45320.365277777775</v>
      </c>
      <c r="B1656" s="32">
        <v>0.58733796296296303</v>
      </c>
      <c r="C1656" s="33" t="s">
        <v>11</v>
      </c>
      <c r="D1656" s="33" t="s">
        <v>16</v>
      </c>
      <c r="E1656" s="34">
        <v>253.09</v>
      </c>
      <c r="F1656" s="33">
        <v>1</v>
      </c>
      <c r="G1656" s="34">
        <v>253.09</v>
      </c>
      <c r="H1656" s="33" t="s">
        <v>225</v>
      </c>
      <c r="I1656" s="33" t="str">
        <f t="shared" si="50"/>
        <v>Low sales</v>
      </c>
      <c r="J1656" s="33" t="str">
        <f t="shared" si="51"/>
        <v>not eligible</v>
      </c>
    </row>
    <row r="1657" spans="1:10" x14ac:dyDescent="0.35">
      <c r="A1657" s="31">
        <v>45100.71875</v>
      </c>
      <c r="B1657" s="32">
        <v>0.84940972222222222</v>
      </c>
      <c r="C1657" s="33" t="s">
        <v>8</v>
      </c>
      <c r="D1657" s="33" t="s">
        <v>16</v>
      </c>
      <c r="E1657" s="34">
        <v>487.67</v>
      </c>
      <c r="F1657" s="33">
        <v>2</v>
      </c>
      <c r="G1657" s="34">
        <v>975.34</v>
      </c>
      <c r="H1657" s="33" t="s">
        <v>124</v>
      </c>
      <c r="I1657" s="33" t="str">
        <f t="shared" si="50"/>
        <v>Medium sales</v>
      </c>
      <c r="J1657" s="33" t="str">
        <f t="shared" si="51"/>
        <v>not eligible</v>
      </c>
    </row>
    <row r="1658" spans="1:10" x14ac:dyDescent="0.35">
      <c r="A1658" s="31">
        <v>44983.786111111112</v>
      </c>
      <c r="B1658" s="32">
        <v>0.20233796296296294</v>
      </c>
      <c r="C1658" s="33" t="s">
        <v>8</v>
      </c>
      <c r="D1658" s="33" t="s">
        <v>27</v>
      </c>
      <c r="E1658" s="34">
        <v>189.32</v>
      </c>
      <c r="F1658" s="33">
        <v>2</v>
      </c>
      <c r="G1658" s="34">
        <v>378.64</v>
      </c>
      <c r="H1658" s="33" t="s">
        <v>297</v>
      </c>
      <c r="I1658" s="33" t="str">
        <f t="shared" si="50"/>
        <v>Low sales</v>
      </c>
      <c r="J1658" s="33" t="str">
        <f t="shared" si="51"/>
        <v>not eligible</v>
      </c>
    </row>
    <row r="1659" spans="1:10" x14ac:dyDescent="0.35">
      <c r="A1659" s="31">
        <v>45076.225694444445</v>
      </c>
      <c r="B1659" s="32">
        <v>0.6844675925925926</v>
      </c>
      <c r="C1659" s="33" t="s">
        <v>8</v>
      </c>
      <c r="D1659" s="33" t="s">
        <v>16</v>
      </c>
      <c r="E1659" s="34">
        <v>402.02</v>
      </c>
      <c r="F1659" s="33">
        <v>2</v>
      </c>
      <c r="G1659" s="34">
        <v>804.04</v>
      </c>
      <c r="H1659" s="33" t="s">
        <v>322</v>
      </c>
      <c r="I1659" s="33" t="str">
        <f t="shared" si="50"/>
        <v>Medium sales</v>
      </c>
      <c r="J1659" s="33" t="str">
        <f t="shared" si="51"/>
        <v>not eligible</v>
      </c>
    </row>
    <row r="1660" spans="1:10" x14ac:dyDescent="0.35">
      <c r="A1660" s="31">
        <v>45414.09652777778</v>
      </c>
      <c r="B1660" s="32">
        <v>5.8923611111111107E-2</v>
      </c>
      <c r="C1660" s="33" t="s">
        <v>14</v>
      </c>
      <c r="D1660" s="33" t="s">
        <v>9</v>
      </c>
      <c r="E1660" s="34">
        <v>245.59</v>
      </c>
      <c r="F1660" s="33">
        <v>5</v>
      </c>
      <c r="G1660" s="34">
        <v>1227.95</v>
      </c>
      <c r="H1660" s="33" t="s">
        <v>367</v>
      </c>
      <c r="I1660" s="33" t="str">
        <f t="shared" si="50"/>
        <v>Medium sales</v>
      </c>
      <c r="J1660" s="33" t="str">
        <f t="shared" si="51"/>
        <v>not eligible</v>
      </c>
    </row>
    <row r="1661" spans="1:10" x14ac:dyDescent="0.35">
      <c r="A1661" s="31">
        <v>45283.282638888886</v>
      </c>
      <c r="B1661" s="32">
        <v>0.54847222222222225</v>
      </c>
      <c r="C1661" s="33" t="s">
        <v>8</v>
      </c>
      <c r="D1661" s="33" t="s">
        <v>20</v>
      </c>
      <c r="E1661" s="34">
        <v>208.26</v>
      </c>
      <c r="F1661" s="33">
        <v>4</v>
      </c>
      <c r="G1661" s="34">
        <v>833.04</v>
      </c>
      <c r="H1661" s="33" t="s">
        <v>288</v>
      </c>
      <c r="I1661" s="33" t="str">
        <f t="shared" si="50"/>
        <v>Medium sales</v>
      </c>
      <c r="J1661" s="33" t="str">
        <f t="shared" si="51"/>
        <v>not eligible</v>
      </c>
    </row>
    <row r="1662" spans="1:10" x14ac:dyDescent="0.35">
      <c r="A1662" s="31">
        <v>45167.084722222222</v>
      </c>
      <c r="B1662" s="32">
        <v>0.23488425925925926</v>
      </c>
      <c r="C1662" s="33" t="s">
        <v>8</v>
      </c>
      <c r="D1662" s="33" t="s">
        <v>9</v>
      </c>
      <c r="E1662" s="34">
        <v>472.98</v>
      </c>
      <c r="F1662" s="33">
        <v>2</v>
      </c>
      <c r="G1662" s="34">
        <v>945.96</v>
      </c>
      <c r="H1662" s="33" t="s">
        <v>180</v>
      </c>
      <c r="I1662" s="33" t="str">
        <f t="shared" si="50"/>
        <v>Medium sales</v>
      </c>
      <c r="J1662" s="33" t="str">
        <f t="shared" si="51"/>
        <v>not eligible</v>
      </c>
    </row>
    <row r="1663" spans="1:10" x14ac:dyDescent="0.35">
      <c r="A1663" s="31">
        <v>45141.853472222225</v>
      </c>
      <c r="B1663" s="32">
        <v>0.47531250000000003</v>
      </c>
      <c r="C1663" s="33" t="s">
        <v>14</v>
      </c>
      <c r="D1663" s="33" t="s">
        <v>27</v>
      </c>
      <c r="E1663" s="34">
        <v>251.35</v>
      </c>
      <c r="F1663" s="33">
        <v>2</v>
      </c>
      <c r="G1663" s="34">
        <v>502.7</v>
      </c>
      <c r="H1663" s="33" t="s">
        <v>125</v>
      </c>
      <c r="I1663" s="33" t="str">
        <f t="shared" si="50"/>
        <v>Medium sales</v>
      </c>
      <c r="J1663" s="33" t="str">
        <f t="shared" si="51"/>
        <v>not eligible</v>
      </c>
    </row>
    <row r="1664" spans="1:10" x14ac:dyDescent="0.35">
      <c r="A1664" s="31">
        <v>45334.402777777781</v>
      </c>
      <c r="B1664" s="32">
        <v>0.81550925925925932</v>
      </c>
      <c r="C1664" s="33" t="s">
        <v>14</v>
      </c>
      <c r="D1664" s="33" t="s">
        <v>27</v>
      </c>
      <c r="E1664" s="34">
        <v>289.8</v>
      </c>
      <c r="F1664" s="33">
        <v>4</v>
      </c>
      <c r="G1664" s="34">
        <v>1159.2</v>
      </c>
      <c r="H1664" s="33" t="s">
        <v>309</v>
      </c>
      <c r="I1664" s="33" t="str">
        <f t="shared" si="50"/>
        <v>Medium sales</v>
      </c>
      <c r="J1664" s="33" t="str">
        <f t="shared" si="51"/>
        <v>not eligible</v>
      </c>
    </row>
    <row r="1665" spans="1:10" x14ac:dyDescent="0.35">
      <c r="A1665" s="31">
        <v>44954.376388888886</v>
      </c>
      <c r="B1665" s="32">
        <v>3.4895833333333334E-2</v>
      </c>
      <c r="C1665" s="33" t="s">
        <v>14</v>
      </c>
      <c r="D1665" s="33" t="s">
        <v>27</v>
      </c>
      <c r="E1665" s="34">
        <v>187.26</v>
      </c>
      <c r="F1665" s="33">
        <v>3</v>
      </c>
      <c r="G1665" s="34">
        <v>561.78</v>
      </c>
      <c r="H1665" s="33" t="s">
        <v>348</v>
      </c>
      <c r="I1665" s="33" t="str">
        <f t="shared" si="50"/>
        <v>Medium sales</v>
      </c>
      <c r="J1665" s="33" t="str">
        <f t="shared" si="51"/>
        <v>not eligible</v>
      </c>
    </row>
    <row r="1666" spans="1:10" x14ac:dyDescent="0.35">
      <c r="A1666" s="31">
        <v>45377.080555555556</v>
      </c>
      <c r="B1666" s="32">
        <v>0.74174768518518519</v>
      </c>
      <c r="C1666" s="33" t="s">
        <v>11</v>
      </c>
      <c r="D1666" s="33" t="s">
        <v>12</v>
      </c>
      <c r="E1666" s="34">
        <v>236.74</v>
      </c>
      <c r="F1666" s="33">
        <v>1</v>
      </c>
      <c r="G1666" s="34">
        <v>236.74</v>
      </c>
      <c r="H1666" s="33" t="s">
        <v>68</v>
      </c>
      <c r="I1666" s="33" t="str">
        <f t="shared" si="50"/>
        <v>Low sales</v>
      </c>
      <c r="J1666" s="33" t="str">
        <f t="shared" si="51"/>
        <v>not eligible</v>
      </c>
    </row>
    <row r="1667" spans="1:10" x14ac:dyDescent="0.35">
      <c r="A1667" s="31">
        <v>44973.964583333334</v>
      </c>
      <c r="B1667" s="32">
        <v>0.5083333333333333</v>
      </c>
      <c r="C1667" s="33" t="s">
        <v>14</v>
      </c>
      <c r="D1667" s="33" t="s">
        <v>20</v>
      </c>
      <c r="E1667" s="34">
        <v>495.8</v>
      </c>
      <c r="F1667" s="33">
        <v>3</v>
      </c>
      <c r="G1667" s="34">
        <v>1487.4</v>
      </c>
      <c r="H1667" s="33" t="s">
        <v>327</v>
      </c>
      <c r="I1667" s="33" t="str">
        <f t="shared" ref="I1667:I1730" si="52">IF(G1667&gt;1500,"High sales", IF(G1667&gt;500,"Medium sales", "Low sales"))</f>
        <v>Medium sales</v>
      </c>
      <c r="J1667" s="33" t="str">
        <f t="shared" ref="J1667:J1730" si="53">IF(AND(G1667&gt;1000,C1667="Premium"), "eligible", "not eligible")</f>
        <v>not eligible</v>
      </c>
    </row>
    <row r="1668" spans="1:10" x14ac:dyDescent="0.35">
      <c r="A1668" s="31">
        <v>45327.333333333336</v>
      </c>
      <c r="B1668" s="32">
        <v>0.81478009259259254</v>
      </c>
      <c r="C1668" s="33" t="s">
        <v>11</v>
      </c>
      <c r="D1668" s="33" t="s">
        <v>27</v>
      </c>
      <c r="E1668" s="34">
        <v>40.21</v>
      </c>
      <c r="F1668" s="33">
        <v>5</v>
      </c>
      <c r="G1668" s="34">
        <v>201.05</v>
      </c>
      <c r="H1668" s="33" t="s">
        <v>141</v>
      </c>
      <c r="I1668" s="33" t="str">
        <f t="shared" si="52"/>
        <v>Low sales</v>
      </c>
      <c r="J1668" s="33" t="str">
        <f t="shared" si="53"/>
        <v>not eligible</v>
      </c>
    </row>
    <row r="1669" spans="1:10" x14ac:dyDescent="0.35">
      <c r="A1669" s="31">
        <v>45353.813888888886</v>
      </c>
      <c r="B1669" s="32">
        <v>0.84195601851851853</v>
      </c>
      <c r="C1669" s="33" t="s">
        <v>8</v>
      </c>
      <c r="D1669" s="33" t="s">
        <v>12</v>
      </c>
      <c r="E1669" s="34">
        <v>437.14</v>
      </c>
      <c r="F1669" s="33">
        <v>5</v>
      </c>
      <c r="G1669" s="34">
        <v>2185.6999999999998</v>
      </c>
      <c r="H1669" s="33" t="s">
        <v>166</v>
      </c>
      <c r="I1669" s="33" t="str">
        <f t="shared" si="52"/>
        <v>High sales</v>
      </c>
      <c r="J1669" s="33" t="str">
        <f t="shared" si="53"/>
        <v>not eligible</v>
      </c>
    </row>
    <row r="1670" spans="1:10" x14ac:dyDescent="0.35">
      <c r="A1670" s="31">
        <v>45223.413888888892</v>
      </c>
      <c r="B1670" s="32">
        <v>0.43111111111111117</v>
      </c>
      <c r="C1670" s="33" t="s">
        <v>11</v>
      </c>
      <c r="D1670" s="33" t="s">
        <v>9</v>
      </c>
      <c r="E1670" s="34">
        <v>443.46</v>
      </c>
      <c r="F1670" s="33">
        <v>5</v>
      </c>
      <c r="G1670" s="34">
        <v>2217.3000000000002</v>
      </c>
      <c r="H1670" s="33" t="s">
        <v>61</v>
      </c>
      <c r="I1670" s="33" t="str">
        <f t="shared" si="52"/>
        <v>High sales</v>
      </c>
      <c r="J1670" s="33" t="str">
        <f t="shared" si="53"/>
        <v>eligible</v>
      </c>
    </row>
    <row r="1671" spans="1:10" x14ac:dyDescent="0.35">
      <c r="A1671" s="31">
        <v>45234.959027777775</v>
      </c>
      <c r="B1671" s="32">
        <v>0.89459490740740744</v>
      </c>
      <c r="C1671" s="33" t="s">
        <v>8</v>
      </c>
      <c r="D1671" s="33" t="s">
        <v>12</v>
      </c>
      <c r="E1671" s="34">
        <v>17.829999999999998</v>
      </c>
      <c r="F1671" s="33">
        <v>4</v>
      </c>
      <c r="G1671" s="34">
        <v>71.319999999999993</v>
      </c>
      <c r="H1671" s="33" t="s">
        <v>342</v>
      </c>
      <c r="I1671" s="33" t="str">
        <f t="shared" si="52"/>
        <v>Low sales</v>
      </c>
      <c r="J1671" s="33" t="str">
        <f t="shared" si="53"/>
        <v>not eligible</v>
      </c>
    </row>
    <row r="1672" spans="1:10" x14ac:dyDescent="0.35">
      <c r="A1672" s="31">
        <v>45230.204861111109</v>
      </c>
      <c r="B1672" s="32">
        <v>0.1252662037037037</v>
      </c>
      <c r="C1672" s="33" t="s">
        <v>8</v>
      </c>
      <c r="D1672" s="33" t="s">
        <v>12</v>
      </c>
      <c r="E1672" s="34">
        <v>207.21</v>
      </c>
      <c r="F1672" s="33">
        <v>1</v>
      </c>
      <c r="G1672" s="34">
        <v>207.21</v>
      </c>
      <c r="H1672" s="33" t="s">
        <v>373</v>
      </c>
      <c r="I1672" s="33" t="str">
        <f t="shared" si="52"/>
        <v>Low sales</v>
      </c>
      <c r="J1672" s="33" t="str">
        <f t="shared" si="53"/>
        <v>not eligible</v>
      </c>
    </row>
    <row r="1673" spans="1:10" x14ac:dyDescent="0.35">
      <c r="A1673" s="31">
        <v>45305.880555555559</v>
      </c>
      <c r="B1673" s="32">
        <v>0.36021990740740745</v>
      </c>
      <c r="C1673" s="33" t="s">
        <v>8</v>
      </c>
      <c r="D1673" s="33" t="s">
        <v>20</v>
      </c>
      <c r="E1673" s="34">
        <v>264.23</v>
      </c>
      <c r="F1673" s="33">
        <v>1</v>
      </c>
      <c r="G1673" s="34">
        <v>264.23</v>
      </c>
      <c r="H1673" s="33" t="s">
        <v>386</v>
      </c>
      <c r="I1673" s="33" t="str">
        <f t="shared" si="52"/>
        <v>Low sales</v>
      </c>
      <c r="J1673" s="33" t="str">
        <f t="shared" si="53"/>
        <v>not eligible</v>
      </c>
    </row>
    <row r="1674" spans="1:10" x14ac:dyDescent="0.35">
      <c r="A1674" s="31">
        <v>45076.044444444444</v>
      </c>
      <c r="B1674" s="32">
        <v>0.48734953703703704</v>
      </c>
      <c r="C1674" s="33" t="s">
        <v>14</v>
      </c>
      <c r="D1674" s="33" t="s">
        <v>12</v>
      </c>
      <c r="E1674" s="34">
        <v>413.3</v>
      </c>
      <c r="F1674" s="33">
        <v>5</v>
      </c>
      <c r="G1674" s="34">
        <v>2066.5</v>
      </c>
      <c r="H1674" s="33" t="s">
        <v>384</v>
      </c>
      <c r="I1674" s="33" t="str">
        <f t="shared" si="52"/>
        <v>High sales</v>
      </c>
      <c r="J1674" s="33" t="str">
        <f t="shared" si="53"/>
        <v>not eligible</v>
      </c>
    </row>
    <row r="1675" spans="1:10" x14ac:dyDescent="0.35">
      <c r="A1675" s="31">
        <v>45604.323611111111</v>
      </c>
      <c r="B1675" s="32">
        <v>0.5267708333333333</v>
      </c>
      <c r="C1675" s="33" t="s">
        <v>8</v>
      </c>
      <c r="D1675" s="33" t="s">
        <v>9</v>
      </c>
      <c r="E1675" s="34">
        <v>163.12</v>
      </c>
      <c r="F1675" s="33">
        <v>1</v>
      </c>
      <c r="G1675" s="34">
        <v>163.12</v>
      </c>
      <c r="H1675" s="33" t="s">
        <v>290</v>
      </c>
      <c r="I1675" s="33" t="str">
        <f t="shared" si="52"/>
        <v>Low sales</v>
      </c>
      <c r="J1675" s="33" t="str">
        <f t="shared" si="53"/>
        <v>not eligible</v>
      </c>
    </row>
    <row r="1676" spans="1:10" x14ac:dyDescent="0.35">
      <c r="A1676" s="31">
        <v>45655.070138888892</v>
      </c>
      <c r="B1676" s="32">
        <v>0.8800810185185185</v>
      </c>
      <c r="C1676" s="33" t="s">
        <v>11</v>
      </c>
      <c r="D1676" s="33" t="s">
        <v>27</v>
      </c>
      <c r="E1676" s="34">
        <v>156.81</v>
      </c>
      <c r="F1676" s="33">
        <v>4</v>
      </c>
      <c r="G1676" s="34">
        <v>627.24</v>
      </c>
      <c r="H1676" s="33" t="s">
        <v>150</v>
      </c>
      <c r="I1676" s="33" t="str">
        <f t="shared" si="52"/>
        <v>Medium sales</v>
      </c>
      <c r="J1676" s="33" t="str">
        <f t="shared" si="53"/>
        <v>not eligible</v>
      </c>
    </row>
    <row r="1677" spans="1:10" x14ac:dyDescent="0.35">
      <c r="A1677" s="31">
        <v>45556.025694444441</v>
      </c>
      <c r="B1677" s="32">
        <v>7.1805555555555553E-2</v>
      </c>
      <c r="C1677" s="33" t="s">
        <v>14</v>
      </c>
      <c r="D1677" s="33" t="s">
        <v>20</v>
      </c>
      <c r="E1677" s="34">
        <v>354.63</v>
      </c>
      <c r="F1677" s="33">
        <v>2</v>
      </c>
      <c r="G1677" s="34">
        <v>709.26</v>
      </c>
      <c r="H1677" s="33" t="s">
        <v>89</v>
      </c>
      <c r="I1677" s="33" t="str">
        <f t="shared" si="52"/>
        <v>Medium sales</v>
      </c>
      <c r="J1677" s="33" t="str">
        <f t="shared" si="53"/>
        <v>not eligible</v>
      </c>
    </row>
    <row r="1678" spans="1:10" x14ac:dyDescent="0.35">
      <c r="A1678" s="31">
        <v>45467.509027777778</v>
      </c>
      <c r="B1678" s="32">
        <v>0.30396990740740742</v>
      </c>
      <c r="C1678" s="33" t="s">
        <v>14</v>
      </c>
      <c r="D1678" s="33" t="s">
        <v>12</v>
      </c>
      <c r="E1678" s="34">
        <v>248.66</v>
      </c>
      <c r="F1678" s="33">
        <v>4</v>
      </c>
      <c r="G1678" s="34">
        <v>994.64</v>
      </c>
      <c r="H1678" s="33" t="s">
        <v>56</v>
      </c>
      <c r="I1678" s="33" t="str">
        <f t="shared" si="52"/>
        <v>Medium sales</v>
      </c>
      <c r="J1678" s="33" t="str">
        <f t="shared" si="53"/>
        <v>not eligible</v>
      </c>
    </row>
    <row r="1679" spans="1:10" x14ac:dyDescent="0.35">
      <c r="A1679" s="31">
        <v>45513.762499999997</v>
      </c>
      <c r="B1679" s="32">
        <v>0.1055787037037037</v>
      </c>
      <c r="C1679" s="33" t="s">
        <v>11</v>
      </c>
      <c r="D1679" s="33" t="s">
        <v>12</v>
      </c>
      <c r="E1679" s="34">
        <v>362.71</v>
      </c>
      <c r="F1679" s="33">
        <v>1</v>
      </c>
      <c r="G1679" s="34">
        <v>362.71</v>
      </c>
      <c r="H1679" s="33" t="s">
        <v>156</v>
      </c>
      <c r="I1679" s="33" t="str">
        <f t="shared" si="52"/>
        <v>Low sales</v>
      </c>
      <c r="J1679" s="33" t="str">
        <f t="shared" si="53"/>
        <v>not eligible</v>
      </c>
    </row>
    <row r="1680" spans="1:10" x14ac:dyDescent="0.35">
      <c r="A1680" s="31">
        <v>44957.038888888892</v>
      </c>
      <c r="B1680" s="32">
        <v>0.18546296296296297</v>
      </c>
      <c r="C1680" s="33" t="s">
        <v>8</v>
      </c>
      <c r="D1680" s="33" t="s">
        <v>9</v>
      </c>
      <c r="E1680" s="34">
        <v>227.18</v>
      </c>
      <c r="F1680" s="33">
        <v>2</v>
      </c>
      <c r="G1680" s="34">
        <v>454.36</v>
      </c>
      <c r="H1680" s="33" t="s">
        <v>68</v>
      </c>
      <c r="I1680" s="33" t="str">
        <f t="shared" si="52"/>
        <v>Low sales</v>
      </c>
      <c r="J1680" s="33" t="str">
        <f t="shared" si="53"/>
        <v>not eligible</v>
      </c>
    </row>
    <row r="1681" spans="1:10" x14ac:dyDescent="0.35">
      <c r="A1681" s="31">
        <v>45063.814583333333</v>
      </c>
      <c r="B1681" s="32">
        <v>0.68716435185185187</v>
      </c>
      <c r="C1681" s="33" t="s">
        <v>8</v>
      </c>
      <c r="D1681" s="33" t="s">
        <v>12</v>
      </c>
      <c r="E1681" s="34">
        <v>220.03</v>
      </c>
      <c r="F1681" s="33">
        <v>5</v>
      </c>
      <c r="G1681" s="34">
        <v>1100.1500000000001</v>
      </c>
      <c r="H1681" s="33" t="s">
        <v>386</v>
      </c>
      <c r="I1681" s="33" t="str">
        <f t="shared" si="52"/>
        <v>Medium sales</v>
      </c>
      <c r="J1681" s="33" t="str">
        <f t="shared" si="53"/>
        <v>not eligible</v>
      </c>
    </row>
    <row r="1682" spans="1:10" x14ac:dyDescent="0.35">
      <c r="A1682" s="31">
        <v>45095.154861111114</v>
      </c>
      <c r="B1682" s="32">
        <v>0.50633101851851847</v>
      </c>
      <c r="C1682" s="33" t="s">
        <v>14</v>
      </c>
      <c r="D1682" s="33" t="s">
        <v>16</v>
      </c>
      <c r="E1682" s="34">
        <v>79.349999999999994</v>
      </c>
      <c r="F1682" s="33">
        <v>2</v>
      </c>
      <c r="G1682" s="34">
        <v>158.69999999999999</v>
      </c>
      <c r="H1682" s="33" t="s">
        <v>36</v>
      </c>
      <c r="I1682" s="33" t="str">
        <f t="shared" si="52"/>
        <v>Low sales</v>
      </c>
      <c r="J1682" s="33" t="str">
        <f t="shared" si="53"/>
        <v>not eligible</v>
      </c>
    </row>
    <row r="1683" spans="1:10" x14ac:dyDescent="0.35">
      <c r="A1683" s="31">
        <v>45066.915972222225</v>
      </c>
      <c r="B1683" s="32">
        <v>0.89278935185185182</v>
      </c>
      <c r="C1683" s="33" t="s">
        <v>11</v>
      </c>
      <c r="D1683" s="33" t="s">
        <v>20</v>
      </c>
      <c r="E1683" s="34">
        <v>322.51</v>
      </c>
      <c r="F1683" s="33">
        <v>2</v>
      </c>
      <c r="G1683" s="34">
        <v>645.02</v>
      </c>
      <c r="H1683" s="33" t="s">
        <v>135</v>
      </c>
      <c r="I1683" s="33" t="str">
        <f t="shared" si="52"/>
        <v>Medium sales</v>
      </c>
      <c r="J1683" s="33" t="str">
        <f t="shared" si="53"/>
        <v>not eligible</v>
      </c>
    </row>
    <row r="1684" spans="1:10" x14ac:dyDescent="0.35">
      <c r="A1684" s="31">
        <v>44938.845833333333</v>
      </c>
      <c r="B1684" s="32">
        <v>0.94597222222222221</v>
      </c>
      <c r="C1684" s="33" t="s">
        <v>11</v>
      </c>
      <c r="D1684" s="33" t="s">
        <v>16</v>
      </c>
      <c r="E1684" s="34">
        <v>294.32</v>
      </c>
      <c r="F1684" s="33">
        <v>5</v>
      </c>
      <c r="G1684" s="34">
        <v>1471.6</v>
      </c>
      <c r="H1684" s="33" t="s">
        <v>52</v>
      </c>
      <c r="I1684" s="33" t="str">
        <f t="shared" si="52"/>
        <v>Medium sales</v>
      </c>
      <c r="J1684" s="33" t="str">
        <f t="shared" si="53"/>
        <v>eligible</v>
      </c>
    </row>
    <row r="1685" spans="1:10" x14ac:dyDescent="0.35">
      <c r="A1685" s="31">
        <v>45559.459027777775</v>
      </c>
      <c r="B1685" s="32">
        <v>0.17633101851851851</v>
      </c>
      <c r="C1685" s="33" t="s">
        <v>14</v>
      </c>
      <c r="D1685" s="33" t="s">
        <v>27</v>
      </c>
      <c r="E1685" s="34">
        <v>282.58999999999997</v>
      </c>
      <c r="F1685" s="33">
        <v>1</v>
      </c>
      <c r="G1685" s="34">
        <v>282.58999999999997</v>
      </c>
      <c r="H1685" s="33" t="s">
        <v>376</v>
      </c>
      <c r="I1685" s="33" t="str">
        <f t="shared" si="52"/>
        <v>Low sales</v>
      </c>
      <c r="J1685" s="33" t="str">
        <f t="shared" si="53"/>
        <v>not eligible</v>
      </c>
    </row>
    <row r="1686" spans="1:10" x14ac:dyDescent="0.35">
      <c r="A1686" s="31">
        <v>45158.42083333333</v>
      </c>
      <c r="B1686" s="32">
        <v>0.9897569444444444</v>
      </c>
      <c r="C1686" s="33" t="s">
        <v>11</v>
      </c>
      <c r="D1686" s="33" t="s">
        <v>20</v>
      </c>
      <c r="E1686" s="34">
        <v>298.19</v>
      </c>
      <c r="F1686" s="33">
        <v>5</v>
      </c>
      <c r="G1686" s="34">
        <v>1490.95</v>
      </c>
      <c r="H1686" s="33" t="s">
        <v>140</v>
      </c>
      <c r="I1686" s="33" t="str">
        <f t="shared" si="52"/>
        <v>Medium sales</v>
      </c>
      <c r="J1686" s="33" t="str">
        <f t="shared" si="53"/>
        <v>eligible</v>
      </c>
    </row>
    <row r="1687" spans="1:10" x14ac:dyDescent="0.35">
      <c r="A1687" s="31">
        <v>44982.458333333336</v>
      </c>
      <c r="B1687" s="32">
        <v>0.82232638888888887</v>
      </c>
      <c r="C1687" s="33" t="s">
        <v>14</v>
      </c>
      <c r="D1687" s="33" t="s">
        <v>9</v>
      </c>
      <c r="E1687" s="34">
        <v>281.14</v>
      </c>
      <c r="F1687" s="33">
        <v>5</v>
      </c>
      <c r="G1687" s="34">
        <v>1405.7</v>
      </c>
      <c r="H1687" s="33" t="s">
        <v>237</v>
      </c>
      <c r="I1687" s="33" t="str">
        <f t="shared" si="52"/>
        <v>Medium sales</v>
      </c>
      <c r="J1687" s="33" t="str">
        <f t="shared" si="53"/>
        <v>not eligible</v>
      </c>
    </row>
    <row r="1688" spans="1:10" x14ac:dyDescent="0.35">
      <c r="A1688" s="31">
        <v>45314.756944444445</v>
      </c>
      <c r="B1688" s="32">
        <v>0.82209490740740743</v>
      </c>
      <c r="C1688" s="33" t="s">
        <v>14</v>
      </c>
      <c r="D1688" s="33" t="s">
        <v>16</v>
      </c>
      <c r="E1688" s="34">
        <v>258.08</v>
      </c>
      <c r="F1688" s="33">
        <v>1</v>
      </c>
      <c r="G1688" s="34">
        <v>258.08</v>
      </c>
      <c r="H1688" s="33" t="s">
        <v>34</v>
      </c>
      <c r="I1688" s="33" t="str">
        <f t="shared" si="52"/>
        <v>Low sales</v>
      </c>
      <c r="J1688" s="33" t="str">
        <f t="shared" si="53"/>
        <v>not eligible</v>
      </c>
    </row>
    <row r="1689" spans="1:10" x14ac:dyDescent="0.35">
      <c r="A1689" s="31">
        <v>45624.904166666667</v>
      </c>
      <c r="B1689" s="32">
        <v>0.34232638888888883</v>
      </c>
      <c r="C1689" s="33" t="s">
        <v>14</v>
      </c>
      <c r="D1689" s="33" t="s">
        <v>9</v>
      </c>
      <c r="E1689" s="34">
        <v>71.31</v>
      </c>
      <c r="F1689" s="33">
        <v>5</v>
      </c>
      <c r="G1689" s="34">
        <v>356.55</v>
      </c>
      <c r="H1689" s="33" t="s">
        <v>118</v>
      </c>
      <c r="I1689" s="33" t="str">
        <f t="shared" si="52"/>
        <v>Low sales</v>
      </c>
      <c r="J1689" s="33" t="str">
        <f t="shared" si="53"/>
        <v>not eligible</v>
      </c>
    </row>
    <row r="1690" spans="1:10" x14ac:dyDescent="0.35">
      <c r="A1690" s="31">
        <v>45529.70208333333</v>
      </c>
      <c r="B1690" s="32">
        <v>0.66016203703703702</v>
      </c>
      <c r="C1690" s="33" t="s">
        <v>8</v>
      </c>
      <c r="D1690" s="33" t="s">
        <v>12</v>
      </c>
      <c r="E1690" s="34">
        <v>344.16</v>
      </c>
      <c r="F1690" s="33">
        <v>1</v>
      </c>
      <c r="G1690" s="34">
        <v>344.16</v>
      </c>
      <c r="H1690" s="33" t="s">
        <v>124</v>
      </c>
      <c r="I1690" s="33" t="str">
        <f t="shared" si="52"/>
        <v>Low sales</v>
      </c>
      <c r="J1690" s="33" t="str">
        <f t="shared" si="53"/>
        <v>not eligible</v>
      </c>
    </row>
    <row r="1691" spans="1:10" x14ac:dyDescent="0.35">
      <c r="A1691" s="31">
        <v>45620.706944444442</v>
      </c>
      <c r="B1691" s="32">
        <v>0.17484953703703701</v>
      </c>
      <c r="C1691" s="33" t="s">
        <v>14</v>
      </c>
      <c r="D1691" s="33" t="s">
        <v>27</v>
      </c>
      <c r="E1691" s="34">
        <v>258.62</v>
      </c>
      <c r="F1691" s="33">
        <v>1</v>
      </c>
      <c r="G1691" s="34">
        <v>258.62</v>
      </c>
      <c r="H1691" s="33" t="s">
        <v>274</v>
      </c>
      <c r="I1691" s="33" t="str">
        <f t="shared" si="52"/>
        <v>Low sales</v>
      </c>
      <c r="J1691" s="33" t="str">
        <f t="shared" si="53"/>
        <v>not eligible</v>
      </c>
    </row>
    <row r="1692" spans="1:10" x14ac:dyDescent="0.35">
      <c r="A1692" s="31">
        <v>45595.720138888886</v>
      </c>
      <c r="B1692" s="32">
        <v>3.9131944444444448E-2</v>
      </c>
      <c r="C1692" s="33" t="s">
        <v>11</v>
      </c>
      <c r="D1692" s="33" t="s">
        <v>27</v>
      </c>
      <c r="E1692" s="34">
        <v>301.44</v>
      </c>
      <c r="F1692" s="33">
        <v>3</v>
      </c>
      <c r="G1692" s="34">
        <v>904.32</v>
      </c>
      <c r="H1692" s="33" t="s">
        <v>252</v>
      </c>
      <c r="I1692" s="33" t="str">
        <f t="shared" si="52"/>
        <v>Medium sales</v>
      </c>
      <c r="J1692" s="33" t="str">
        <f t="shared" si="53"/>
        <v>not eligible</v>
      </c>
    </row>
    <row r="1693" spans="1:10" x14ac:dyDescent="0.35">
      <c r="A1693" s="31">
        <v>45179.071527777778</v>
      </c>
      <c r="B1693" s="32">
        <v>0.13127314814814814</v>
      </c>
      <c r="C1693" s="33" t="s">
        <v>11</v>
      </c>
      <c r="D1693" s="33" t="s">
        <v>16</v>
      </c>
      <c r="E1693" s="34">
        <v>27.59</v>
      </c>
      <c r="F1693" s="33">
        <v>5</v>
      </c>
      <c r="G1693" s="34">
        <v>137.94999999999999</v>
      </c>
      <c r="H1693" s="33" t="s">
        <v>21</v>
      </c>
      <c r="I1693" s="33" t="str">
        <f t="shared" si="52"/>
        <v>Low sales</v>
      </c>
      <c r="J1693" s="33" t="str">
        <f t="shared" si="53"/>
        <v>not eligible</v>
      </c>
    </row>
    <row r="1694" spans="1:10" x14ac:dyDescent="0.35">
      <c r="A1694" s="31">
        <v>45449.627083333333</v>
      </c>
      <c r="B1694" s="32">
        <v>0.40203703703703703</v>
      </c>
      <c r="C1694" s="33" t="s">
        <v>8</v>
      </c>
      <c r="D1694" s="33" t="s">
        <v>20</v>
      </c>
      <c r="E1694" s="34">
        <v>145.34</v>
      </c>
      <c r="F1694" s="33">
        <v>3</v>
      </c>
      <c r="G1694" s="34">
        <v>436.02</v>
      </c>
      <c r="H1694" s="33" t="s">
        <v>137</v>
      </c>
      <c r="I1694" s="33" t="str">
        <f t="shared" si="52"/>
        <v>Low sales</v>
      </c>
      <c r="J1694" s="33" t="str">
        <f t="shared" si="53"/>
        <v>not eligible</v>
      </c>
    </row>
    <row r="1695" spans="1:10" x14ac:dyDescent="0.35">
      <c r="A1695" s="31">
        <v>45298.981249999997</v>
      </c>
      <c r="B1695" s="32">
        <v>0.82050925925925933</v>
      </c>
      <c r="C1695" s="33" t="s">
        <v>14</v>
      </c>
      <c r="D1695" s="33" t="s">
        <v>20</v>
      </c>
      <c r="E1695" s="34">
        <v>236.65</v>
      </c>
      <c r="F1695" s="33">
        <v>1</v>
      </c>
      <c r="G1695" s="34">
        <v>236.65</v>
      </c>
      <c r="H1695" s="33" t="s">
        <v>95</v>
      </c>
      <c r="I1695" s="33" t="str">
        <f t="shared" si="52"/>
        <v>Low sales</v>
      </c>
      <c r="J1695" s="33" t="str">
        <f t="shared" si="53"/>
        <v>not eligible</v>
      </c>
    </row>
    <row r="1696" spans="1:10" x14ac:dyDescent="0.35">
      <c r="A1696" s="31">
        <v>45656.26458333333</v>
      </c>
      <c r="B1696" s="32">
        <v>0.47009259259259256</v>
      </c>
      <c r="C1696" s="33" t="s">
        <v>11</v>
      </c>
      <c r="D1696" s="33" t="s">
        <v>27</v>
      </c>
      <c r="E1696" s="34">
        <v>370.82</v>
      </c>
      <c r="F1696" s="33">
        <v>2</v>
      </c>
      <c r="G1696" s="34">
        <v>741.64</v>
      </c>
      <c r="H1696" s="33" t="s">
        <v>71</v>
      </c>
      <c r="I1696" s="33" t="str">
        <f t="shared" si="52"/>
        <v>Medium sales</v>
      </c>
      <c r="J1696" s="33" t="str">
        <f t="shared" si="53"/>
        <v>not eligible</v>
      </c>
    </row>
    <row r="1697" spans="1:10" x14ac:dyDescent="0.35">
      <c r="A1697" s="31">
        <v>45345.684027777781</v>
      </c>
      <c r="B1697" s="32">
        <v>2.7534722222222221E-2</v>
      </c>
      <c r="C1697" s="33" t="s">
        <v>14</v>
      </c>
      <c r="D1697" s="33" t="s">
        <v>27</v>
      </c>
      <c r="E1697" s="34">
        <v>59.19</v>
      </c>
      <c r="F1697" s="33">
        <v>3</v>
      </c>
      <c r="G1697" s="34">
        <v>177.57</v>
      </c>
      <c r="H1697" s="33" t="s">
        <v>332</v>
      </c>
      <c r="I1697" s="33" t="str">
        <f t="shared" si="52"/>
        <v>Low sales</v>
      </c>
      <c r="J1697" s="33" t="str">
        <f t="shared" si="53"/>
        <v>not eligible</v>
      </c>
    </row>
    <row r="1698" spans="1:10" x14ac:dyDescent="0.35">
      <c r="A1698" s="31">
        <v>45437.282638888886</v>
      </c>
      <c r="B1698" s="32">
        <v>0.75410879629629635</v>
      </c>
      <c r="C1698" s="33" t="s">
        <v>8</v>
      </c>
      <c r="D1698" s="33" t="s">
        <v>16</v>
      </c>
      <c r="E1698" s="34">
        <v>366.11</v>
      </c>
      <c r="F1698" s="33">
        <v>1</v>
      </c>
      <c r="G1698" s="34">
        <v>366.11</v>
      </c>
      <c r="H1698" s="33" t="s">
        <v>115</v>
      </c>
      <c r="I1698" s="33" t="str">
        <f t="shared" si="52"/>
        <v>Low sales</v>
      </c>
      <c r="J1698" s="33" t="str">
        <f t="shared" si="53"/>
        <v>not eligible</v>
      </c>
    </row>
    <row r="1699" spans="1:10" x14ac:dyDescent="0.35">
      <c r="A1699" s="31">
        <v>45261.876388888886</v>
      </c>
      <c r="B1699" s="32">
        <v>0.16403935185185184</v>
      </c>
      <c r="C1699" s="33" t="s">
        <v>11</v>
      </c>
      <c r="D1699" s="33" t="s">
        <v>9</v>
      </c>
      <c r="E1699" s="34">
        <v>62.75</v>
      </c>
      <c r="F1699" s="33">
        <v>3</v>
      </c>
      <c r="G1699" s="34">
        <v>188.25</v>
      </c>
      <c r="H1699" s="33" t="s">
        <v>209</v>
      </c>
      <c r="I1699" s="33" t="str">
        <f t="shared" si="52"/>
        <v>Low sales</v>
      </c>
      <c r="J1699" s="33" t="str">
        <f t="shared" si="53"/>
        <v>not eligible</v>
      </c>
    </row>
    <row r="1700" spans="1:10" x14ac:dyDescent="0.35">
      <c r="A1700" s="31">
        <v>45397.195138888892</v>
      </c>
      <c r="B1700" s="32">
        <v>0.79228009259259258</v>
      </c>
      <c r="C1700" s="33" t="s">
        <v>11</v>
      </c>
      <c r="D1700" s="33" t="s">
        <v>27</v>
      </c>
      <c r="E1700" s="34">
        <v>319.83</v>
      </c>
      <c r="F1700" s="33">
        <v>4</v>
      </c>
      <c r="G1700" s="34">
        <v>1279.32</v>
      </c>
      <c r="H1700" s="33" t="s">
        <v>235</v>
      </c>
      <c r="I1700" s="33" t="str">
        <f t="shared" si="52"/>
        <v>Medium sales</v>
      </c>
      <c r="J1700" s="33" t="str">
        <f t="shared" si="53"/>
        <v>eligible</v>
      </c>
    </row>
    <row r="1701" spans="1:10" x14ac:dyDescent="0.35">
      <c r="A1701" s="31">
        <v>45388.874305555553</v>
      </c>
      <c r="B1701" s="32">
        <v>0.8728935185185186</v>
      </c>
      <c r="C1701" s="33" t="s">
        <v>8</v>
      </c>
      <c r="D1701" s="33" t="s">
        <v>9</v>
      </c>
      <c r="E1701" s="34">
        <v>409.86</v>
      </c>
      <c r="F1701" s="33">
        <v>4</v>
      </c>
      <c r="G1701" s="34">
        <v>1639.44</v>
      </c>
      <c r="H1701" s="33" t="s">
        <v>318</v>
      </c>
      <c r="I1701" s="33" t="str">
        <f t="shared" si="52"/>
        <v>High sales</v>
      </c>
      <c r="J1701" s="33" t="str">
        <f t="shared" si="53"/>
        <v>not eligible</v>
      </c>
    </row>
    <row r="1702" spans="1:10" x14ac:dyDescent="0.35">
      <c r="A1702" s="31">
        <v>45470.327777777777</v>
      </c>
      <c r="B1702" s="32">
        <v>0.48719907407407409</v>
      </c>
      <c r="C1702" s="33" t="s">
        <v>11</v>
      </c>
      <c r="D1702" s="33" t="s">
        <v>27</v>
      </c>
      <c r="E1702" s="34">
        <v>58.27</v>
      </c>
      <c r="F1702" s="33">
        <v>1</v>
      </c>
      <c r="G1702" s="34">
        <v>58.27</v>
      </c>
      <c r="H1702" s="33" t="s">
        <v>391</v>
      </c>
      <c r="I1702" s="33" t="str">
        <f t="shared" si="52"/>
        <v>Low sales</v>
      </c>
      <c r="J1702" s="33" t="str">
        <f t="shared" si="53"/>
        <v>not eligible</v>
      </c>
    </row>
    <row r="1703" spans="1:10" x14ac:dyDescent="0.35">
      <c r="A1703" s="31">
        <v>45479.498611111114</v>
      </c>
      <c r="B1703" s="32">
        <v>0.74472222222222229</v>
      </c>
      <c r="C1703" s="33" t="s">
        <v>8</v>
      </c>
      <c r="D1703" s="33" t="s">
        <v>27</v>
      </c>
      <c r="E1703" s="34">
        <v>360.85</v>
      </c>
      <c r="F1703" s="33">
        <v>2</v>
      </c>
      <c r="G1703" s="34">
        <v>721.7</v>
      </c>
      <c r="H1703" s="33" t="s">
        <v>410</v>
      </c>
      <c r="I1703" s="33" t="str">
        <f t="shared" si="52"/>
        <v>Medium sales</v>
      </c>
      <c r="J1703" s="33" t="str">
        <f t="shared" si="53"/>
        <v>not eligible</v>
      </c>
    </row>
    <row r="1704" spans="1:10" x14ac:dyDescent="0.35">
      <c r="A1704" s="31">
        <v>45405.421527777777</v>
      </c>
      <c r="B1704" s="32">
        <v>0.86849537037037028</v>
      </c>
      <c r="C1704" s="33" t="s">
        <v>11</v>
      </c>
      <c r="D1704" s="33" t="s">
        <v>20</v>
      </c>
      <c r="E1704" s="34">
        <v>67.11</v>
      </c>
      <c r="F1704" s="33">
        <v>2</v>
      </c>
      <c r="G1704" s="34">
        <v>134.22</v>
      </c>
      <c r="H1704" s="33" t="s">
        <v>319</v>
      </c>
      <c r="I1704" s="33" t="str">
        <f t="shared" si="52"/>
        <v>Low sales</v>
      </c>
      <c r="J1704" s="33" t="str">
        <f t="shared" si="53"/>
        <v>not eligible</v>
      </c>
    </row>
    <row r="1705" spans="1:10" x14ac:dyDescent="0.35">
      <c r="A1705" s="31">
        <v>44944.017361111109</v>
      </c>
      <c r="B1705" s="32">
        <v>0.76460648148148147</v>
      </c>
      <c r="C1705" s="33" t="s">
        <v>11</v>
      </c>
      <c r="D1705" s="33" t="s">
        <v>12</v>
      </c>
      <c r="E1705" s="34">
        <v>369.11</v>
      </c>
      <c r="F1705" s="33">
        <v>1</v>
      </c>
      <c r="G1705" s="34">
        <v>369.11</v>
      </c>
      <c r="H1705" s="33" t="s">
        <v>179</v>
      </c>
      <c r="I1705" s="33" t="str">
        <f t="shared" si="52"/>
        <v>Low sales</v>
      </c>
      <c r="J1705" s="33" t="str">
        <f t="shared" si="53"/>
        <v>not eligible</v>
      </c>
    </row>
    <row r="1706" spans="1:10" x14ac:dyDescent="0.35">
      <c r="A1706" s="31">
        <v>45331.784722222219</v>
      </c>
      <c r="B1706" s="32">
        <v>5.2905092592592594E-2</v>
      </c>
      <c r="C1706" s="33" t="s">
        <v>14</v>
      </c>
      <c r="D1706" s="33" t="s">
        <v>20</v>
      </c>
      <c r="E1706" s="34">
        <v>16.600000000000001</v>
      </c>
      <c r="F1706" s="33">
        <v>5</v>
      </c>
      <c r="G1706" s="34">
        <v>83</v>
      </c>
      <c r="H1706" s="33" t="s">
        <v>393</v>
      </c>
      <c r="I1706" s="33" t="str">
        <f t="shared" si="52"/>
        <v>Low sales</v>
      </c>
      <c r="J1706" s="33" t="str">
        <f t="shared" si="53"/>
        <v>not eligible</v>
      </c>
    </row>
    <row r="1707" spans="1:10" x14ac:dyDescent="0.35">
      <c r="A1707" s="31">
        <v>45648.595833333333</v>
      </c>
      <c r="B1707" s="32">
        <v>0.88386574074074076</v>
      </c>
      <c r="C1707" s="33" t="s">
        <v>8</v>
      </c>
      <c r="D1707" s="33" t="s">
        <v>16</v>
      </c>
      <c r="E1707" s="34">
        <v>437.52</v>
      </c>
      <c r="F1707" s="33">
        <v>1</v>
      </c>
      <c r="G1707" s="34">
        <v>437.52</v>
      </c>
      <c r="H1707" s="33" t="s">
        <v>351</v>
      </c>
      <c r="I1707" s="33" t="str">
        <f t="shared" si="52"/>
        <v>Low sales</v>
      </c>
      <c r="J1707" s="33" t="str">
        <f t="shared" si="53"/>
        <v>not eligible</v>
      </c>
    </row>
    <row r="1708" spans="1:10" x14ac:dyDescent="0.35">
      <c r="A1708" s="31">
        <v>45542.495833333334</v>
      </c>
      <c r="B1708" s="32">
        <v>6.4409722222222229E-2</v>
      </c>
      <c r="C1708" s="33" t="s">
        <v>14</v>
      </c>
      <c r="D1708" s="33" t="s">
        <v>20</v>
      </c>
      <c r="E1708" s="34">
        <v>255.35</v>
      </c>
      <c r="F1708" s="33">
        <v>4</v>
      </c>
      <c r="G1708" s="34">
        <v>1021.4</v>
      </c>
      <c r="H1708" s="33" t="s">
        <v>55</v>
      </c>
      <c r="I1708" s="33" t="str">
        <f t="shared" si="52"/>
        <v>Medium sales</v>
      </c>
      <c r="J1708" s="33" t="str">
        <f t="shared" si="53"/>
        <v>not eligible</v>
      </c>
    </row>
    <row r="1709" spans="1:10" x14ac:dyDescent="0.35">
      <c r="A1709" s="31">
        <v>44984.616666666669</v>
      </c>
      <c r="B1709" s="32">
        <v>0.8621875</v>
      </c>
      <c r="C1709" s="33" t="s">
        <v>14</v>
      </c>
      <c r="D1709" s="33" t="s">
        <v>9</v>
      </c>
      <c r="E1709" s="34">
        <v>34.96</v>
      </c>
      <c r="F1709" s="33">
        <v>2</v>
      </c>
      <c r="G1709" s="34">
        <v>69.92</v>
      </c>
      <c r="H1709" s="33" t="s">
        <v>193</v>
      </c>
      <c r="I1709" s="33" t="str">
        <f t="shared" si="52"/>
        <v>Low sales</v>
      </c>
      <c r="J1709" s="33" t="str">
        <f t="shared" si="53"/>
        <v>not eligible</v>
      </c>
    </row>
    <row r="1710" spans="1:10" x14ac:dyDescent="0.35">
      <c r="A1710" s="31">
        <v>45117.011805555558</v>
      </c>
      <c r="B1710" s="32">
        <v>0.78756944444444443</v>
      </c>
      <c r="C1710" s="33" t="s">
        <v>11</v>
      </c>
      <c r="D1710" s="33" t="s">
        <v>20</v>
      </c>
      <c r="E1710" s="34">
        <v>136.13999999999999</v>
      </c>
      <c r="F1710" s="33">
        <v>2</v>
      </c>
      <c r="G1710" s="34">
        <v>272.27999999999997</v>
      </c>
      <c r="H1710" s="33" t="s">
        <v>280</v>
      </c>
      <c r="I1710" s="33" t="str">
        <f t="shared" si="52"/>
        <v>Low sales</v>
      </c>
      <c r="J1710" s="33" t="str">
        <f t="shared" si="53"/>
        <v>not eligible</v>
      </c>
    </row>
    <row r="1711" spans="1:10" x14ac:dyDescent="0.35">
      <c r="A1711" s="31">
        <v>45171.240277777775</v>
      </c>
      <c r="B1711" s="32">
        <v>0.21342592592592591</v>
      </c>
      <c r="C1711" s="33" t="s">
        <v>11</v>
      </c>
      <c r="D1711" s="33" t="s">
        <v>20</v>
      </c>
      <c r="E1711" s="34">
        <v>474.34</v>
      </c>
      <c r="F1711" s="33">
        <v>3</v>
      </c>
      <c r="G1711" s="34">
        <v>1423.02</v>
      </c>
      <c r="H1711" s="33" t="s">
        <v>86</v>
      </c>
      <c r="I1711" s="33" t="str">
        <f t="shared" si="52"/>
        <v>Medium sales</v>
      </c>
      <c r="J1711" s="33" t="str">
        <f t="shared" si="53"/>
        <v>eligible</v>
      </c>
    </row>
    <row r="1712" spans="1:10" x14ac:dyDescent="0.35">
      <c r="A1712" s="31">
        <v>45381.556944444441</v>
      </c>
      <c r="B1712" s="32">
        <v>0.39218749999999997</v>
      </c>
      <c r="C1712" s="33" t="s">
        <v>8</v>
      </c>
      <c r="D1712" s="33" t="s">
        <v>16</v>
      </c>
      <c r="E1712" s="34">
        <v>443.73</v>
      </c>
      <c r="F1712" s="33">
        <v>1</v>
      </c>
      <c r="G1712" s="34">
        <v>443.73</v>
      </c>
      <c r="H1712" s="33" t="s">
        <v>398</v>
      </c>
      <c r="I1712" s="33" t="str">
        <f t="shared" si="52"/>
        <v>Low sales</v>
      </c>
      <c r="J1712" s="33" t="str">
        <f t="shared" si="53"/>
        <v>not eligible</v>
      </c>
    </row>
    <row r="1713" spans="1:10" x14ac:dyDescent="0.35">
      <c r="A1713" s="31">
        <v>45641.692361111112</v>
      </c>
      <c r="B1713" s="32">
        <v>0.54504629629629631</v>
      </c>
      <c r="C1713" s="33" t="s">
        <v>11</v>
      </c>
      <c r="D1713" s="33" t="s">
        <v>27</v>
      </c>
      <c r="E1713" s="34">
        <v>40.43</v>
      </c>
      <c r="F1713" s="33">
        <v>3</v>
      </c>
      <c r="G1713" s="34">
        <v>121.29</v>
      </c>
      <c r="H1713" s="33" t="s">
        <v>322</v>
      </c>
      <c r="I1713" s="33" t="str">
        <f t="shared" si="52"/>
        <v>Low sales</v>
      </c>
      <c r="J1713" s="33" t="str">
        <f t="shared" si="53"/>
        <v>not eligible</v>
      </c>
    </row>
    <row r="1714" spans="1:10" x14ac:dyDescent="0.35">
      <c r="A1714" s="31">
        <v>45434.222916666666</v>
      </c>
      <c r="B1714" s="32">
        <v>0.78237268518518521</v>
      </c>
      <c r="C1714" s="33" t="s">
        <v>14</v>
      </c>
      <c r="D1714" s="33" t="s">
        <v>27</v>
      </c>
      <c r="E1714" s="34">
        <v>362.43</v>
      </c>
      <c r="F1714" s="33">
        <v>1</v>
      </c>
      <c r="G1714" s="34">
        <v>362.43</v>
      </c>
      <c r="H1714" s="33" t="s">
        <v>256</v>
      </c>
      <c r="I1714" s="33" t="str">
        <f t="shared" si="52"/>
        <v>Low sales</v>
      </c>
      <c r="J1714" s="33" t="str">
        <f t="shared" si="53"/>
        <v>not eligible</v>
      </c>
    </row>
    <row r="1715" spans="1:10" x14ac:dyDescent="0.35">
      <c r="A1715" s="31">
        <v>45156.324305555558</v>
      </c>
      <c r="B1715" s="32">
        <v>0.17094907407407409</v>
      </c>
      <c r="C1715" s="33" t="s">
        <v>11</v>
      </c>
      <c r="D1715" s="33" t="s">
        <v>16</v>
      </c>
      <c r="E1715" s="34">
        <v>33.51</v>
      </c>
      <c r="F1715" s="33">
        <v>2</v>
      </c>
      <c r="G1715" s="34">
        <v>67.02</v>
      </c>
      <c r="H1715" s="33" t="s">
        <v>34</v>
      </c>
      <c r="I1715" s="33" t="str">
        <f t="shared" si="52"/>
        <v>Low sales</v>
      </c>
      <c r="J1715" s="33" t="str">
        <f t="shared" si="53"/>
        <v>not eligible</v>
      </c>
    </row>
    <row r="1716" spans="1:10" x14ac:dyDescent="0.35">
      <c r="A1716" s="31">
        <v>45221.171527777777</v>
      </c>
      <c r="B1716" s="32">
        <v>0.68690972222222213</v>
      </c>
      <c r="C1716" s="33" t="s">
        <v>14</v>
      </c>
      <c r="D1716" s="33" t="s">
        <v>27</v>
      </c>
      <c r="E1716" s="34">
        <v>337.21</v>
      </c>
      <c r="F1716" s="33">
        <v>3</v>
      </c>
      <c r="G1716" s="34">
        <v>1011.63</v>
      </c>
      <c r="H1716" s="33" t="s">
        <v>386</v>
      </c>
      <c r="I1716" s="33" t="str">
        <f t="shared" si="52"/>
        <v>Medium sales</v>
      </c>
      <c r="J1716" s="33" t="str">
        <f t="shared" si="53"/>
        <v>not eligible</v>
      </c>
    </row>
    <row r="1717" spans="1:10" x14ac:dyDescent="0.35">
      <c r="A1717" s="31">
        <v>45350.515277777777</v>
      </c>
      <c r="B1717" s="32">
        <v>0.90998842592592588</v>
      </c>
      <c r="C1717" s="33" t="s">
        <v>11</v>
      </c>
      <c r="D1717" s="33" t="s">
        <v>9</v>
      </c>
      <c r="E1717" s="34">
        <v>298.8</v>
      </c>
      <c r="F1717" s="33">
        <v>4</v>
      </c>
      <c r="G1717" s="34">
        <v>1195.2</v>
      </c>
      <c r="H1717" s="33" t="s">
        <v>79</v>
      </c>
      <c r="I1717" s="33" t="str">
        <f t="shared" si="52"/>
        <v>Medium sales</v>
      </c>
      <c r="J1717" s="33" t="str">
        <f t="shared" si="53"/>
        <v>eligible</v>
      </c>
    </row>
    <row r="1718" spans="1:10" x14ac:dyDescent="0.35">
      <c r="A1718" s="31">
        <v>45439.078472222223</v>
      </c>
      <c r="B1718" s="32">
        <v>0.88055555555555554</v>
      </c>
      <c r="C1718" s="33" t="s">
        <v>14</v>
      </c>
      <c r="D1718" s="33" t="s">
        <v>12</v>
      </c>
      <c r="E1718" s="34">
        <v>103.26</v>
      </c>
      <c r="F1718" s="33">
        <v>4</v>
      </c>
      <c r="G1718" s="34">
        <v>413.04</v>
      </c>
      <c r="H1718" s="33" t="s">
        <v>36</v>
      </c>
      <c r="I1718" s="33" t="str">
        <f t="shared" si="52"/>
        <v>Low sales</v>
      </c>
      <c r="J1718" s="33" t="str">
        <f t="shared" si="53"/>
        <v>not eligible</v>
      </c>
    </row>
    <row r="1719" spans="1:10" x14ac:dyDescent="0.35">
      <c r="A1719" s="31">
        <v>45610.092361111114</v>
      </c>
      <c r="B1719" s="32">
        <v>0.71643518518518512</v>
      </c>
      <c r="C1719" s="33" t="s">
        <v>11</v>
      </c>
      <c r="D1719" s="33" t="s">
        <v>12</v>
      </c>
      <c r="E1719" s="34">
        <v>377.97</v>
      </c>
      <c r="F1719" s="33">
        <v>2</v>
      </c>
      <c r="G1719" s="34">
        <v>755.94</v>
      </c>
      <c r="H1719" s="33" t="s">
        <v>303</v>
      </c>
      <c r="I1719" s="33" t="str">
        <f t="shared" si="52"/>
        <v>Medium sales</v>
      </c>
      <c r="J1719" s="33" t="str">
        <f t="shared" si="53"/>
        <v>not eligible</v>
      </c>
    </row>
    <row r="1720" spans="1:10" x14ac:dyDescent="0.35">
      <c r="A1720" s="31">
        <v>45408.304861111108</v>
      </c>
      <c r="B1720" s="32">
        <v>0.46211805555555557</v>
      </c>
      <c r="C1720" s="33" t="s">
        <v>11</v>
      </c>
      <c r="D1720" s="33" t="s">
        <v>20</v>
      </c>
      <c r="E1720" s="34">
        <v>368.33</v>
      </c>
      <c r="F1720" s="33">
        <v>2</v>
      </c>
      <c r="G1720" s="34">
        <v>736.66</v>
      </c>
      <c r="H1720" s="33" t="s">
        <v>183</v>
      </c>
      <c r="I1720" s="33" t="str">
        <f t="shared" si="52"/>
        <v>Medium sales</v>
      </c>
      <c r="J1720" s="33" t="str">
        <f t="shared" si="53"/>
        <v>not eligible</v>
      </c>
    </row>
    <row r="1721" spans="1:10" x14ac:dyDescent="0.35">
      <c r="A1721" s="31">
        <v>45333.76458333333</v>
      </c>
      <c r="B1721" s="32">
        <v>0.16697916666666668</v>
      </c>
      <c r="C1721" s="33" t="s">
        <v>14</v>
      </c>
      <c r="D1721" s="33" t="s">
        <v>9</v>
      </c>
      <c r="E1721" s="34">
        <v>14.89</v>
      </c>
      <c r="F1721" s="33">
        <v>5</v>
      </c>
      <c r="G1721" s="34">
        <v>74.45</v>
      </c>
      <c r="H1721" s="33" t="s">
        <v>81</v>
      </c>
      <c r="I1721" s="33" t="str">
        <f t="shared" si="52"/>
        <v>Low sales</v>
      </c>
      <c r="J1721" s="33" t="str">
        <f t="shared" si="53"/>
        <v>not eligible</v>
      </c>
    </row>
    <row r="1722" spans="1:10" x14ac:dyDescent="0.35">
      <c r="A1722" s="31">
        <v>45476.450694444444</v>
      </c>
      <c r="B1722" s="32">
        <v>0.65627314814814819</v>
      </c>
      <c r="C1722" s="33" t="s">
        <v>8</v>
      </c>
      <c r="D1722" s="33" t="s">
        <v>27</v>
      </c>
      <c r="E1722" s="34">
        <v>147.37</v>
      </c>
      <c r="F1722" s="33">
        <v>4</v>
      </c>
      <c r="G1722" s="34">
        <v>589.48</v>
      </c>
      <c r="H1722" s="33" t="s">
        <v>144</v>
      </c>
      <c r="I1722" s="33" t="str">
        <f t="shared" si="52"/>
        <v>Medium sales</v>
      </c>
      <c r="J1722" s="33" t="str">
        <f t="shared" si="53"/>
        <v>not eligible</v>
      </c>
    </row>
    <row r="1723" spans="1:10" x14ac:dyDescent="0.35">
      <c r="A1723" s="31">
        <v>45333.65625</v>
      </c>
      <c r="B1723" s="32">
        <v>0.25505787037037037</v>
      </c>
      <c r="C1723" s="33" t="s">
        <v>11</v>
      </c>
      <c r="D1723" s="33" t="s">
        <v>12</v>
      </c>
      <c r="E1723" s="34">
        <v>380.98</v>
      </c>
      <c r="F1723" s="33">
        <v>5</v>
      </c>
      <c r="G1723" s="34">
        <v>1904.9</v>
      </c>
      <c r="H1723" s="33" t="s">
        <v>239</v>
      </c>
      <c r="I1723" s="33" t="str">
        <f t="shared" si="52"/>
        <v>High sales</v>
      </c>
      <c r="J1723" s="33" t="str">
        <f t="shared" si="53"/>
        <v>eligible</v>
      </c>
    </row>
    <row r="1724" spans="1:10" x14ac:dyDescent="0.35">
      <c r="A1724" s="31">
        <v>45190.613888888889</v>
      </c>
      <c r="B1724" s="32">
        <v>0.38964120370370375</v>
      </c>
      <c r="C1724" s="33" t="s">
        <v>11</v>
      </c>
      <c r="D1724" s="33" t="s">
        <v>12</v>
      </c>
      <c r="E1724" s="34">
        <v>451.39</v>
      </c>
      <c r="F1724" s="33">
        <v>3</v>
      </c>
      <c r="G1724" s="34">
        <v>1354.17</v>
      </c>
      <c r="H1724" s="33" t="s">
        <v>364</v>
      </c>
      <c r="I1724" s="33" t="str">
        <f t="shared" si="52"/>
        <v>Medium sales</v>
      </c>
      <c r="J1724" s="33" t="str">
        <f t="shared" si="53"/>
        <v>eligible</v>
      </c>
    </row>
    <row r="1725" spans="1:10" x14ac:dyDescent="0.35">
      <c r="A1725" s="31">
        <v>45202.056944444441</v>
      </c>
      <c r="B1725" s="32">
        <v>3.7951388888888889E-2</v>
      </c>
      <c r="C1725" s="33" t="s">
        <v>11</v>
      </c>
      <c r="D1725" s="33" t="s">
        <v>20</v>
      </c>
      <c r="E1725" s="34">
        <v>265.58</v>
      </c>
      <c r="F1725" s="33">
        <v>5</v>
      </c>
      <c r="G1725" s="34">
        <v>1327.9</v>
      </c>
      <c r="H1725" s="33" t="s">
        <v>208</v>
      </c>
      <c r="I1725" s="33" t="str">
        <f t="shared" si="52"/>
        <v>Medium sales</v>
      </c>
      <c r="J1725" s="33" t="str">
        <f t="shared" si="53"/>
        <v>eligible</v>
      </c>
    </row>
    <row r="1726" spans="1:10" x14ac:dyDescent="0.35">
      <c r="A1726" s="31">
        <v>45647.927777777775</v>
      </c>
      <c r="B1726" s="32">
        <v>0.27579861111111109</v>
      </c>
      <c r="C1726" s="33" t="s">
        <v>14</v>
      </c>
      <c r="D1726" s="33" t="s">
        <v>12</v>
      </c>
      <c r="E1726" s="34">
        <v>310.87</v>
      </c>
      <c r="F1726" s="33">
        <v>2</v>
      </c>
      <c r="G1726" s="34">
        <v>621.74</v>
      </c>
      <c r="H1726" s="33" t="s">
        <v>288</v>
      </c>
      <c r="I1726" s="33" t="str">
        <f t="shared" si="52"/>
        <v>Medium sales</v>
      </c>
      <c r="J1726" s="33" t="str">
        <f t="shared" si="53"/>
        <v>not eligible</v>
      </c>
    </row>
    <row r="1727" spans="1:10" x14ac:dyDescent="0.35">
      <c r="A1727" s="31">
        <v>45284.063888888886</v>
      </c>
      <c r="B1727" s="32">
        <v>0.81187500000000001</v>
      </c>
      <c r="C1727" s="33" t="s">
        <v>11</v>
      </c>
      <c r="D1727" s="33" t="s">
        <v>27</v>
      </c>
      <c r="E1727" s="34">
        <v>210.82</v>
      </c>
      <c r="F1727" s="33">
        <v>1</v>
      </c>
      <c r="G1727" s="34">
        <v>210.82</v>
      </c>
      <c r="H1727" s="33" t="s">
        <v>371</v>
      </c>
      <c r="I1727" s="33" t="str">
        <f t="shared" si="52"/>
        <v>Low sales</v>
      </c>
      <c r="J1727" s="33" t="str">
        <f t="shared" si="53"/>
        <v>not eligible</v>
      </c>
    </row>
    <row r="1728" spans="1:10" x14ac:dyDescent="0.35">
      <c r="A1728" s="31">
        <v>45419.872916666667</v>
      </c>
      <c r="B1728" s="32">
        <v>0.65120370370370373</v>
      </c>
      <c r="C1728" s="33" t="s">
        <v>8</v>
      </c>
      <c r="D1728" s="33" t="s">
        <v>16</v>
      </c>
      <c r="E1728" s="34">
        <v>345.56</v>
      </c>
      <c r="F1728" s="33">
        <v>4</v>
      </c>
      <c r="G1728" s="34">
        <v>1382.24</v>
      </c>
      <c r="H1728" s="33" t="s">
        <v>62</v>
      </c>
      <c r="I1728" s="33" t="str">
        <f t="shared" si="52"/>
        <v>Medium sales</v>
      </c>
      <c r="J1728" s="33" t="str">
        <f t="shared" si="53"/>
        <v>not eligible</v>
      </c>
    </row>
    <row r="1729" spans="1:10" x14ac:dyDescent="0.35">
      <c r="A1729" s="31">
        <v>45466.682638888888</v>
      </c>
      <c r="B1729" s="32">
        <v>0.28278935185185183</v>
      </c>
      <c r="C1729" s="33" t="s">
        <v>11</v>
      </c>
      <c r="D1729" s="33" t="s">
        <v>16</v>
      </c>
      <c r="E1729" s="34">
        <v>147.09</v>
      </c>
      <c r="F1729" s="33">
        <v>1</v>
      </c>
      <c r="G1729" s="34">
        <v>147.09</v>
      </c>
      <c r="H1729" s="33" t="s">
        <v>400</v>
      </c>
      <c r="I1729" s="33" t="str">
        <f t="shared" si="52"/>
        <v>Low sales</v>
      </c>
      <c r="J1729" s="33" t="str">
        <f t="shared" si="53"/>
        <v>not eligible</v>
      </c>
    </row>
    <row r="1730" spans="1:10" x14ac:dyDescent="0.35">
      <c r="A1730" s="31">
        <v>45195.536805555559</v>
      </c>
      <c r="B1730" s="32">
        <v>0.97368055555555555</v>
      </c>
      <c r="C1730" s="33" t="s">
        <v>8</v>
      </c>
      <c r="D1730" s="33" t="s">
        <v>12</v>
      </c>
      <c r="E1730" s="34">
        <v>123.36</v>
      </c>
      <c r="F1730" s="33">
        <v>4</v>
      </c>
      <c r="G1730" s="34">
        <v>493.44</v>
      </c>
      <c r="H1730" s="33" t="s">
        <v>52</v>
      </c>
      <c r="I1730" s="33" t="str">
        <f t="shared" si="52"/>
        <v>Low sales</v>
      </c>
      <c r="J1730" s="33" t="str">
        <f t="shared" si="53"/>
        <v>not eligible</v>
      </c>
    </row>
    <row r="1731" spans="1:10" x14ac:dyDescent="0.35">
      <c r="A1731" s="31">
        <v>45464.37222222222</v>
      </c>
      <c r="B1731" s="32">
        <v>0.31048611111111113</v>
      </c>
      <c r="C1731" s="33" t="s">
        <v>8</v>
      </c>
      <c r="D1731" s="33" t="s">
        <v>9</v>
      </c>
      <c r="E1731" s="34">
        <v>185.31</v>
      </c>
      <c r="F1731" s="33">
        <v>3</v>
      </c>
      <c r="G1731" s="34">
        <v>555.92999999999995</v>
      </c>
      <c r="H1731" s="33" t="s">
        <v>284</v>
      </c>
      <c r="I1731" s="33" t="str">
        <f t="shared" ref="I1731:I1794" si="54">IF(G1731&gt;1500,"High sales", IF(G1731&gt;500,"Medium sales", "Low sales"))</f>
        <v>Medium sales</v>
      </c>
      <c r="J1731" s="33" t="str">
        <f t="shared" ref="J1731:J1794" si="55">IF(AND(G1731&gt;1000,C1731="Premium"), "eligible", "not eligible")</f>
        <v>not eligible</v>
      </c>
    </row>
    <row r="1732" spans="1:10" x14ac:dyDescent="0.35">
      <c r="A1732" s="31">
        <v>45363.957638888889</v>
      </c>
      <c r="B1732" s="32">
        <v>0.74697916666666664</v>
      </c>
      <c r="C1732" s="33" t="s">
        <v>8</v>
      </c>
      <c r="D1732" s="33" t="s">
        <v>27</v>
      </c>
      <c r="E1732" s="34">
        <v>394.86</v>
      </c>
      <c r="F1732" s="33">
        <v>4</v>
      </c>
      <c r="G1732" s="34">
        <v>1579.44</v>
      </c>
      <c r="H1732" s="33" t="s">
        <v>165</v>
      </c>
      <c r="I1732" s="33" t="str">
        <f t="shared" si="54"/>
        <v>High sales</v>
      </c>
      <c r="J1732" s="33" t="str">
        <f t="shared" si="55"/>
        <v>not eligible</v>
      </c>
    </row>
    <row r="1733" spans="1:10" x14ac:dyDescent="0.35">
      <c r="A1733" s="31">
        <v>44941.977777777778</v>
      </c>
      <c r="B1733" s="32">
        <v>0.37194444444444441</v>
      </c>
      <c r="C1733" s="33" t="s">
        <v>11</v>
      </c>
      <c r="D1733" s="33" t="s">
        <v>20</v>
      </c>
      <c r="E1733" s="34">
        <v>267.75</v>
      </c>
      <c r="F1733" s="33">
        <v>5</v>
      </c>
      <c r="G1733" s="34">
        <v>1338.75</v>
      </c>
      <c r="H1733" s="33" t="s">
        <v>408</v>
      </c>
      <c r="I1733" s="33" t="str">
        <f t="shared" si="54"/>
        <v>Medium sales</v>
      </c>
      <c r="J1733" s="33" t="str">
        <f t="shared" si="55"/>
        <v>eligible</v>
      </c>
    </row>
    <row r="1734" spans="1:10" x14ac:dyDescent="0.35">
      <c r="A1734" s="31">
        <v>44969.50277777778</v>
      </c>
      <c r="B1734" s="32">
        <v>5.1261574074074077E-2</v>
      </c>
      <c r="C1734" s="33" t="s">
        <v>8</v>
      </c>
      <c r="D1734" s="33" t="s">
        <v>9</v>
      </c>
      <c r="E1734" s="34">
        <v>91.82</v>
      </c>
      <c r="F1734" s="33">
        <v>2</v>
      </c>
      <c r="G1734" s="34">
        <v>183.64</v>
      </c>
      <c r="H1734" s="33" t="s">
        <v>134</v>
      </c>
      <c r="I1734" s="33" t="str">
        <f t="shared" si="54"/>
        <v>Low sales</v>
      </c>
      <c r="J1734" s="33" t="str">
        <f t="shared" si="55"/>
        <v>not eligible</v>
      </c>
    </row>
    <row r="1735" spans="1:10" x14ac:dyDescent="0.35">
      <c r="A1735" s="31">
        <v>45362.644444444442</v>
      </c>
      <c r="B1735" s="32">
        <v>0.79207175925925932</v>
      </c>
      <c r="C1735" s="33" t="s">
        <v>8</v>
      </c>
      <c r="D1735" s="33" t="s">
        <v>12</v>
      </c>
      <c r="E1735" s="34">
        <v>331.13</v>
      </c>
      <c r="F1735" s="33">
        <v>3</v>
      </c>
      <c r="G1735" s="34">
        <v>993.39</v>
      </c>
      <c r="H1735" s="33" t="s">
        <v>321</v>
      </c>
      <c r="I1735" s="33" t="str">
        <f t="shared" si="54"/>
        <v>Medium sales</v>
      </c>
      <c r="J1735" s="33" t="str">
        <f t="shared" si="55"/>
        <v>not eligible</v>
      </c>
    </row>
    <row r="1736" spans="1:10" x14ac:dyDescent="0.35">
      <c r="A1736" s="31">
        <v>45361.144444444442</v>
      </c>
      <c r="B1736" s="32">
        <v>0.59349537037037037</v>
      </c>
      <c r="C1736" s="33" t="s">
        <v>8</v>
      </c>
      <c r="D1736" s="33" t="s">
        <v>27</v>
      </c>
      <c r="E1736" s="34">
        <v>240.85</v>
      </c>
      <c r="F1736" s="33">
        <v>3</v>
      </c>
      <c r="G1736" s="34">
        <v>722.55</v>
      </c>
      <c r="H1736" s="33" t="s">
        <v>98</v>
      </c>
      <c r="I1736" s="33" t="str">
        <f t="shared" si="54"/>
        <v>Medium sales</v>
      </c>
      <c r="J1736" s="33" t="str">
        <f t="shared" si="55"/>
        <v>not eligible</v>
      </c>
    </row>
    <row r="1737" spans="1:10" x14ac:dyDescent="0.35">
      <c r="A1737" s="31">
        <v>44948.265972222223</v>
      </c>
      <c r="B1737" s="32">
        <v>0.30789351851851848</v>
      </c>
      <c r="C1737" s="33" t="s">
        <v>14</v>
      </c>
      <c r="D1737" s="33" t="s">
        <v>16</v>
      </c>
      <c r="E1737" s="34">
        <v>452.09</v>
      </c>
      <c r="F1737" s="33">
        <v>3</v>
      </c>
      <c r="G1737" s="34">
        <v>1356.27</v>
      </c>
      <c r="H1737" s="33" t="s">
        <v>147</v>
      </c>
      <c r="I1737" s="33" t="str">
        <f t="shared" si="54"/>
        <v>Medium sales</v>
      </c>
      <c r="J1737" s="33" t="str">
        <f t="shared" si="55"/>
        <v>not eligible</v>
      </c>
    </row>
    <row r="1738" spans="1:10" x14ac:dyDescent="0.35">
      <c r="A1738" s="31">
        <v>45566.640277777777</v>
      </c>
      <c r="B1738" s="32">
        <v>0.63072916666666667</v>
      </c>
      <c r="C1738" s="33" t="s">
        <v>8</v>
      </c>
      <c r="D1738" s="33" t="s">
        <v>20</v>
      </c>
      <c r="E1738" s="34">
        <v>288.42</v>
      </c>
      <c r="F1738" s="33">
        <v>3</v>
      </c>
      <c r="G1738" s="34">
        <v>865.26</v>
      </c>
      <c r="H1738" s="33" t="s">
        <v>116</v>
      </c>
      <c r="I1738" s="33" t="str">
        <f t="shared" si="54"/>
        <v>Medium sales</v>
      </c>
      <c r="J1738" s="33" t="str">
        <f t="shared" si="55"/>
        <v>not eligible</v>
      </c>
    </row>
    <row r="1739" spans="1:10" x14ac:dyDescent="0.35">
      <c r="A1739" s="31">
        <v>45246.681250000001</v>
      </c>
      <c r="B1739" s="32">
        <v>0.26143518518518521</v>
      </c>
      <c r="C1739" s="33" t="s">
        <v>14</v>
      </c>
      <c r="D1739" s="33" t="s">
        <v>9</v>
      </c>
      <c r="E1739" s="34">
        <v>307.35000000000002</v>
      </c>
      <c r="F1739" s="33">
        <v>4</v>
      </c>
      <c r="G1739" s="34">
        <v>1229.4000000000001</v>
      </c>
      <c r="H1739" s="33" t="s">
        <v>269</v>
      </c>
      <c r="I1739" s="33" t="str">
        <f t="shared" si="54"/>
        <v>Medium sales</v>
      </c>
      <c r="J1739" s="33" t="str">
        <f t="shared" si="55"/>
        <v>not eligible</v>
      </c>
    </row>
    <row r="1740" spans="1:10" x14ac:dyDescent="0.35">
      <c r="A1740" s="31">
        <v>44978.912499999999</v>
      </c>
      <c r="B1740" s="32">
        <v>0.83938657407407413</v>
      </c>
      <c r="C1740" s="33" t="s">
        <v>14</v>
      </c>
      <c r="D1740" s="33" t="s">
        <v>16</v>
      </c>
      <c r="E1740" s="34">
        <v>361.03</v>
      </c>
      <c r="F1740" s="33">
        <v>1</v>
      </c>
      <c r="G1740" s="34">
        <v>361.03</v>
      </c>
      <c r="H1740" s="33" t="s">
        <v>22</v>
      </c>
      <c r="I1740" s="33" t="str">
        <f t="shared" si="54"/>
        <v>Low sales</v>
      </c>
      <c r="J1740" s="33" t="str">
        <f t="shared" si="55"/>
        <v>not eligible</v>
      </c>
    </row>
    <row r="1741" spans="1:10" x14ac:dyDescent="0.35">
      <c r="A1741" s="31">
        <v>45451.955555555556</v>
      </c>
      <c r="B1741" s="32">
        <v>0.49350694444444443</v>
      </c>
      <c r="C1741" s="33" t="s">
        <v>11</v>
      </c>
      <c r="D1741" s="33" t="s">
        <v>20</v>
      </c>
      <c r="E1741" s="34">
        <v>90.51</v>
      </c>
      <c r="F1741" s="33">
        <v>4</v>
      </c>
      <c r="G1741" s="34">
        <v>362.04</v>
      </c>
      <c r="H1741" s="33" t="s">
        <v>148</v>
      </c>
      <c r="I1741" s="33" t="str">
        <f t="shared" si="54"/>
        <v>Low sales</v>
      </c>
      <c r="J1741" s="33" t="str">
        <f t="shared" si="55"/>
        <v>not eligible</v>
      </c>
    </row>
    <row r="1742" spans="1:10" x14ac:dyDescent="0.35">
      <c r="A1742" s="31">
        <v>44935.662499999999</v>
      </c>
      <c r="B1742" s="32">
        <v>0.22271990740740741</v>
      </c>
      <c r="C1742" s="33" t="s">
        <v>11</v>
      </c>
      <c r="D1742" s="33" t="s">
        <v>20</v>
      </c>
      <c r="E1742" s="34">
        <v>242.32</v>
      </c>
      <c r="F1742" s="33">
        <v>4</v>
      </c>
      <c r="G1742" s="34">
        <v>969.28</v>
      </c>
      <c r="H1742" s="33" t="s">
        <v>205</v>
      </c>
      <c r="I1742" s="33" t="str">
        <f t="shared" si="54"/>
        <v>Medium sales</v>
      </c>
      <c r="J1742" s="33" t="str">
        <f t="shared" si="55"/>
        <v>not eligible</v>
      </c>
    </row>
    <row r="1743" spans="1:10" x14ac:dyDescent="0.35">
      <c r="A1743" s="31">
        <v>45135.904861111114</v>
      </c>
      <c r="B1743" s="32">
        <v>0.93314814814814817</v>
      </c>
      <c r="C1743" s="33" t="s">
        <v>14</v>
      </c>
      <c r="D1743" s="33" t="s">
        <v>16</v>
      </c>
      <c r="E1743" s="34">
        <v>412.06</v>
      </c>
      <c r="F1743" s="33">
        <v>3</v>
      </c>
      <c r="G1743" s="34">
        <v>1236.18</v>
      </c>
      <c r="H1743" s="33" t="s">
        <v>361</v>
      </c>
      <c r="I1743" s="33" t="str">
        <f t="shared" si="54"/>
        <v>Medium sales</v>
      </c>
      <c r="J1743" s="33" t="str">
        <f t="shared" si="55"/>
        <v>not eligible</v>
      </c>
    </row>
    <row r="1744" spans="1:10" x14ac:dyDescent="0.35">
      <c r="A1744" s="31">
        <v>45390.100694444445</v>
      </c>
      <c r="B1744" s="32">
        <v>0.90260416666666676</v>
      </c>
      <c r="C1744" s="33" t="s">
        <v>14</v>
      </c>
      <c r="D1744" s="33" t="s">
        <v>9</v>
      </c>
      <c r="E1744" s="34">
        <v>48.99</v>
      </c>
      <c r="F1744" s="33">
        <v>5</v>
      </c>
      <c r="G1744" s="34">
        <v>244.95</v>
      </c>
      <c r="H1744" s="33" t="s">
        <v>411</v>
      </c>
      <c r="I1744" s="33" t="str">
        <f t="shared" si="54"/>
        <v>Low sales</v>
      </c>
      <c r="J1744" s="33" t="str">
        <f t="shared" si="55"/>
        <v>not eligible</v>
      </c>
    </row>
    <row r="1745" spans="1:10" x14ac:dyDescent="0.35">
      <c r="A1745" s="31">
        <v>45341.133333333331</v>
      </c>
      <c r="B1745" s="32">
        <v>0.94521990740740736</v>
      </c>
      <c r="C1745" s="33" t="s">
        <v>11</v>
      </c>
      <c r="D1745" s="33" t="s">
        <v>9</v>
      </c>
      <c r="E1745" s="34">
        <v>259.58999999999997</v>
      </c>
      <c r="F1745" s="33">
        <v>2</v>
      </c>
      <c r="G1745" s="34">
        <v>519.17999999999995</v>
      </c>
      <c r="H1745" s="33" t="s">
        <v>225</v>
      </c>
      <c r="I1745" s="33" t="str">
        <f t="shared" si="54"/>
        <v>Medium sales</v>
      </c>
      <c r="J1745" s="33" t="str">
        <f t="shared" si="55"/>
        <v>not eligible</v>
      </c>
    </row>
    <row r="1746" spans="1:10" x14ac:dyDescent="0.35">
      <c r="A1746" s="31">
        <v>45271.775000000001</v>
      </c>
      <c r="B1746" s="32">
        <v>0.47002314814814811</v>
      </c>
      <c r="C1746" s="33" t="s">
        <v>11</v>
      </c>
      <c r="D1746" s="33" t="s">
        <v>20</v>
      </c>
      <c r="E1746" s="34">
        <v>423.06</v>
      </c>
      <c r="F1746" s="33">
        <v>5</v>
      </c>
      <c r="G1746" s="34">
        <v>2115.3000000000002</v>
      </c>
      <c r="H1746" s="33" t="s">
        <v>385</v>
      </c>
      <c r="I1746" s="33" t="str">
        <f t="shared" si="54"/>
        <v>High sales</v>
      </c>
      <c r="J1746" s="33" t="str">
        <f t="shared" si="55"/>
        <v>eligible</v>
      </c>
    </row>
    <row r="1747" spans="1:10" x14ac:dyDescent="0.35">
      <c r="A1747" s="31">
        <v>45602.652083333334</v>
      </c>
      <c r="B1747" s="32">
        <v>0.48686342592592591</v>
      </c>
      <c r="C1747" s="33" t="s">
        <v>14</v>
      </c>
      <c r="D1747" s="33" t="s">
        <v>27</v>
      </c>
      <c r="E1747" s="34">
        <v>159.37</v>
      </c>
      <c r="F1747" s="33">
        <v>2</v>
      </c>
      <c r="G1747" s="34">
        <v>318.74</v>
      </c>
      <c r="H1747" s="33" t="s">
        <v>117</v>
      </c>
      <c r="I1747" s="33" t="str">
        <f t="shared" si="54"/>
        <v>Low sales</v>
      </c>
      <c r="J1747" s="33" t="str">
        <f t="shared" si="55"/>
        <v>not eligible</v>
      </c>
    </row>
    <row r="1748" spans="1:10" x14ac:dyDescent="0.35">
      <c r="A1748" s="31">
        <v>45431.87222222222</v>
      </c>
      <c r="B1748" s="32">
        <v>0.94376157407407402</v>
      </c>
      <c r="C1748" s="33" t="s">
        <v>8</v>
      </c>
      <c r="D1748" s="33" t="s">
        <v>20</v>
      </c>
      <c r="E1748" s="34">
        <v>375.16</v>
      </c>
      <c r="F1748" s="33">
        <v>4</v>
      </c>
      <c r="G1748" s="34">
        <v>1500.64</v>
      </c>
      <c r="H1748" s="33" t="s">
        <v>216</v>
      </c>
      <c r="I1748" s="33" t="str">
        <f t="shared" si="54"/>
        <v>High sales</v>
      </c>
      <c r="J1748" s="33" t="str">
        <f t="shared" si="55"/>
        <v>not eligible</v>
      </c>
    </row>
    <row r="1749" spans="1:10" x14ac:dyDescent="0.35">
      <c r="A1749" s="31">
        <v>44970.006249999999</v>
      </c>
      <c r="B1749" s="32">
        <v>0.87163194444444436</v>
      </c>
      <c r="C1749" s="33" t="s">
        <v>11</v>
      </c>
      <c r="D1749" s="33" t="s">
        <v>9</v>
      </c>
      <c r="E1749" s="34">
        <v>112.72</v>
      </c>
      <c r="F1749" s="33">
        <v>2</v>
      </c>
      <c r="G1749" s="34">
        <v>225.44</v>
      </c>
      <c r="H1749" s="33" t="s">
        <v>316</v>
      </c>
      <c r="I1749" s="33" t="str">
        <f t="shared" si="54"/>
        <v>Low sales</v>
      </c>
      <c r="J1749" s="33" t="str">
        <f t="shared" si="55"/>
        <v>not eligible</v>
      </c>
    </row>
    <row r="1750" spans="1:10" x14ac:dyDescent="0.35">
      <c r="A1750" s="31">
        <v>45562.447916666664</v>
      </c>
      <c r="B1750" s="32">
        <v>0.49346064814814811</v>
      </c>
      <c r="C1750" s="33" t="s">
        <v>11</v>
      </c>
      <c r="D1750" s="33" t="s">
        <v>27</v>
      </c>
      <c r="E1750" s="34">
        <v>61.32</v>
      </c>
      <c r="F1750" s="33">
        <v>2</v>
      </c>
      <c r="G1750" s="34">
        <v>122.64</v>
      </c>
      <c r="H1750" s="33" t="s">
        <v>401</v>
      </c>
      <c r="I1750" s="33" t="str">
        <f t="shared" si="54"/>
        <v>Low sales</v>
      </c>
      <c r="J1750" s="33" t="str">
        <f t="shared" si="55"/>
        <v>not eligible</v>
      </c>
    </row>
    <row r="1751" spans="1:10" x14ac:dyDescent="0.35">
      <c r="A1751" s="31">
        <v>45440.790972222225</v>
      </c>
      <c r="B1751" s="32">
        <v>0.71635416666666663</v>
      </c>
      <c r="C1751" s="33" t="s">
        <v>14</v>
      </c>
      <c r="D1751" s="33" t="s">
        <v>12</v>
      </c>
      <c r="E1751" s="34">
        <v>407.16</v>
      </c>
      <c r="F1751" s="33">
        <v>4</v>
      </c>
      <c r="G1751" s="34">
        <v>1628.64</v>
      </c>
      <c r="H1751" s="33" t="s">
        <v>309</v>
      </c>
      <c r="I1751" s="33" t="str">
        <f t="shared" si="54"/>
        <v>High sales</v>
      </c>
      <c r="J1751" s="33" t="str">
        <f t="shared" si="55"/>
        <v>not eligible</v>
      </c>
    </row>
    <row r="1752" spans="1:10" x14ac:dyDescent="0.35">
      <c r="A1752" s="31">
        <v>45643.60833333333</v>
      </c>
      <c r="B1752" s="32">
        <v>0.94410879629629629</v>
      </c>
      <c r="C1752" s="33" t="s">
        <v>8</v>
      </c>
      <c r="D1752" s="33" t="s">
        <v>20</v>
      </c>
      <c r="E1752" s="34">
        <v>24.54</v>
      </c>
      <c r="F1752" s="33">
        <v>4</v>
      </c>
      <c r="G1752" s="34">
        <v>98.16</v>
      </c>
      <c r="H1752" s="33" t="s">
        <v>63</v>
      </c>
      <c r="I1752" s="33" t="str">
        <f t="shared" si="54"/>
        <v>Low sales</v>
      </c>
      <c r="J1752" s="33" t="str">
        <f t="shared" si="55"/>
        <v>not eligible</v>
      </c>
    </row>
    <row r="1753" spans="1:10" x14ac:dyDescent="0.35">
      <c r="A1753" s="31">
        <v>45566.840277777781</v>
      </c>
      <c r="B1753" s="32">
        <v>0.35577546296296297</v>
      </c>
      <c r="C1753" s="33" t="s">
        <v>14</v>
      </c>
      <c r="D1753" s="33" t="s">
        <v>9</v>
      </c>
      <c r="E1753" s="34">
        <v>184.04</v>
      </c>
      <c r="F1753" s="33">
        <v>4</v>
      </c>
      <c r="G1753" s="34">
        <v>736.16</v>
      </c>
      <c r="H1753" s="33" t="s">
        <v>305</v>
      </c>
      <c r="I1753" s="33" t="str">
        <f t="shared" si="54"/>
        <v>Medium sales</v>
      </c>
      <c r="J1753" s="33" t="str">
        <f t="shared" si="55"/>
        <v>not eligible</v>
      </c>
    </row>
    <row r="1754" spans="1:10" x14ac:dyDescent="0.35">
      <c r="A1754" s="31">
        <v>45528.252083333333</v>
      </c>
      <c r="B1754" s="32">
        <v>0.74189814814814825</v>
      </c>
      <c r="C1754" s="33" t="s">
        <v>14</v>
      </c>
      <c r="D1754" s="33" t="s">
        <v>12</v>
      </c>
      <c r="E1754" s="34">
        <v>391.83</v>
      </c>
      <c r="F1754" s="33">
        <v>2</v>
      </c>
      <c r="G1754" s="34">
        <v>783.66</v>
      </c>
      <c r="H1754" s="33" t="s">
        <v>67</v>
      </c>
      <c r="I1754" s="33" t="str">
        <f t="shared" si="54"/>
        <v>Medium sales</v>
      </c>
      <c r="J1754" s="33" t="str">
        <f t="shared" si="55"/>
        <v>not eligible</v>
      </c>
    </row>
    <row r="1755" spans="1:10" x14ac:dyDescent="0.35">
      <c r="A1755" s="31">
        <v>44957.65902777778</v>
      </c>
      <c r="B1755" s="32">
        <v>0.51565972222222223</v>
      </c>
      <c r="C1755" s="33" t="s">
        <v>11</v>
      </c>
      <c r="D1755" s="33" t="s">
        <v>9</v>
      </c>
      <c r="E1755" s="34">
        <v>342.54</v>
      </c>
      <c r="F1755" s="33">
        <v>4</v>
      </c>
      <c r="G1755" s="34">
        <v>1370.16</v>
      </c>
      <c r="H1755" s="33" t="s">
        <v>325</v>
      </c>
      <c r="I1755" s="33" t="str">
        <f t="shared" si="54"/>
        <v>Medium sales</v>
      </c>
      <c r="J1755" s="33" t="str">
        <f t="shared" si="55"/>
        <v>eligible</v>
      </c>
    </row>
    <row r="1756" spans="1:10" x14ac:dyDescent="0.35">
      <c r="A1756" s="31">
        <v>45653.20416666667</v>
      </c>
      <c r="B1756" s="32">
        <v>0.23601851851851852</v>
      </c>
      <c r="C1756" s="33" t="s">
        <v>11</v>
      </c>
      <c r="D1756" s="33" t="s">
        <v>16</v>
      </c>
      <c r="E1756" s="34">
        <v>421.41</v>
      </c>
      <c r="F1756" s="33">
        <v>2</v>
      </c>
      <c r="G1756" s="34">
        <v>842.82</v>
      </c>
      <c r="H1756" s="33" t="s">
        <v>115</v>
      </c>
      <c r="I1756" s="33" t="str">
        <f t="shared" si="54"/>
        <v>Medium sales</v>
      </c>
      <c r="J1756" s="33" t="str">
        <f t="shared" si="55"/>
        <v>not eligible</v>
      </c>
    </row>
    <row r="1757" spans="1:10" x14ac:dyDescent="0.35">
      <c r="A1757" s="31">
        <v>45624.910416666666</v>
      </c>
      <c r="B1757" s="32">
        <v>0.23475694444444442</v>
      </c>
      <c r="C1757" s="33" t="s">
        <v>14</v>
      </c>
      <c r="D1757" s="33" t="s">
        <v>27</v>
      </c>
      <c r="E1757" s="34">
        <v>458.64</v>
      </c>
      <c r="F1757" s="33">
        <v>5</v>
      </c>
      <c r="G1757" s="34">
        <v>2293.1999999999998</v>
      </c>
      <c r="H1757" s="33" t="s">
        <v>289</v>
      </c>
      <c r="I1757" s="33" t="str">
        <f t="shared" si="54"/>
        <v>High sales</v>
      </c>
      <c r="J1757" s="33" t="str">
        <f t="shared" si="55"/>
        <v>not eligible</v>
      </c>
    </row>
    <row r="1758" spans="1:10" x14ac:dyDescent="0.35">
      <c r="A1758" s="31">
        <v>45614.206250000003</v>
      </c>
      <c r="B1758" s="32">
        <v>0.25789351851851855</v>
      </c>
      <c r="C1758" s="33" t="s">
        <v>8</v>
      </c>
      <c r="D1758" s="33" t="s">
        <v>9</v>
      </c>
      <c r="E1758" s="34">
        <v>396.53</v>
      </c>
      <c r="F1758" s="33">
        <v>3</v>
      </c>
      <c r="G1758" s="34">
        <v>1189.5899999999999</v>
      </c>
      <c r="H1758" s="33" t="s">
        <v>391</v>
      </c>
      <c r="I1758" s="33" t="str">
        <f t="shared" si="54"/>
        <v>Medium sales</v>
      </c>
      <c r="J1758" s="33" t="str">
        <f t="shared" si="55"/>
        <v>not eligible</v>
      </c>
    </row>
    <row r="1759" spans="1:10" x14ac:dyDescent="0.35">
      <c r="A1759" s="31">
        <v>45596.415972222225</v>
      </c>
      <c r="B1759" s="32">
        <v>0.76658564814814811</v>
      </c>
      <c r="C1759" s="33" t="s">
        <v>8</v>
      </c>
      <c r="D1759" s="33" t="s">
        <v>16</v>
      </c>
      <c r="E1759" s="34">
        <v>289.77</v>
      </c>
      <c r="F1759" s="33">
        <v>3</v>
      </c>
      <c r="G1759" s="34">
        <v>869.31</v>
      </c>
      <c r="H1759" s="33" t="s">
        <v>400</v>
      </c>
      <c r="I1759" s="33" t="str">
        <f t="shared" si="54"/>
        <v>Medium sales</v>
      </c>
      <c r="J1759" s="33" t="str">
        <f t="shared" si="55"/>
        <v>not eligible</v>
      </c>
    </row>
    <row r="1760" spans="1:10" x14ac:dyDescent="0.35">
      <c r="A1760" s="31">
        <v>45363.711111111108</v>
      </c>
      <c r="B1760" s="32">
        <v>0.24144675925925926</v>
      </c>
      <c r="C1760" s="33" t="s">
        <v>14</v>
      </c>
      <c r="D1760" s="33" t="s">
        <v>27</v>
      </c>
      <c r="E1760" s="34">
        <v>467.81</v>
      </c>
      <c r="F1760" s="33">
        <v>4</v>
      </c>
      <c r="G1760" s="34">
        <v>1871.24</v>
      </c>
      <c r="H1760" s="33" t="s">
        <v>361</v>
      </c>
      <c r="I1760" s="33" t="str">
        <f t="shared" si="54"/>
        <v>High sales</v>
      </c>
      <c r="J1760" s="33" t="str">
        <f t="shared" si="55"/>
        <v>not eligible</v>
      </c>
    </row>
    <row r="1761" spans="1:10" x14ac:dyDescent="0.35">
      <c r="A1761" s="31">
        <v>45233.15902777778</v>
      </c>
      <c r="B1761" s="32">
        <v>0.77312499999999995</v>
      </c>
      <c r="C1761" s="33" t="s">
        <v>14</v>
      </c>
      <c r="D1761" s="33" t="s">
        <v>20</v>
      </c>
      <c r="E1761" s="34">
        <v>33.58</v>
      </c>
      <c r="F1761" s="33">
        <v>4</v>
      </c>
      <c r="G1761" s="34">
        <v>134.32</v>
      </c>
      <c r="H1761" s="33" t="s">
        <v>288</v>
      </c>
      <c r="I1761" s="33" t="str">
        <f t="shared" si="54"/>
        <v>Low sales</v>
      </c>
      <c r="J1761" s="33" t="str">
        <f t="shared" si="55"/>
        <v>not eligible</v>
      </c>
    </row>
    <row r="1762" spans="1:10" x14ac:dyDescent="0.35">
      <c r="A1762" s="31">
        <v>45190.46875</v>
      </c>
      <c r="B1762" s="32">
        <v>0.85579861111111111</v>
      </c>
      <c r="C1762" s="33" t="s">
        <v>14</v>
      </c>
      <c r="D1762" s="33" t="s">
        <v>16</v>
      </c>
      <c r="E1762" s="34">
        <v>48.99</v>
      </c>
      <c r="F1762" s="33">
        <v>3</v>
      </c>
      <c r="G1762" s="34">
        <v>146.97</v>
      </c>
      <c r="H1762" s="33" t="s">
        <v>225</v>
      </c>
      <c r="I1762" s="33" t="str">
        <f t="shared" si="54"/>
        <v>Low sales</v>
      </c>
      <c r="J1762" s="33" t="str">
        <f t="shared" si="55"/>
        <v>not eligible</v>
      </c>
    </row>
    <row r="1763" spans="1:10" x14ac:dyDescent="0.35">
      <c r="A1763" s="31">
        <v>45427.265277777777</v>
      </c>
      <c r="B1763" s="32">
        <v>0.71452546296296304</v>
      </c>
      <c r="C1763" s="33" t="s">
        <v>11</v>
      </c>
      <c r="D1763" s="33" t="s">
        <v>27</v>
      </c>
      <c r="E1763" s="34">
        <v>323.10000000000002</v>
      </c>
      <c r="F1763" s="33">
        <v>1</v>
      </c>
      <c r="G1763" s="34">
        <v>323.10000000000002</v>
      </c>
      <c r="H1763" s="33" t="s">
        <v>34</v>
      </c>
      <c r="I1763" s="33" t="str">
        <f t="shared" si="54"/>
        <v>Low sales</v>
      </c>
      <c r="J1763" s="33" t="str">
        <f t="shared" si="55"/>
        <v>not eligible</v>
      </c>
    </row>
    <row r="1764" spans="1:10" x14ac:dyDescent="0.35">
      <c r="A1764" s="31">
        <v>45299.64166666667</v>
      </c>
      <c r="B1764" s="32">
        <v>0.36604166666666665</v>
      </c>
      <c r="C1764" s="33" t="s">
        <v>8</v>
      </c>
      <c r="D1764" s="33" t="s">
        <v>27</v>
      </c>
      <c r="E1764" s="34">
        <v>318.27999999999997</v>
      </c>
      <c r="F1764" s="33">
        <v>2</v>
      </c>
      <c r="G1764" s="34">
        <v>636.55999999999995</v>
      </c>
      <c r="H1764" s="33" t="s">
        <v>33</v>
      </c>
      <c r="I1764" s="33" t="str">
        <f t="shared" si="54"/>
        <v>Medium sales</v>
      </c>
      <c r="J1764" s="33" t="str">
        <f t="shared" si="55"/>
        <v>not eligible</v>
      </c>
    </row>
    <row r="1765" spans="1:10" x14ac:dyDescent="0.35">
      <c r="A1765" s="31">
        <v>45602.290277777778</v>
      </c>
      <c r="B1765" s="32">
        <v>0.54715277777777771</v>
      </c>
      <c r="C1765" s="33" t="s">
        <v>11</v>
      </c>
      <c r="D1765" s="33" t="s">
        <v>27</v>
      </c>
      <c r="E1765" s="34">
        <v>94.78</v>
      </c>
      <c r="F1765" s="33">
        <v>4</v>
      </c>
      <c r="G1765" s="34">
        <v>379.12</v>
      </c>
      <c r="H1765" s="33" t="s">
        <v>56</v>
      </c>
      <c r="I1765" s="33" t="str">
        <f t="shared" si="54"/>
        <v>Low sales</v>
      </c>
      <c r="J1765" s="33" t="str">
        <f t="shared" si="55"/>
        <v>not eligible</v>
      </c>
    </row>
    <row r="1766" spans="1:10" x14ac:dyDescent="0.35">
      <c r="A1766" s="31">
        <v>45493.375</v>
      </c>
      <c r="B1766" s="32">
        <v>0.16673611111111111</v>
      </c>
      <c r="C1766" s="33" t="s">
        <v>11</v>
      </c>
      <c r="D1766" s="33" t="s">
        <v>20</v>
      </c>
      <c r="E1766" s="34">
        <v>58.16</v>
      </c>
      <c r="F1766" s="33">
        <v>2</v>
      </c>
      <c r="G1766" s="34">
        <v>116.32</v>
      </c>
      <c r="H1766" s="33" t="s">
        <v>298</v>
      </c>
      <c r="I1766" s="33" t="str">
        <f t="shared" si="54"/>
        <v>Low sales</v>
      </c>
      <c r="J1766" s="33" t="str">
        <f t="shared" si="55"/>
        <v>not eligible</v>
      </c>
    </row>
    <row r="1767" spans="1:10" x14ac:dyDescent="0.35">
      <c r="A1767" s="31">
        <v>45084.769444444442</v>
      </c>
      <c r="B1767" s="32">
        <v>0.287025462962963</v>
      </c>
      <c r="C1767" s="33" t="s">
        <v>8</v>
      </c>
      <c r="D1767" s="33" t="s">
        <v>20</v>
      </c>
      <c r="E1767" s="34">
        <v>244.33</v>
      </c>
      <c r="F1767" s="33">
        <v>1</v>
      </c>
      <c r="G1767" s="34">
        <v>244.33</v>
      </c>
      <c r="H1767" s="33" t="s">
        <v>272</v>
      </c>
      <c r="I1767" s="33" t="str">
        <f t="shared" si="54"/>
        <v>Low sales</v>
      </c>
      <c r="J1767" s="33" t="str">
        <f t="shared" si="55"/>
        <v>not eligible</v>
      </c>
    </row>
    <row r="1768" spans="1:10" x14ac:dyDescent="0.35">
      <c r="A1768" s="31">
        <v>45463.873611111114</v>
      </c>
      <c r="B1768" s="32">
        <v>0.39125000000000004</v>
      </c>
      <c r="C1768" s="33" t="s">
        <v>8</v>
      </c>
      <c r="D1768" s="33" t="s">
        <v>27</v>
      </c>
      <c r="E1768" s="34">
        <v>331.67</v>
      </c>
      <c r="F1768" s="33">
        <v>4</v>
      </c>
      <c r="G1768" s="34">
        <v>1326.68</v>
      </c>
      <c r="H1768" s="33" t="s">
        <v>39</v>
      </c>
      <c r="I1768" s="33" t="str">
        <f t="shared" si="54"/>
        <v>Medium sales</v>
      </c>
      <c r="J1768" s="33" t="str">
        <f t="shared" si="55"/>
        <v>not eligible</v>
      </c>
    </row>
    <row r="1769" spans="1:10" x14ac:dyDescent="0.35">
      <c r="A1769" s="31">
        <v>45200.577777777777</v>
      </c>
      <c r="B1769" s="32">
        <v>0.27313657407407405</v>
      </c>
      <c r="C1769" s="33" t="s">
        <v>8</v>
      </c>
      <c r="D1769" s="33" t="s">
        <v>27</v>
      </c>
      <c r="E1769" s="34">
        <v>201.57</v>
      </c>
      <c r="F1769" s="33">
        <v>4</v>
      </c>
      <c r="G1769" s="34">
        <v>806.28</v>
      </c>
      <c r="H1769" s="33" t="s">
        <v>100</v>
      </c>
      <c r="I1769" s="33" t="str">
        <f t="shared" si="54"/>
        <v>Medium sales</v>
      </c>
      <c r="J1769" s="33" t="str">
        <f t="shared" si="55"/>
        <v>not eligible</v>
      </c>
    </row>
    <row r="1770" spans="1:10" x14ac:dyDescent="0.35">
      <c r="A1770" s="31">
        <v>45578.535416666666</v>
      </c>
      <c r="B1770" s="32">
        <v>0.10518518518518517</v>
      </c>
      <c r="C1770" s="33" t="s">
        <v>14</v>
      </c>
      <c r="D1770" s="33" t="s">
        <v>9</v>
      </c>
      <c r="E1770" s="34">
        <v>297.66000000000003</v>
      </c>
      <c r="F1770" s="33">
        <v>1</v>
      </c>
      <c r="G1770" s="34">
        <v>297.66000000000003</v>
      </c>
      <c r="H1770" s="33" t="s">
        <v>382</v>
      </c>
      <c r="I1770" s="33" t="str">
        <f t="shared" si="54"/>
        <v>Low sales</v>
      </c>
      <c r="J1770" s="33" t="str">
        <f t="shared" si="55"/>
        <v>not eligible</v>
      </c>
    </row>
    <row r="1771" spans="1:10" x14ac:dyDescent="0.35">
      <c r="A1771" s="31">
        <v>45521.099305555559</v>
      </c>
      <c r="B1771" s="32">
        <v>5.1192129629629629E-2</v>
      </c>
      <c r="C1771" s="33" t="s">
        <v>11</v>
      </c>
      <c r="D1771" s="33" t="s">
        <v>12</v>
      </c>
      <c r="E1771" s="34">
        <v>460.66</v>
      </c>
      <c r="F1771" s="33">
        <v>2</v>
      </c>
      <c r="G1771" s="34">
        <v>921.32</v>
      </c>
      <c r="H1771" s="33" t="s">
        <v>331</v>
      </c>
      <c r="I1771" s="33" t="str">
        <f t="shared" si="54"/>
        <v>Medium sales</v>
      </c>
      <c r="J1771" s="33" t="str">
        <f t="shared" si="55"/>
        <v>not eligible</v>
      </c>
    </row>
    <row r="1772" spans="1:10" x14ac:dyDescent="0.35">
      <c r="A1772" s="31">
        <v>45093.216666666667</v>
      </c>
      <c r="B1772" s="32">
        <v>0.76042824074074078</v>
      </c>
      <c r="C1772" s="33" t="s">
        <v>8</v>
      </c>
      <c r="D1772" s="33" t="s">
        <v>12</v>
      </c>
      <c r="E1772" s="34">
        <v>477.19</v>
      </c>
      <c r="F1772" s="33">
        <v>1</v>
      </c>
      <c r="G1772" s="34">
        <v>477.19</v>
      </c>
      <c r="H1772" s="33" t="s">
        <v>42</v>
      </c>
      <c r="I1772" s="33" t="str">
        <f t="shared" si="54"/>
        <v>Low sales</v>
      </c>
      <c r="J1772" s="33" t="str">
        <f t="shared" si="55"/>
        <v>not eligible</v>
      </c>
    </row>
    <row r="1773" spans="1:10" x14ac:dyDescent="0.35">
      <c r="A1773" s="31">
        <v>45631.427777777775</v>
      </c>
      <c r="B1773" s="32">
        <v>0.69841435185185186</v>
      </c>
      <c r="C1773" s="33" t="s">
        <v>11</v>
      </c>
      <c r="D1773" s="33" t="s">
        <v>16</v>
      </c>
      <c r="E1773" s="34">
        <v>386.36</v>
      </c>
      <c r="F1773" s="33">
        <v>5</v>
      </c>
      <c r="G1773" s="34">
        <v>1931.8</v>
      </c>
      <c r="H1773" s="33" t="s">
        <v>92</v>
      </c>
      <c r="I1773" s="33" t="str">
        <f t="shared" si="54"/>
        <v>High sales</v>
      </c>
      <c r="J1773" s="33" t="str">
        <f t="shared" si="55"/>
        <v>eligible</v>
      </c>
    </row>
    <row r="1774" spans="1:10" x14ac:dyDescent="0.35">
      <c r="A1774" s="31">
        <v>45023.770138888889</v>
      </c>
      <c r="B1774" s="32">
        <v>0.66358796296296296</v>
      </c>
      <c r="C1774" s="33" t="s">
        <v>14</v>
      </c>
      <c r="D1774" s="33" t="s">
        <v>12</v>
      </c>
      <c r="E1774" s="34">
        <v>34.92</v>
      </c>
      <c r="F1774" s="33">
        <v>5</v>
      </c>
      <c r="G1774" s="34">
        <v>174.6</v>
      </c>
      <c r="H1774" s="33" t="s">
        <v>21</v>
      </c>
      <c r="I1774" s="33" t="str">
        <f t="shared" si="54"/>
        <v>Low sales</v>
      </c>
      <c r="J1774" s="33" t="str">
        <f t="shared" si="55"/>
        <v>not eligible</v>
      </c>
    </row>
    <row r="1775" spans="1:10" x14ac:dyDescent="0.35">
      <c r="A1775" s="31">
        <v>45263.005555555559</v>
      </c>
      <c r="B1775" s="32">
        <v>0.39928240740740745</v>
      </c>
      <c r="C1775" s="33" t="s">
        <v>11</v>
      </c>
      <c r="D1775" s="33" t="s">
        <v>27</v>
      </c>
      <c r="E1775" s="34">
        <v>378.33</v>
      </c>
      <c r="F1775" s="33">
        <v>4</v>
      </c>
      <c r="G1775" s="34">
        <v>1513.32</v>
      </c>
      <c r="H1775" s="33" t="s">
        <v>156</v>
      </c>
      <c r="I1775" s="33" t="str">
        <f t="shared" si="54"/>
        <v>High sales</v>
      </c>
      <c r="J1775" s="33" t="str">
        <f t="shared" si="55"/>
        <v>eligible</v>
      </c>
    </row>
    <row r="1776" spans="1:10" x14ac:dyDescent="0.35">
      <c r="A1776" s="31">
        <v>45206.782638888886</v>
      </c>
      <c r="B1776" s="32">
        <v>0.88296296296296306</v>
      </c>
      <c r="C1776" s="33" t="s">
        <v>14</v>
      </c>
      <c r="D1776" s="33" t="s">
        <v>20</v>
      </c>
      <c r="E1776" s="34">
        <v>451.94</v>
      </c>
      <c r="F1776" s="33">
        <v>1</v>
      </c>
      <c r="G1776" s="34">
        <v>451.94</v>
      </c>
      <c r="H1776" s="33" t="s">
        <v>260</v>
      </c>
      <c r="I1776" s="33" t="str">
        <f t="shared" si="54"/>
        <v>Low sales</v>
      </c>
      <c r="J1776" s="33" t="str">
        <f t="shared" si="55"/>
        <v>not eligible</v>
      </c>
    </row>
    <row r="1777" spans="1:10" x14ac:dyDescent="0.35">
      <c r="A1777" s="31">
        <v>45184.272916666669</v>
      </c>
      <c r="B1777" s="32">
        <v>0.42687499999999995</v>
      </c>
      <c r="C1777" s="33" t="s">
        <v>11</v>
      </c>
      <c r="D1777" s="33" t="s">
        <v>9</v>
      </c>
      <c r="E1777" s="34">
        <v>479.95</v>
      </c>
      <c r="F1777" s="33">
        <v>1</v>
      </c>
      <c r="G1777" s="34">
        <v>479.95</v>
      </c>
      <c r="H1777" s="33" t="s">
        <v>23</v>
      </c>
      <c r="I1777" s="33" t="str">
        <f t="shared" si="54"/>
        <v>Low sales</v>
      </c>
      <c r="J1777" s="33" t="str">
        <f t="shared" si="55"/>
        <v>not eligible</v>
      </c>
    </row>
    <row r="1778" spans="1:10" x14ac:dyDescent="0.35">
      <c r="A1778" s="31">
        <v>45423.55972222222</v>
      </c>
      <c r="B1778" s="32">
        <v>0.41740740740740739</v>
      </c>
      <c r="C1778" s="33" t="s">
        <v>11</v>
      </c>
      <c r="D1778" s="33" t="s">
        <v>9</v>
      </c>
      <c r="E1778" s="34">
        <v>265.48</v>
      </c>
      <c r="F1778" s="33">
        <v>1</v>
      </c>
      <c r="G1778" s="34">
        <v>265.48</v>
      </c>
      <c r="H1778" s="33" t="s">
        <v>303</v>
      </c>
      <c r="I1778" s="33" t="str">
        <f t="shared" si="54"/>
        <v>Low sales</v>
      </c>
      <c r="J1778" s="33" t="str">
        <f t="shared" si="55"/>
        <v>not eligible</v>
      </c>
    </row>
    <row r="1779" spans="1:10" x14ac:dyDescent="0.35">
      <c r="A1779" s="31">
        <v>45618.470138888886</v>
      </c>
      <c r="B1779" s="32">
        <v>0.73060185185185189</v>
      </c>
      <c r="C1779" s="33" t="s">
        <v>11</v>
      </c>
      <c r="D1779" s="33" t="s">
        <v>12</v>
      </c>
      <c r="E1779" s="34">
        <v>112.41</v>
      </c>
      <c r="F1779" s="33">
        <v>1</v>
      </c>
      <c r="G1779" s="34">
        <v>112.41</v>
      </c>
      <c r="H1779" s="33" t="s">
        <v>114</v>
      </c>
      <c r="I1779" s="33" t="str">
        <f t="shared" si="54"/>
        <v>Low sales</v>
      </c>
      <c r="J1779" s="33" t="str">
        <f t="shared" si="55"/>
        <v>not eligible</v>
      </c>
    </row>
    <row r="1780" spans="1:10" x14ac:dyDescent="0.35">
      <c r="A1780" s="31">
        <v>45509.438888888886</v>
      </c>
      <c r="B1780" s="32">
        <v>0.64105324074074077</v>
      </c>
      <c r="C1780" s="33" t="s">
        <v>11</v>
      </c>
      <c r="D1780" s="33" t="s">
        <v>9</v>
      </c>
      <c r="E1780" s="34">
        <v>465.88</v>
      </c>
      <c r="F1780" s="33">
        <v>5</v>
      </c>
      <c r="G1780" s="34">
        <v>2329.4</v>
      </c>
      <c r="H1780" s="33" t="s">
        <v>23</v>
      </c>
      <c r="I1780" s="33" t="str">
        <f t="shared" si="54"/>
        <v>High sales</v>
      </c>
      <c r="J1780" s="33" t="str">
        <f t="shared" si="55"/>
        <v>eligible</v>
      </c>
    </row>
    <row r="1781" spans="1:10" x14ac:dyDescent="0.35">
      <c r="A1781" s="31">
        <v>44931.368750000001</v>
      </c>
      <c r="B1781" s="32">
        <v>0.15684027777777779</v>
      </c>
      <c r="C1781" s="33" t="s">
        <v>11</v>
      </c>
      <c r="D1781" s="33" t="s">
        <v>20</v>
      </c>
      <c r="E1781" s="34">
        <v>114.51</v>
      </c>
      <c r="F1781" s="33">
        <v>1</v>
      </c>
      <c r="G1781" s="34">
        <v>114.51</v>
      </c>
      <c r="H1781" s="33" t="s">
        <v>172</v>
      </c>
      <c r="I1781" s="33" t="str">
        <f t="shared" si="54"/>
        <v>Low sales</v>
      </c>
      <c r="J1781" s="33" t="str">
        <f t="shared" si="55"/>
        <v>not eligible</v>
      </c>
    </row>
    <row r="1782" spans="1:10" x14ac:dyDescent="0.35">
      <c r="A1782" s="31">
        <v>45287.686111111114</v>
      </c>
      <c r="B1782" s="32">
        <v>0.6489583333333333</v>
      </c>
      <c r="C1782" s="33" t="s">
        <v>14</v>
      </c>
      <c r="D1782" s="33" t="s">
        <v>27</v>
      </c>
      <c r="E1782" s="34">
        <v>375.92</v>
      </c>
      <c r="F1782" s="33">
        <v>3</v>
      </c>
      <c r="G1782" s="34">
        <v>1127.76</v>
      </c>
      <c r="H1782" s="33" t="s">
        <v>314</v>
      </c>
      <c r="I1782" s="33" t="str">
        <f t="shared" si="54"/>
        <v>Medium sales</v>
      </c>
      <c r="J1782" s="33" t="str">
        <f t="shared" si="55"/>
        <v>not eligible</v>
      </c>
    </row>
    <row r="1783" spans="1:10" x14ac:dyDescent="0.35">
      <c r="A1783" s="31">
        <v>45265.572916666664</v>
      </c>
      <c r="B1783" s="32">
        <v>0.11797453703703703</v>
      </c>
      <c r="C1783" s="33" t="s">
        <v>8</v>
      </c>
      <c r="D1783" s="33" t="s">
        <v>9</v>
      </c>
      <c r="E1783" s="34">
        <v>351.35</v>
      </c>
      <c r="F1783" s="33">
        <v>5</v>
      </c>
      <c r="G1783" s="34">
        <v>1756.75</v>
      </c>
      <c r="H1783" s="33" t="s">
        <v>58</v>
      </c>
      <c r="I1783" s="33" t="str">
        <f t="shared" si="54"/>
        <v>High sales</v>
      </c>
      <c r="J1783" s="33" t="str">
        <f t="shared" si="55"/>
        <v>not eligible</v>
      </c>
    </row>
    <row r="1784" spans="1:10" x14ac:dyDescent="0.35">
      <c r="A1784" s="31">
        <v>44994.140277777777</v>
      </c>
      <c r="B1784" s="32">
        <v>0.9184606481481481</v>
      </c>
      <c r="C1784" s="33" t="s">
        <v>14</v>
      </c>
      <c r="D1784" s="33" t="s">
        <v>20</v>
      </c>
      <c r="E1784" s="34">
        <v>168.01</v>
      </c>
      <c r="F1784" s="33">
        <v>5</v>
      </c>
      <c r="G1784" s="34">
        <v>840.05</v>
      </c>
      <c r="H1784" s="33" t="s">
        <v>187</v>
      </c>
      <c r="I1784" s="33" t="str">
        <f t="shared" si="54"/>
        <v>Medium sales</v>
      </c>
      <c r="J1784" s="33" t="str">
        <f t="shared" si="55"/>
        <v>not eligible</v>
      </c>
    </row>
    <row r="1785" spans="1:10" x14ac:dyDescent="0.35">
      <c r="A1785" s="31">
        <v>45564.963888888888</v>
      </c>
      <c r="B1785" s="32">
        <v>0.45340277777777777</v>
      </c>
      <c r="C1785" s="33" t="s">
        <v>8</v>
      </c>
      <c r="D1785" s="33" t="s">
        <v>20</v>
      </c>
      <c r="E1785" s="34">
        <v>410.18</v>
      </c>
      <c r="F1785" s="33">
        <v>5</v>
      </c>
      <c r="G1785" s="34">
        <v>2050.9</v>
      </c>
      <c r="H1785" s="33" t="s">
        <v>405</v>
      </c>
      <c r="I1785" s="33" t="str">
        <f t="shared" si="54"/>
        <v>High sales</v>
      </c>
      <c r="J1785" s="33" t="str">
        <f t="shared" si="55"/>
        <v>not eligible</v>
      </c>
    </row>
    <row r="1786" spans="1:10" x14ac:dyDescent="0.35">
      <c r="A1786" s="31">
        <v>45189.818055555559</v>
      </c>
      <c r="B1786" s="32">
        <v>0.87004629629629626</v>
      </c>
      <c r="C1786" s="33" t="s">
        <v>14</v>
      </c>
      <c r="D1786" s="33" t="s">
        <v>16</v>
      </c>
      <c r="E1786" s="34">
        <v>476.64</v>
      </c>
      <c r="F1786" s="33">
        <v>1</v>
      </c>
      <c r="G1786" s="34">
        <v>476.64</v>
      </c>
      <c r="H1786" s="33" t="s">
        <v>21</v>
      </c>
      <c r="I1786" s="33" t="str">
        <f t="shared" si="54"/>
        <v>Low sales</v>
      </c>
      <c r="J1786" s="33" t="str">
        <f t="shared" si="55"/>
        <v>not eligible</v>
      </c>
    </row>
    <row r="1787" spans="1:10" x14ac:dyDescent="0.35">
      <c r="A1787" s="31">
        <v>45368.134027777778</v>
      </c>
      <c r="B1787" s="32">
        <v>0.69909722222222215</v>
      </c>
      <c r="C1787" s="33" t="s">
        <v>14</v>
      </c>
      <c r="D1787" s="33" t="s">
        <v>20</v>
      </c>
      <c r="E1787" s="34">
        <v>351.11</v>
      </c>
      <c r="F1787" s="33">
        <v>2</v>
      </c>
      <c r="G1787" s="34">
        <v>702.22</v>
      </c>
      <c r="H1787" s="33" t="s">
        <v>347</v>
      </c>
      <c r="I1787" s="33" t="str">
        <f t="shared" si="54"/>
        <v>Medium sales</v>
      </c>
      <c r="J1787" s="33" t="str">
        <f t="shared" si="55"/>
        <v>not eligible</v>
      </c>
    </row>
    <row r="1788" spans="1:10" x14ac:dyDescent="0.35">
      <c r="A1788" s="31">
        <v>44968.100694444445</v>
      </c>
      <c r="B1788" s="32">
        <v>4.148148148148148E-2</v>
      </c>
      <c r="C1788" s="33" t="s">
        <v>11</v>
      </c>
      <c r="D1788" s="33" t="s">
        <v>27</v>
      </c>
      <c r="E1788" s="34">
        <v>459.19</v>
      </c>
      <c r="F1788" s="33">
        <v>4</v>
      </c>
      <c r="G1788" s="34">
        <v>1836.76</v>
      </c>
      <c r="H1788" s="33" t="s">
        <v>190</v>
      </c>
      <c r="I1788" s="33" t="str">
        <f t="shared" si="54"/>
        <v>High sales</v>
      </c>
      <c r="J1788" s="33" t="str">
        <f t="shared" si="55"/>
        <v>eligible</v>
      </c>
    </row>
    <row r="1789" spans="1:10" x14ac:dyDescent="0.35">
      <c r="A1789" s="31">
        <v>45301.384027777778</v>
      </c>
      <c r="B1789" s="32">
        <v>0.72982638888888884</v>
      </c>
      <c r="C1789" s="33" t="s">
        <v>14</v>
      </c>
      <c r="D1789" s="33" t="s">
        <v>9</v>
      </c>
      <c r="E1789" s="34">
        <v>417.78</v>
      </c>
      <c r="F1789" s="33">
        <v>3</v>
      </c>
      <c r="G1789" s="34">
        <v>1253.3399999999999</v>
      </c>
      <c r="H1789" s="33" t="s">
        <v>213</v>
      </c>
      <c r="I1789" s="33" t="str">
        <f t="shared" si="54"/>
        <v>Medium sales</v>
      </c>
      <c r="J1789" s="33" t="str">
        <f t="shared" si="55"/>
        <v>not eligible</v>
      </c>
    </row>
    <row r="1790" spans="1:10" x14ac:dyDescent="0.35">
      <c r="A1790" s="31">
        <v>44998.637499999997</v>
      </c>
      <c r="B1790" s="32">
        <v>0.69307870370370372</v>
      </c>
      <c r="C1790" s="33" t="s">
        <v>8</v>
      </c>
      <c r="D1790" s="33" t="s">
        <v>27</v>
      </c>
      <c r="E1790" s="34">
        <v>200.44</v>
      </c>
      <c r="F1790" s="33">
        <v>2</v>
      </c>
      <c r="G1790" s="34">
        <v>400.88</v>
      </c>
      <c r="H1790" s="33" t="s">
        <v>76</v>
      </c>
      <c r="I1790" s="33" t="str">
        <f t="shared" si="54"/>
        <v>Low sales</v>
      </c>
      <c r="J1790" s="33" t="str">
        <f t="shared" si="55"/>
        <v>not eligible</v>
      </c>
    </row>
    <row r="1791" spans="1:10" x14ac:dyDescent="0.35">
      <c r="A1791" s="31">
        <v>45191.249305555553</v>
      </c>
      <c r="B1791" s="32">
        <v>0.54820601851851858</v>
      </c>
      <c r="C1791" s="33" t="s">
        <v>11</v>
      </c>
      <c r="D1791" s="33" t="s">
        <v>27</v>
      </c>
      <c r="E1791" s="34">
        <v>351.83</v>
      </c>
      <c r="F1791" s="33">
        <v>4</v>
      </c>
      <c r="G1791" s="34">
        <v>1407.32</v>
      </c>
      <c r="H1791" s="33" t="s">
        <v>193</v>
      </c>
      <c r="I1791" s="33" t="str">
        <f t="shared" si="54"/>
        <v>Medium sales</v>
      </c>
      <c r="J1791" s="33" t="str">
        <f t="shared" si="55"/>
        <v>eligible</v>
      </c>
    </row>
    <row r="1792" spans="1:10" x14ac:dyDescent="0.35">
      <c r="A1792" s="31">
        <v>45518.464583333334</v>
      </c>
      <c r="B1792" s="32">
        <v>0.67623842592592587</v>
      </c>
      <c r="C1792" s="33" t="s">
        <v>14</v>
      </c>
      <c r="D1792" s="33" t="s">
        <v>27</v>
      </c>
      <c r="E1792" s="34">
        <v>409.26</v>
      </c>
      <c r="F1792" s="33">
        <v>4</v>
      </c>
      <c r="G1792" s="34">
        <v>1637.04</v>
      </c>
      <c r="H1792" s="33" t="s">
        <v>355</v>
      </c>
      <c r="I1792" s="33" t="str">
        <f t="shared" si="54"/>
        <v>High sales</v>
      </c>
      <c r="J1792" s="33" t="str">
        <f t="shared" si="55"/>
        <v>not eligible</v>
      </c>
    </row>
    <row r="1793" spans="1:10" x14ac:dyDescent="0.35">
      <c r="A1793" s="31">
        <v>45231.365972222222</v>
      </c>
      <c r="B1793" s="32">
        <v>0.4816319444444444</v>
      </c>
      <c r="C1793" s="33" t="s">
        <v>14</v>
      </c>
      <c r="D1793" s="33" t="s">
        <v>20</v>
      </c>
      <c r="E1793" s="34">
        <v>419.76</v>
      </c>
      <c r="F1793" s="33">
        <v>1</v>
      </c>
      <c r="G1793" s="34">
        <v>419.76</v>
      </c>
      <c r="H1793" s="33" t="s">
        <v>172</v>
      </c>
      <c r="I1793" s="33" t="str">
        <f t="shared" si="54"/>
        <v>Low sales</v>
      </c>
      <c r="J1793" s="33" t="str">
        <f t="shared" si="55"/>
        <v>not eligible</v>
      </c>
    </row>
    <row r="1794" spans="1:10" x14ac:dyDescent="0.35">
      <c r="A1794" s="31">
        <v>45631.245138888888</v>
      </c>
      <c r="B1794" s="32">
        <v>0.56708333333333327</v>
      </c>
      <c r="C1794" s="33" t="s">
        <v>11</v>
      </c>
      <c r="D1794" s="33" t="s">
        <v>27</v>
      </c>
      <c r="E1794" s="34">
        <v>394.33</v>
      </c>
      <c r="F1794" s="33">
        <v>1</v>
      </c>
      <c r="G1794" s="34">
        <v>394.33</v>
      </c>
      <c r="H1794" s="33" t="s">
        <v>77</v>
      </c>
      <c r="I1794" s="33" t="str">
        <f t="shared" si="54"/>
        <v>Low sales</v>
      </c>
      <c r="J1794" s="33" t="str">
        <f t="shared" si="55"/>
        <v>not eligible</v>
      </c>
    </row>
    <row r="1795" spans="1:10" x14ac:dyDescent="0.35">
      <c r="A1795" s="31">
        <v>45485.288194444445</v>
      </c>
      <c r="B1795" s="32">
        <v>0.42601851851851852</v>
      </c>
      <c r="C1795" s="33" t="s">
        <v>11</v>
      </c>
      <c r="D1795" s="33" t="s">
        <v>9</v>
      </c>
      <c r="E1795" s="34">
        <v>480.24</v>
      </c>
      <c r="F1795" s="33">
        <v>5</v>
      </c>
      <c r="G1795" s="34">
        <v>2401.1999999999998</v>
      </c>
      <c r="H1795" s="33" t="s">
        <v>177</v>
      </c>
      <c r="I1795" s="33" t="str">
        <f t="shared" ref="I1795:I1858" si="56">IF(G1795&gt;1500,"High sales", IF(G1795&gt;500,"Medium sales", "Low sales"))</f>
        <v>High sales</v>
      </c>
      <c r="J1795" s="33" t="str">
        <f t="shared" ref="J1795:J1858" si="57">IF(AND(G1795&gt;1000,C1795="Premium"), "eligible", "not eligible")</f>
        <v>eligible</v>
      </c>
    </row>
    <row r="1796" spans="1:10" x14ac:dyDescent="0.35">
      <c r="A1796" s="31">
        <v>45100.712500000001</v>
      </c>
      <c r="B1796" s="32">
        <v>0.40530092592592593</v>
      </c>
      <c r="C1796" s="33" t="s">
        <v>11</v>
      </c>
      <c r="D1796" s="33" t="s">
        <v>16</v>
      </c>
      <c r="E1796" s="34">
        <v>152.21</v>
      </c>
      <c r="F1796" s="33">
        <v>4</v>
      </c>
      <c r="G1796" s="34">
        <v>608.84</v>
      </c>
      <c r="H1796" s="33" t="s">
        <v>36</v>
      </c>
      <c r="I1796" s="33" t="str">
        <f t="shared" si="56"/>
        <v>Medium sales</v>
      </c>
      <c r="J1796" s="33" t="str">
        <f t="shared" si="57"/>
        <v>not eligible</v>
      </c>
    </row>
    <row r="1797" spans="1:10" x14ac:dyDescent="0.35">
      <c r="A1797" s="31">
        <v>45527.690972222219</v>
      </c>
      <c r="B1797" s="32">
        <v>0.20390046296296296</v>
      </c>
      <c r="C1797" s="33" t="s">
        <v>14</v>
      </c>
      <c r="D1797" s="33" t="s">
        <v>20</v>
      </c>
      <c r="E1797" s="34">
        <v>257.68</v>
      </c>
      <c r="F1797" s="33">
        <v>2</v>
      </c>
      <c r="G1797" s="34">
        <v>515.36</v>
      </c>
      <c r="H1797" s="33" t="s">
        <v>100</v>
      </c>
      <c r="I1797" s="33" t="str">
        <f t="shared" si="56"/>
        <v>Medium sales</v>
      </c>
      <c r="J1797" s="33" t="str">
        <f t="shared" si="57"/>
        <v>not eligible</v>
      </c>
    </row>
    <row r="1798" spans="1:10" x14ac:dyDescent="0.35">
      <c r="A1798" s="31">
        <v>45497.719444444447</v>
      </c>
      <c r="B1798" s="32">
        <v>0.79076388888888882</v>
      </c>
      <c r="C1798" s="33" t="s">
        <v>14</v>
      </c>
      <c r="D1798" s="33" t="s">
        <v>27</v>
      </c>
      <c r="E1798" s="34">
        <v>33.57</v>
      </c>
      <c r="F1798" s="33">
        <v>4</v>
      </c>
      <c r="G1798" s="34">
        <v>134.28</v>
      </c>
      <c r="H1798" s="33" t="s">
        <v>121</v>
      </c>
      <c r="I1798" s="33" t="str">
        <f t="shared" si="56"/>
        <v>Low sales</v>
      </c>
      <c r="J1798" s="33" t="str">
        <f t="shared" si="57"/>
        <v>not eligible</v>
      </c>
    </row>
    <row r="1799" spans="1:10" x14ac:dyDescent="0.35">
      <c r="A1799" s="31">
        <v>45004.788194444445</v>
      </c>
      <c r="B1799" s="32">
        <v>0.98545138888888895</v>
      </c>
      <c r="C1799" s="33" t="s">
        <v>8</v>
      </c>
      <c r="D1799" s="33" t="s">
        <v>20</v>
      </c>
      <c r="E1799" s="34">
        <v>56.16</v>
      </c>
      <c r="F1799" s="33">
        <v>1</v>
      </c>
      <c r="G1799" s="34">
        <v>56.16</v>
      </c>
      <c r="H1799" s="33" t="s">
        <v>249</v>
      </c>
      <c r="I1799" s="33" t="str">
        <f t="shared" si="56"/>
        <v>Low sales</v>
      </c>
      <c r="J1799" s="33" t="str">
        <f t="shared" si="57"/>
        <v>not eligible</v>
      </c>
    </row>
    <row r="1800" spans="1:10" x14ac:dyDescent="0.35">
      <c r="A1800" s="31">
        <v>44986.434027777781</v>
      </c>
      <c r="B1800" s="32">
        <v>0.48934027777777778</v>
      </c>
      <c r="C1800" s="33" t="s">
        <v>11</v>
      </c>
      <c r="D1800" s="33" t="s">
        <v>20</v>
      </c>
      <c r="E1800" s="34">
        <v>366.98</v>
      </c>
      <c r="F1800" s="33">
        <v>5</v>
      </c>
      <c r="G1800" s="34">
        <v>1834.9</v>
      </c>
      <c r="H1800" s="33" t="s">
        <v>327</v>
      </c>
      <c r="I1800" s="33" t="str">
        <f t="shared" si="56"/>
        <v>High sales</v>
      </c>
      <c r="J1800" s="33" t="str">
        <f t="shared" si="57"/>
        <v>eligible</v>
      </c>
    </row>
    <row r="1801" spans="1:10" x14ac:dyDescent="0.35">
      <c r="A1801" s="31">
        <v>45348.090277777781</v>
      </c>
      <c r="B1801" s="32">
        <v>0.85024305555555557</v>
      </c>
      <c r="C1801" s="33" t="s">
        <v>11</v>
      </c>
      <c r="D1801" s="33" t="s">
        <v>9</v>
      </c>
      <c r="E1801" s="34">
        <v>95.53</v>
      </c>
      <c r="F1801" s="33">
        <v>4</v>
      </c>
      <c r="G1801" s="34">
        <v>382.12</v>
      </c>
      <c r="H1801" s="33" t="s">
        <v>117</v>
      </c>
      <c r="I1801" s="33" t="str">
        <f t="shared" si="56"/>
        <v>Low sales</v>
      </c>
      <c r="J1801" s="33" t="str">
        <f t="shared" si="57"/>
        <v>not eligible</v>
      </c>
    </row>
    <row r="1802" spans="1:10" x14ac:dyDescent="0.35">
      <c r="A1802" s="31">
        <v>45062.495138888888</v>
      </c>
      <c r="B1802" s="32">
        <v>0.10914351851851851</v>
      </c>
      <c r="C1802" s="33" t="s">
        <v>11</v>
      </c>
      <c r="D1802" s="33" t="s">
        <v>12</v>
      </c>
      <c r="E1802" s="34">
        <v>73.59</v>
      </c>
      <c r="F1802" s="33">
        <v>4</v>
      </c>
      <c r="G1802" s="34">
        <v>294.36</v>
      </c>
      <c r="H1802" s="33" t="s">
        <v>56</v>
      </c>
      <c r="I1802" s="33" t="str">
        <f t="shared" si="56"/>
        <v>Low sales</v>
      </c>
      <c r="J1802" s="33" t="str">
        <f t="shared" si="57"/>
        <v>not eligible</v>
      </c>
    </row>
    <row r="1803" spans="1:10" x14ac:dyDescent="0.35">
      <c r="A1803" s="31">
        <v>45480.92083333333</v>
      </c>
      <c r="B1803" s="32">
        <v>0.31458333333333333</v>
      </c>
      <c r="C1803" s="33" t="s">
        <v>8</v>
      </c>
      <c r="D1803" s="33" t="s">
        <v>27</v>
      </c>
      <c r="E1803" s="34">
        <v>289.74</v>
      </c>
      <c r="F1803" s="33">
        <v>5</v>
      </c>
      <c r="G1803" s="34">
        <v>1448.7</v>
      </c>
      <c r="H1803" s="33" t="s">
        <v>281</v>
      </c>
      <c r="I1803" s="33" t="str">
        <f t="shared" si="56"/>
        <v>Medium sales</v>
      </c>
      <c r="J1803" s="33" t="str">
        <f t="shared" si="57"/>
        <v>not eligible</v>
      </c>
    </row>
    <row r="1804" spans="1:10" x14ac:dyDescent="0.35">
      <c r="A1804" s="31">
        <v>45537.370833333334</v>
      </c>
      <c r="B1804" s="32">
        <v>0.45490740740740737</v>
      </c>
      <c r="C1804" s="33" t="s">
        <v>11</v>
      </c>
      <c r="D1804" s="33" t="s">
        <v>16</v>
      </c>
      <c r="E1804" s="34">
        <v>494.38</v>
      </c>
      <c r="F1804" s="33">
        <v>5</v>
      </c>
      <c r="G1804" s="34">
        <v>2471.9</v>
      </c>
      <c r="H1804" s="33" t="s">
        <v>294</v>
      </c>
      <c r="I1804" s="33" t="str">
        <f t="shared" si="56"/>
        <v>High sales</v>
      </c>
      <c r="J1804" s="33" t="str">
        <f t="shared" si="57"/>
        <v>eligible</v>
      </c>
    </row>
    <row r="1805" spans="1:10" x14ac:dyDescent="0.35">
      <c r="A1805" s="31">
        <v>45648.061805555553</v>
      </c>
      <c r="B1805" s="32">
        <v>0.10494212962962964</v>
      </c>
      <c r="C1805" s="33" t="s">
        <v>11</v>
      </c>
      <c r="D1805" s="33" t="s">
        <v>27</v>
      </c>
      <c r="E1805" s="34">
        <v>38.39</v>
      </c>
      <c r="F1805" s="33">
        <v>4</v>
      </c>
      <c r="G1805" s="34">
        <v>153.56</v>
      </c>
      <c r="H1805" s="33" t="s">
        <v>31</v>
      </c>
      <c r="I1805" s="33" t="str">
        <f t="shared" si="56"/>
        <v>Low sales</v>
      </c>
      <c r="J1805" s="33" t="str">
        <f t="shared" si="57"/>
        <v>not eligible</v>
      </c>
    </row>
    <row r="1806" spans="1:10" x14ac:dyDescent="0.35">
      <c r="A1806" s="31">
        <v>45176.396527777775</v>
      </c>
      <c r="B1806" s="32">
        <v>0.19144675925925925</v>
      </c>
      <c r="C1806" s="33" t="s">
        <v>8</v>
      </c>
      <c r="D1806" s="33" t="s">
        <v>16</v>
      </c>
      <c r="E1806" s="34">
        <v>261.24</v>
      </c>
      <c r="F1806" s="33">
        <v>3</v>
      </c>
      <c r="G1806" s="34">
        <v>783.72</v>
      </c>
      <c r="H1806" s="33" t="s">
        <v>359</v>
      </c>
      <c r="I1806" s="33" t="str">
        <f t="shared" si="56"/>
        <v>Medium sales</v>
      </c>
      <c r="J1806" s="33" t="str">
        <f t="shared" si="57"/>
        <v>not eligible</v>
      </c>
    </row>
    <row r="1807" spans="1:10" x14ac:dyDescent="0.35">
      <c r="A1807" s="31">
        <v>45489.84097222222</v>
      </c>
      <c r="B1807" s="32">
        <v>0.83684027777777781</v>
      </c>
      <c r="C1807" s="33" t="s">
        <v>11</v>
      </c>
      <c r="D1807" s="33" t="s">
        <v>20</v>
      </c>
      <c r="E1807" s="34">
        <v>29.05</v>
      </c>
      <c r="F1807" s="33">
        <v>3</v>
      </c>
      <c r="G1807" s="34">
        <v>87.15</v>
      </c>
      <c r="H1807" s="33" t="s">
        <v>258</v>
      </c>
      <c r="I1807" s="33" t="str">
        <f t="shared" si="56"/>
        <v>Low sales</v>
      </c>
      <c r="J1807" s="33" t="str">
        <f t="shared" si="57"/>
        <v>not eligible</v>
      </c>
    </row>
    <row r="1808" spans="1:10" x14ac:dyDescent="0.35">
      <c r="A1808" s="31">
        <v>45196.53402777778</v>
      </c>
      <c r="B1808" s="32">
        <v>0.20114583333333333</v>
      </c>
      <c r="C1808" s="33" t="s">
        <v>11</v>
      </c>
      <c r="D1808" s="33" t="s">
        <v>12</v>
      </c>
      <c r="E1808" s="34">
        <v>39.17</v>
      </c>
      <c r="F1808" s="33">
        <v>3</v>
      </c>
      <c r="G1808" s="34">
        <v>117.51</v>
      </c>
      <c r="H1808" s="33" t="s">
        <v>276</v>
      </c>
      <c r="I1808" s="33" t="str">
        <f t="shared" si="56"/>
        <v>Low sales</v>
      </c>
      <c r="J1808" s="33" t="str">
        <f t="shared" si="57"/>
        <v>not eligible</v>
      </c>
    </row>
    <row r="1809" spans="1:10" x14ac:dyDescent="0.35">
      <c r="A1809" s="31">
        <v>45506.204861111109</v>
      </c>
      <c r="B1809" s="32">
        <v>0.50966435185185188</v>
      </c>
      <c r="C1809" s="33" t="s">
        <v>8</v>
      </c>
      <c r="D1809" s="33" t="s">
        <v>20</v>
      </c>
      <c r="E1809" s="34">
        <v>41.28</v>
      </c>
      <c r="F1809" s="33">
        <v>5</v>
      </c>
      <c r="G1809" s="34">
        <v>206.4</v>
      </c>
      <c r="H1809" s="33" t="s">
        <v>342</v>
      </c>
      <c r="I1809" s="33" t="str">
        <f t="shared" si="56"/>
        <v>Low sales</v>
      </c>
      <c r="J1809" s="33" t="str">
        <f t="shared" si="57"/>
        <v>not eligible</v>
      </c>
    </row>
    <row r="1810" spans="1:10" x14ac:dyDescent="0.35">
      <c r="A1810" s="31">
        <v>45080.689583333333</v>
      </c>
      <c r="B1810" s="32">
        <v>0.76049768518518512</v>
      </c>
      <c r="C1810" s="33" t="s">
        <v>11</v>
      </c>
      <c r="D1810" s="33" t="s">
        <v>27</v>
      </c>
      <c r="E1810" s="34">
        <v>291.31</v>
      </c>
      <c r="F1810" s="33">
        <v>5</v>
      </c>
      <c r="G1810" s="34">
        <v>1456.55</v>
      </c>
      <c r="H1810" s="33" t="s">
        <v>155</v>
      </c>
      <c r="I1810" s="33" t="str">
        <f t="shared" si="56"/>
        <v>Medium sales</v>
      </c>
      <c r="J1810" s="33" t="str">
        <f t="shared" si="57"/>
        <v>eligible</v>
      </c>
    </row>
    <row r="1811" spans="1:10" x14ac:dyDescent="0.35">
      <c r="A1811" s="31">
        <v>45225.32708333333</v>
      </c>
      <c r="B1811" s="32">
        <v>0.6754282407407407</v>
      </c>
      <c r="C1811" s="33" t="s">
        <v>14</v>
      </c>
      <c r="D1811" s="33" t="s">
        <v>20</v>
      </c>
      <c r="E1811" s="34">
        <v>246.79</v>
      </c>
      <c r="F1811" s="33">
        <v>5</v>
      </c>
      <c r="G1811" s="34">
        <v>1233.95</v>
      </c>
      <c r="H1811" s="33" t="s">
        <v>249</v>
      </c>
      <c r="I1811" s="33" t="str">
        <f t="shared" si="56"/>
        <v>Medium sales</v>
      </c>
      <c r="J1811" s="33" t="str">
        <f t="shared" si="57"/>
        <v>not eligible</v>
      </c>
    </row>
    <row r="1812" spans="1:10" x14ac:dyDescent="0.35">
      <c r="A1812" s="31">
        <v>45354.186111111114</v>
      </c>
      <c r="B1812" s="32">
        <v>0.72803240740740749</v>
      </c>
      <c r="C1812" s="33" t="s">
        <v>8</v>
      </c>
      <c r="D1812" s="33" t="s">
        <v>9</v>
      </c>
      <c r="E1812" s="34">
        <v>107.19</v>
      </c>
      <c r="F1812" s="33">
        <v>1</v>
      </c>
      <c r="G1812" s="34">
        <v>107.19</v>
      </c>
      <c r="H1812" s="33" t="s">
        <v>100</v>
      </c>
      <c r="I1812" s="33" t="str">
        <f t="shared" si="56"/>
        <v>Low sales</v>
      </c>
      <c r="J1812" s="33" t="str">
        <f t="shared" si="57"/>
        <v>not eligible</v>
      </c>
    </row>
    <row r="1813" spans="1:10" x14ac:dyDescent="0.35">
      <c r="A1813" s="31">
        <v>45334.381249999999</v>
      </c>
      <c r="B1813" s="32">
        <v>0.1338310185185185</v>
      </c>
      <c r="C1813" s="33" t="s">
        <v>11</v>
      </c>
      <c r="D1813" s="33" t="s">
        <v>9</v>
      </c>
      <c r="E1813" s="34">
        <v>168.04</v>
      </c>
      <c r="F1813" s="33">
        <v>2</v>
      </c>
      <c r="G1813" s="34">
        <v>336.08</v>
      </c>
      <c r="H1813" s="33" t="s">
        <v>165</v>
      </c>
      <c r="I1813" s="33" t="str">
        <f t="shared" si="56"/>
        <v>Low sales</v>
      </c>
      <c r="J1813" s="33" t="str">
        <f t="shared" si="57"/>
        <v>not eligible</v>
      </c>
    </row>
    <row r="1814" spans="1:10" x14ac:dyDescent="0.35">
      <c r="A1814" s="31">
        <v>45226.54583333333</v>
      </c>
      <c r="B1814" s="32">
        <v>0.77770833333333333</v>
      </c>
      <c r="C1814" s="33" t="s">
        <v>14</v>
      </c>
      <c r="D1814" s="33" t="s">
        <v>20</v>
      </c>
      <c r="E1814" s="34">
        <v>82.33</v>
      </c>
      <c r="F1814" s="33">
        <v>2</v>
      </c>
      <c r="G1814" s="34">
        <v>164.66</v>
      </c>
      <c r="H1814" s="33" t="s">
        <v>37</v>
      </c>
      <c r="I1814" s="33" t="str">
        <f t="shared" si="56"/>
        <v>Low sales</v>
      </c>
      <c r="J1814" s="33" t="str">
        <f t="shared" si="57"/>
        <v>not eligible</v>
      </c>
    </row>
    <row r="1815" spans="1:10" x14ac:dyDescent="0.35">
      <c r="A1815" s="31">
        <v>45662.334722222222</v>
      </c>
      <c r="B1815" s="32">
        <v>9.0069444444444438E-2</v>
      </c>
      <c r="C1815" s="33" t="s">
        <v>14</v>
      </c>
      <c r="D1815" s="33" t="s">
        <v>16</v>
      </c>
      <c r="E1815" s="34">
        <v>495.71</v>
      </c>
      <c r="F1815" s="33">
        <v>1</v>
      </c>
      <c r="G1815" s="34">
        <v>495.71</v>
      </c>
      <c r="H1815" s="33" t="s">
        <v>176</v>
      </c>
      <c r="I1815" s="33" t="str">
        <f t="shared" si="56"/>
        <v>Low sales</v>
      </c>
      <c r="J1815" s="33" t="str">
        <f t="shared" si="57"/>
        <v>not eligible</v>
      </c>
    </row>
    <row r="1816" spans="1:10" x14ac:dyDescent="0.35">
      <c r="A1816" s="31">
        <v>45208.977777777778</v>
      </c>
      <c r="B1816" s="32">
        <v>0.36230324074074072</v>
      </c>
      <c r="C1816" s="33" t="s">
        <v>11</v>
      </c>
      <c r="D1816" s="33" t="s">
        <v>16</v>
      </c>
      <c r="E1816" s="34">
        <v>213.24</v>
      </c>
      <c r="F1816" s="33">
        <v>5</v>
      </c>
      <c r="G1816" s="34">
        <v>1066.2</v>
      </c>
      <c r="H1816" s="33" t="s">
        <v>245</v>
      </c>
      <c r="I1816" s="33" t="str">
        <f t="shared" si="56"/>
        <v>Medium sales</v>
      </c>
      <c r="J1816" s="33" t="str">
        <f t="shared" si="57"/>
        <v>eligible</v>
      </c>
    </row>
    <row r="1817" spans="1:10" x14ac:dyDescent="0.35">
      <c r="A1817" s="31">
        <v>45630.064583333333</v>
      </c>
      <c r="B1817" s="32">
        <v>0.81098379629629624</v>
      </c>
      <c r="C1817" s="33" t="s">
        <v>11</v>
      </c>
      <c r="D1817" s="33" t="s">
        <v>12</v>
      </c>
      <c r="E1817" s="34">
        <v>414.26</v>
      </c>
      <c r="F1817" s="33">
        <v>4</v>
      </c>
      <c r="G1817" s="34">
        <v>1657.04</v>
      </c>
      <c r="H1817" s="33" t="s">
        <v>259</v>
      </c>
      <c r="I1817" s="33" t="str">
        <f t="shared" si="56"/>
        <v>High sales</v>
      </c>
      <c r="J1817" s="33" t="str">
        <f t="shared" si="57"/>
        <v>eligible</v>
      </c>
    </row>
    <row r="1818" spans="1:10" x14ac:dyDescent="0.35">
      <c r="A1818" s="31">
        <v>45131.590277777781</v>
      </c>
      <c r="B1818" s="32">
        <v>0.21763888888888891</v>
      </c>
      <c r="C1818" s="33" t="s">
        <v>8</v>
      </c>
      <c r="D1818" s="33" t="s">
        <v>20</v>
      </c>
      <c r="E1818" s="34">
        <v>51.07</v>
      </c>
      <c r="F1818" s="33">
        <v>4</v>
      </c>
      <c r="G1818" s="34">
        <v>204.28</v>
      </c>
      <c r="H1818" s="33" t="s">
        <v>69</v>
      </c>
      <c r="I1818" s="33" t="str">
        <f t="shared" si="56"/>
        <v>Low sales</v>
      </c>
      <c r="J1818" s="33" t="str">
        <f t="shared" si="57"/>
        <v>not eligible</v>
      </c>
    </row>
    <row r="1819" spans="1:10" x14ac:dyDescent="0.35">
      <c r="A1819" s="31">
        <v>45263.966666666667</v>
      </c>
      <c r="B1819" s="32">
        <v>0.98893518518518519</v>
      </c>
      <c r="C1819" s="33" t="s">
        <v>8</v>
      </c>
      <c r="D1819" s="33" t="s">
        <v>16</v>
      </c>
      <c r="E1819" s="34">
        <v>105.38</v>
      </c>
      <c r="F1819" s="33">
        <v>3</v>
      </c>
      <c r="G1819" s="34">
        <v>316.14</v>
      </c>
      <c r="H1819" s="33" t="s">
        <v>234</v>
      </c>
      <c r="I1819" s="33" t="str">
        <f t="shared" si="56"/>
        <v>Low sales</v>
      </c>
      <c r="J1819" s="33" t="str">
        <f t="shared" si="57"/>
        <v>not eligible</v>
      </c>
    </row>
    <row r="1820" spans="1:10" x14ac:dyDescent="0.35">
      <c r="A1820" s="31">
        <v>45202.775694444441</v>
      </c>
      <c r="B1820" s="32">
        <v>0.69163194444444442</v>
      </c>
      <c r="C1820" s="33" t="s">
        <v>11</v>
      </c>
      <c r="D1820" s="33" t="s">
        <v>27</v>
      </c>
      <c r="E1820" s="34">
        <v>451.83</v>
      </c>
      <c r="F1820" s="33">
        <v>2</v>
      </c>
      <c r="G1820" s="34">
        <v>903.66</v>
      </c>
      <c r="H1820" s="33" t="s">
        <v>266</v>
      </c>
      <c r="I1820" s="33" t="str">
        <f t="shared" si="56"/>
        <v>Medium sales</v>
      </c>
      <c r="J1820" s="33" t="str">
        <f t="shared" si="57"/>
        <v>not eligible</v>
      </c>
    </row>
    <row r="1821" spans="1:10" x14ac:dyDescent="0.35">
      <c r="A1821" s="31">
        <v>45569.554166666669</v>
      </c>
      <c r="B1821" s="32">
        <v>0.87087962962962961</v>
      </c>
      <c r="C1821" s="33" t="s">
        <v>11</v>
      </c>
      <c r="D1821" s="33" t="s">
        <v>27</v>
      </c>
      <c r="E1821" s="34">
        <v>59.25</v>
      </c>
      <c r="F1821" s="33">
        <v>1</v>
      </c>
      <c r="G1821" s="34">
        <v>59.25</v>
      </c>
      <c r="H1821" s="33" t="s">
        <v>148</v>
      </c>
      <c r="I1821" s="33" t="str">
        <f t="shared" si="56"/>
        <v>Low sales</v>
      </c>
      <c r="J1821" s="33" t="str">
        <f t="shared" si="57"/>
        <v>not eligible</v>
      </c>
    </row>
    <row r="1822" spans="1:10" x14ac:dyDescent="0.35">
      <c r="A1822" s="31">
        <v>45030.481944444444</v>
      </c>
      <c r="B1822" s="32">
        <v>0.7028240740740741</v>
      </c>
      <c r="C1822" s="33" t="s">
        <v>14</v>
      </c>
      <c r="D1822" s="33" t="s">
        <v>9</v>
      </c>
      <c r="E1822" s="34">
        <v>432.69</v>
      </c>
      <c r="F1822" s="33">
        <v>3</v>
      </c>
      <c r="G1822" s="34">
        <v>1298.07</v>
      </c>
      <c r="H1822" s="33" t="s">
        <v>211</v>
      </c>
      <c r="I1822" s="33" t="str">
        <f t="shared" si="56"/>
        <v>Medium sales</v>
      </c>
      <c r="J1822" s="33" t="str">
        <f t="shared" si="57"/>
        <v>not eligible</v>
      </c>
    </row>
    <row r="1823" spans="1:10" x14ac:dyDescent="0.35">
      <c r="A1823" s="31">
        <v>45346.970138888886</v>
      </c>
      <c r="B1823" s="32">
        <v>0.64656250000000004</v>
      </c>
      <c r="C1823" s="33" t="s">
        <v>11</v>
      </c>
      <c r="D1823" s="33" t="s">
        <v>16</v>
      </c>
      <c r="E1823" s="34">
        <v>289.73</v>
      </c>
      <c r="F1823" s="33">
        <v>2</v>
      </c>
      <c r="G1823" s="34">
        <v>579.46</v>
      </c>
      <c r="H1823" s="33" t="s">
        <v>290</v>
      </c>
      <c r="I1823" s="33" t="str">
        <f t="shared" si="56"/>
        <v>Medium sales</v>
      </c>
      <c r="J1823" s="33" t="str">
        <f t="shared" si="57"/>
        <v>not eligible</v>
      </c>
    </row>
    <row r="1824" spans="1:10" x14ac:dyDescent="0.35">
      <c r="A1824" s="31">
        <v>45203.85833333333</v>
      </c>
      <c r="B1824" s="32">
        <v>0.7279282407407407</v>
      </c>
      <c r="C1824" s="33" t="s">
        <v>11</v>
      </c>
      <c r="D1824" s="33" t="s">
        <v>16</v>
      </c>
      <c r="E1824" s="34">
        <v>390.64</v>
      </c>
      <c r="F1824" s="33">
        <v>5</v>
      </c>
      <c r="G1824" s="34">
        <v>1953.2</v>
      </c>
      <c r="H1824" s="33" t="s">
        <v>130</v>
      </c>
      <c r="I1824" s="33" t="str">
        <f t="shared" si="56"/>
        <v>High sales</v>
      </c>
      <c r="J1824" s="33" t="str">
        <f t="shared" si="57"/>
        <v>eligible</v>
      </c>
    </row>
    <row r="1825" spans="1:10" x14ac:dyDescent="0.35">
      <c r="A1825" s="31">
        <v>44977.1</v>
      </c>
      <c r="B1825" s="32">
        <v>0.96854166666666675</v>
      </c>
      <c r="C1825" s="33" t="s">
        <v>14</v>
      </c>
      <c r="D1825" s="33" t="s">
        <v>12</v>
      </c>
      <c r="E1825" s="34">
        <v>251.04</v>
      </c>
      <c r="F1825" s="33">
        <v>4</v>
      </c>
      <c r="G1825" s="34">
        <v>1004.16</v>
      </c>
      <c r="H1825" s="33" t="s">
        <v>404</v>
      </c>
      <c r="I1825" s="33" t="str">
        <f t="shared" si="56"/>
        <v>Medium sales</v>
      </c>
      <c r="J1825" s="33" t="str">
        <f t="shared" si="57"/>
        <v>not eligible</v>
      </c>
    </row>
    <row r="1826" spans="1:10" x14ac:dyDescent="0.35">
      <c r="A1826" s="31">
        <v>45279.856944444444</v>
      </c>
      <c r="B1826" s="32">
        <v>6.4849537037037039E-2</v>
      </c>
      <c r="C1826" s="33" t="s">
        <v>11</v>
      </c>
      <c r="D1826" s="33" t="s">
        <v>9</v>
      </c>
      <c r="E1826" s="34">
        <v>214.86</v>
      </c>
      <c r="F1826" s="33">
        <v>3</v>
      </c>
      <c r="G1826" s="34">
        <v>644.58000000000004</v>
      </c>
      <c r="H1826" s="33" t="s">
        <v>263</v>
      </c>
      <c r="I1826" s="33" t="str">
        <f t="shared" si="56"/>
        <v>Medium sales</v>
      </c>
      <c r="J1826" s="33" t="str">
        <f t="shared" si="57"/>
        <v>not eligible</v>
      </c>
    </row>
    <row r="1827" spans="1:10" x14ac:dyDescent="0.35">
      <c r="A1827" s="31">
        <v>45646.754861111112</v>
      </c>
      <c r="B1827" s="32">
        <v>0.7947685185185186</v>
      </c>
      <c r="C1827" s="33" t="s">
        <v>8</v>
      </c>
      <c r="D1827" s="33" t="s">
        <v>16</v>
      </c>
      <c r="E1827" s="34">
        <v>433.34</v>
      </c>
      <c r="F1827" s="33">
        <v>2</v>
      </c>
      <c r="G1827" s="34">
        <v>866.68</v>
      </c>
      <c r="H1827" s="33" t="s">
        <v>373</v>
      </c>
      <c r="I1827" s="33" t="str">
        <f t="shared" si="56"/>
        <v>Medium sales</v>
      </c>
      <c r="J1827" s="33" t="str">
        <f t="shared" si="57"/>
        <v>not eligible</v>
      </c>
    </row>
    <row r="1828" spans="1:10" x14ac:dyDescent="0.35">
      <c r="A1828" s="31">
        <v>45122.025694444441</v>
      </c>
      <c r="B1828" s="32">
        <v>0.81841435185185185</v>
      </c>
      <c r="C1828" s="33" t="s">
        <v>11</v>
      </c>
      <c r="D1828" s="33" t="s">
        <v>12</v>
      </c>
      <c r="E1828" s="34">
        <v>244.74</v>
      </c>
      <c r="F1828" s="33">
        <v>3</v>
      </c>
      <c r="G1828" s="34">
        <v>734.22</v>
      </c>
      <c r="H1828" s="33" t="s">
        <v>38</v>
      </c>
      <c r="I1828" s="33" t="str">
        <f t="shared" si="56"/>
        <v>Medium sales</v>
      </c>
      <c r="J1828" s="33" t="str">
        <f t="shared" si="57"/>
        <v>not eligible</v>
      </c>
    </row>
    <row r="1829" spans="1:10" x14ac:dyDescent="0.35">
      <c r="A1829" s="31">
        <v>45646.725694444445</v>
      </c>
      <c r="B1829" s="32">
        <v>0.53033564814814815</v>
      </c>
      <c r="C1829" s="33" t="s">
        <v>8</v>
      </c>
      <c r="D1829" s="33" t="s">
        <v>27</v>
      </c>
      <c r="E1829" s="34">
        <v>37.04</v>
      </c>
      <c r="F1829" s="33">
        <v>5</v>
      </c>
      <c r="G1829" s="34">
        <v>185.2</v>
      </c>
      <c r="H1829" s="33" t="s">
        <v>188</v>
      </c>
      <c r="I1829" s="33" t="str">
        <f t="shared" si="56"/>
        <v>Low sales</v>
      </c>
      <c r="J1829" s="33" t="str">
        <f t="shared" si="57"/>
        <v>not eligible</v>
      </c>
    </row>
    <row r="1830" spans="1:10" x14ac:dyDescent="0.35">
      <c r="A1830" s="31">
        <v>44992.826388888891</v>
      </c>
      <c r="B1830" s="32">
        <v>0.33807870370370369</v>
      </c>
      <c r="C1830" s="33" t="s">
        <v>11</v>
      </c>
      <c r="D1830" s="33" t="s">
        <v>16</v>
      </c>
      <c r="E1830" s="34">
        <v>134.51</v>
      </c>
      <c r="F1830" s="33">
        <v>3</v>
      </c>
      <c r="G1830" s="34">
        <v>403.53</v>
      </c>
      <c r="H1830" s="33" t="s">
        <v>86</v>
      </c>
      <c r="I1830" s="33" t="str">
        <f t="shared" si="56"/>
        <v>Low sales</v>
      </c>
      <c r="J1830" s="33" t="str">
        <f t="shared" si="57"/>
        <v>not eligible</v>
      </c>
    </row>
    <row r="1831" spans="1:10" x14ac:dyDescent="0.35">
      <c r="A1831" s="31">
        <v>45035.461805555555</v>
      </c>
      <c r="B1831" s="32">
        <v>0.90165509259259258</v>
      </c>
      <c r="C1831" s="33" t="s">
        <v>8</v>
      </c>
      <c r="D1831" s="33" t="s">
        <v>9</v>
      </c>
      <c r="E1831" s="34">
        <v>216.35</v>
      </c>
      <c r="F1831" s="33">
        <v>2</v>
      </c>
      <c r="G1831" s="34">
        <v>432.7</v>
      </c>
      <c r="H1831" s="33" t="s">
        <v>32</v>
      </c>
      <c r="I1831" s="33" t="str">
        <f t="shared" si="56"/>
        <v>Low sales</v>
      </c>
      <c r="J1831" s="33" t="str">
        <f t="shared" si="57"/>
        <v>not eligible</v>
      </c>
    </row>
    <row r="1832" spans="1:10" x14ac:dyDescent="0.35">
      <c r="A1832" s="31">
        <v>45349.9375</v>
      </c>
      <c r="B1832" s="32">
        <v>9.0069444444444438E-2</v>
      </c>
      <c r="C1832" s="33" t="s">
        <v>8</v>
      </c>
      <c r="D1832" s="33" t="s">
        <v>16</v>
      </c>
      <c r="E1832" s="34">
        <v>342.13</v>
      </c>
      <c r="F1832" s="33">
        <v>4</v>
      </c>
      <c r="G1832" s="34">
        <v>1368.52</v>
      </c>
      <c r="H1832" s="33" t="s">
        <v>254</v>
      </c>
      <c r="I1832" s="33" t="str">
        <f t="shared" si="56"/>
        <v>Medium sales</v>
      </c>
      <c r="J1832" s="33" t="str">
        <f t="shared" si="57"/>
        <v>not eligible</v>
      </c>
    </row>
    <row r="1833" spans="1:10" x14ac:dyDescent="0.35">
      <c r="A1833" s="31">
        <v>45543.832638888889</v>
      </c>
      <c r="B1833" s="32">
        <v>0.86203703703703705</v>
      </c>
      <c r="C1833" s="33" t="s">
        <v>11</v>
      </c>
      <c r="D1833" s="33" t="s">
        <v>12</v>
      </c>
      <c r="E1833" s="34">
        <v>403.46</v>
      </c>
      <c r="F1833" s="33">
        <v>1</v>
      </c>
      <c r="G1833" s="34">
        <v>403.46</v>
      </c>
      <c r="H1833" s="33" t="s">
        <v>290</v>
      </c>
      <c r="I1833" s="33" t="str">
        <f t="shared" si="56"/>
        <v>Low sales</v>
      </c>
      <c r="J1833" s="33" t="str">
        <f t="shared" si="57"/>
        <v>not eligible</v>
      </c>
    </row>
    <row r="1834" spans="1:10" x14ac:dyDescent="0.35">
      <c r="A1834" s="31">
        <v>45573.70208333333</v>
      </c>
      <c r="B1834" s="32">
        <v>0.44847222222222222</v>
      </c>
      <c r="C1834" s="33" t="s">
        <v>8</v>
      </c>
      <c r="D1834" s="33" t="s">
        <v>9</v>
      </c>
      <c r="E1834" s="34">
        <v>366.22</v>
      </c>
      <c r="F1834" s="33">
        <v>2</v>
      </c>
      <c r="G1834" s="34">
        <v>732.44</v>
      </c>
      <c r="H1834" s="33" t="s">
        <v>198</v>
      </c>
      <c r="I1834" s="33" t="str">
        <f t="shared" si="56"/>
        <v>Medium sales</v>
      </c>
      <c r="J1834" s="33" t="str">
        <f t="shared" si="57"/>
        <v>not eligible</v>
      </c>
    </row>
    <row r="1835" spans="1:10" x14ac:dyDescent="0.35">
      <c r="A1835" s="31">
        <v>45134.839583333334</v>
      </c>
      <c r="B1835" s="32">
        <v>0.96834490740740742</v>
      </c>
      <c r="C1835" s="33" t="s">
        <v>14</v>
      </c>
      <c r="D1835" s="33" t="s">
        <v>27</v>
      </c>
      <c r="E1835" s="34">
        <v>287.22000000000003</v>
      </c>
      <c r="F1835" s="33">
        <v>5</v>
      </c>
      <c r="G1835" s="34">
        <v>1436.1</v>
      </c>
      <c r="H1835" s="33" t="s">
        <v>152</v>
      </c>
      <c r="I1835" s="33" t="str">
        <f t="shared" si="56"/>
        <v>Medium sales</v>
      </c>
      <c r="J1835" s="33" t="str">
        <f t="shared" si="57"/>
        <v>not eligible</v>
      </c>
    </row>
    <row r="1836" spans="1:10" x14ac:dyDescent="0.35">
      <c r="A1836" s="31">
        <v>45367.470833333333</v>
      </c>
      <c r="B1836" s="32">
        <v>0.12197916666666668</v>
      </c>
      <c r="C1836" s="33" t="s">
        <v>8</v>
      </c>
      <c r="D1836" s="33" t="s">
        <v>9</v>
      </c>
      <c r="E1836" s="34">
        <v>422.94</v>
      </c>
      <c r="F1836" s="33">
        <v>1</v>
      </c>
      <c r="G1836" s="34">
        <v>422.94</v>
      </c>
      <c r="H1836" s="33" t="s">
        <v>69</v>
      </c>
      <c r="I1836" s="33" t="str">
        <f t="shared" si="56"/>
        <v>Low sales</v>
      </c>
      <c r="J1836" s="33" t="str">
        <f t="shared" si="57"/>
        <v>not eligible</v>
      </c>
    </row>
    <row r="1837" spans="1:10" x14ac:dyDescent="0.35">
      <c r="A1837" s="31">
        <v>45298.959027777775</v>
      </c>
      <c r="B1837" s="32">
        <v>0.21564814814814814</v>
      </c>
      <c r="C1837" s="33" t="s">
        <v>11</v>
      </c>
      <c r="D1837" s="33" t="s">
        <v>27</v>
      </c>
      <c r="E1837" s="34">
        <v>484.94</v>
      </c>
      <c r="F1837" s="33">
        <v>5</v>
      </c>
      <c r="G1837" s="34">
        <v>2424.6999999999998</v>
      </c>
      <c r="H1837" s="33" t="s">
        <v>401</v>
      </c>
      <c r="I1837" s="33" t="str">
        <f t="shared" si="56"/>
        <v>High sales</v>
      </c>
      <c r="J1837" s="33" t="str">
        <f t="shared" si="57"/>
        <v>eligible</v>
      </c>
    </row>
    <row r="1838" spans="1:10" x14ac:dyDescent="0.35">
      <c r="A1838" s="31">
        <v>45536.568055555559</v>
      </c>
      <c r="B1838" s="32">
        <v>0.76165509259259256</v>
      </c>
      <c r="C1838" s="33" t="s">
        <v>11</v>
      </c>
      <c r="D1838" s="33" t="s">
        <v>20</v>
      </c>
      <c r="E1838" s="34">
        <v>453</v>
      </c>
      <c r="F1838" s="33">
        <v>3</v>
      </c>
      <c r="G1838" s="34">
        <v>1359</v>
      </c>
      <c r="H1838" s="33" t="s">
        <v>112</v>
      </c>
      <c r="I1838" s="33" t="str">
        <f t="shared" si="56"/>
        <v>Medium sales</v>
      </c>
      <c r="J1838" s="33" t="str">
        <f t="shared" si="57"/>
        <v>eligible</v>
      </c>
    </row>
    <row r="1839" spans="1:10" x14ac:dyDescent="0.35">
      <c r="A1839" s="31">
        <v>45233.268750000003</v>
      </c>
      <c r="B1839" s="32">
        <v>0.80232638888888885</v>
      </c>
      <c r="C1839" s="33" t="s">
        <v>11</v>
      </c>
      <c r="D1839" s="33" t="s">
        <v>12</v>
      </c>
      <c r="E1839" s="34">
        <v>131.87</v>
      </c>
      <c r="F1839" s="33">
        <v>5</v>
      </c>
      <c r="G1839" s="34">
        <v>659.35</v>
      </c>
      <c r="H1839" s="33" t="s">
        <v>26</v>
      </c>
      <c r="I1839" s="33" t="str">
        <f t="shared" si="56"/>
        <v>Medium sales</v>
      </c>
      <c r="J1839" s="33" t="str">
        <f t="shared" si="57"/>
        <v>not eligible</v>
      </c>
    </row>
    <row r="1840" spans="1:10" x14ac:dyDescent="0.35">
      <c r="A1840" s="31">
        <v>44977.453472222223</v>
      </c>
      <c r="B1840" s="32">
        <v>0.4689814814814815</v>
      </c>
      <c r="C1840" s="33" t="s">
        <v>11</v>
      </c>
      <c r="D1840" s="33" t="s">
        <v>12</v>
      </c>
      <c r="E1840" s="34">
        <v>147.05000000000001</v>
      </c>
      <c r="F1840" s="33">
        <v>2</v>
      </c>
      <c r="G1840" s="34">
        <v>294.10000000000002</v>
      </c>
      <c r="H1840" s="33" t="s">
        <v>259</v>
      </c>
      <c r="I1840" s="33" t="str">
        <f t="shared" si="56"/>
        <v>Low sales</v>
      </c>
      <c r="J1840" s="33" t="str">
        <f t="shared" si="57"/>
        <v>not eligible</v>
      </c>
    </row>
    <row r="1841" spans="1:10" x14ac:dyDescent="0.35">
      <c r="A1841" s="31">
        <v>45461.319444444445</v>
      </c>
      <c r="B1841" s="32">
        <v>0.6442592592592592</v>
      </c>
      <c r="C1841" s="33" t="s">
        <v>11</v>
      </c>
      <c r="D1841" s="33" t="s">
        <v>27</v>
      </c>
      <c r="E1841" s="34">
        <v>159.19</v>
      </c>
      <c r="F1841" s="33">
        <v>1</v>
      </c>
      <c r="G1841" s="34">
        <v>159.19</v>
      </c>
      <c r="H1841" s="33" t="s">
        <v>397</v>
      </c>
      <c r="I1841" s="33" t="str">
        <f t="shared" si="56"/>
        <v>Low sales</v>
      </c>
      <c r="J1841" s="33" t="str">
        <f t="shared" si="57"/>
        <v>not eligible</v>
      </c>
    </row>
    <row r="1842" spans="1:10" x14ac:dyDescent="0.35">
      <c r="A1842" s="31">
        <v>45286.987500000003</v>
      </c>
      <c r="B1842" s="32">
        <v>0.25780092592592591</v>
      </c>
      <c r="C1842" s="33" t="s">
        <v>11</v>
      </c>
      <c r="D1842" s="33" t="s">
        <v>16</v>
      </c>
      <c r="E1842" s="34">
        <v>148.13999999999999</v>
      </c>
      <c r="F1842" s="33">
        <v>2</v>
      </c>
      <c r="G1842" s="34">
        <v>296.27999999999997</v>
      </c>
      <c r="H1842" s="33" t="s">
        <v>207</v>
      </c>
      <c r="I1842" s="33" t="str">
        <f t="shared" si="56"/>
        <v>Low sales</v>
      </c>
      <c r="J1842" s="33" t="str">
        <f t="shared" si="57"/>
        <v>not eligible</v>
      </c>
    </row>
    <row r="1843" spans="1:10" x14ac:dyDescent="0.35">
      <c r="A1843" s="31">
        <v>45453.976388888892</v>
      </c>
      <c r="B1843" s="32">
        <v>0.33725694444444443</v>
      </c>
      <c r="C1843" s="33" t="s">
        <v>8</v>
      </c>
      <c r="D1843" s="33" t="s">
        <v>12</v>
      </c>
      <c r="E1843" s="34">
        <v>453.02</v>
      </c>
      <c r="F1843" s="33">
        <v>2</v>
      </c>
      <c r="G1843" s="34">
        <v>906.04</v>
      </c>
      <c r="H1843" s="33" t="s">
        <v>214</v>
      </c>
      <c r="I1843" s="33" t="str">
        <f t="shared" si="56"/>
        <v>Medium sales</v>
      </c>
      <c r="J1843" s="33" t="str">
        <f t="shared" si="57"/>
        <v>not eligible</v>
      </c>
    </row>
    <row r="1844" spans="1:10" x14ac:dyDescent="0.35">
      <c r="A1844" s="31">
        <v>45089.606944444444</v>
      </c>
      <c r="B1844" s="32">
        <v>0.12761574074074075</v>
      </c>
      <c r="C1844" s="33" t="s">
        <v>8</v>
      </c>
      <c r="D1844" s="33" t="s">
        <v>16</v>
      </c>
      <c r="E1844" s="34">
        <v>271.31</v>
      </c>
      <c r="F1844" s="33">
        <v>2</v>
      </c>
      <c r="G1844" s="34">
        <v>542.62</v>
      </c>
      <c r="H1844" s="33" t="s">
        <v>155</v>
      </c>
      <c r="I1844" s="33" t="str">
        <f t="shared" si="56"/>
        <v>Medium sales</v>
      </c>
      <c r="J1844" s="33" t="str">
        <f t="shared" si="57"/>
        <v>not eligible</v>
      </c>
    </row>
    <row r="1845" spans="1:10" x14ac:dyDescent="0.35">
      <c r="A1845" s="31">
        <v>45663.644444444442</v>
      </c>
      <c r="B1845" s="32">
        <v>0.59775462962962966</v>
      </c>
      <c r="C1845" s="33" t="s">
        <v>11</v>
      </c>
      <c r="D1845" s="33" t="s">
        <v>27</v>
      </c>
      <c r="E1845" s="34">
        <v>158.66</v>
      </c>
      <c r="F1845" s="33">
        <v>1</v>
      </c>
      <c r="G1845" s="34">
        <v>158.66</v>
      </c>
      <c r="H1845" s="33" t="s">
        <v>412</v>
      </c>
      <c r="I1845" s="33" t="str">
        <f t="shared" si="56"/>
        <v>Low sales</v>
      </c>
      <c r="J1845" s="33" t="str">
        <f t="shared" si="57"/>
        <v>not eligible</v>
      </c>
    </row>
    <row r="1846" spans="1:10" x14ac:dyDescent="0.35">
      <c r="A1846" s="31">
        <v>45118.043749999997</v>
      </c>
      <c r="B1846" s="32">
        <v>0.50521990740740741</v>
      </c>
      <c r="C1846" s="33" t="s">
        <v>11</v>
      </c>
      <c r="D1846" s="33" t="s">
        <v>20</v>
      </c>
      <c r="E1846" s="34">
        <v>351.65</v>
      </c>
      <c r="F1846" s="33">
        <v>5</v>
      </c>
      <c r="G1846" s="34">
        <v>1758.25</v>
      </c>
      <c r="H1846" s="33" t="s">
        <v>348</v>
      </c>
      <c r="I1846" s="33" t="str">
        <f t="shared" si="56"/>
        <v>High sales</v>
      </c>
      <c r="J1846" s="33" t="str">
        <f t="shared" si="57"/>
        <v>eligible</v>
      </c>
    </row>
    <row r="1847" spans="1:10" x14ac:dyDescent="0.35">
      <c r="A1847" s="31">
        <v>45428.393750000003</v>
      </c>
      <c r="B1847" s="32">
        <v>0.36098379629629629</v>
      </c>
      <c r="C1847" s="33" t="s">
        <v>8</v>
      </c>
      <c r="D1847" s="33" t="s">
        <v>27</v>
      </c>
      <c r="E1847" s="34">
        <v>499.46</v>
      </c>
      <c r="F1847" s="33">
        <v>5</v>
      </c>
      <c r="G1847" s="34">
        <v>2497.3000000000002</v>
      </c>
      <c r="H1847" s="33" t="s">
        <v>342</v>
      </c>
      <c r="I1847" s="33" t="str">
        <f t="shared" si="56"/>
        <v>High sales</v>
      </c>
      <c r="J1847" s="33" t="str">
        <f t="shared" si="57"/>
        <v>not eligible</v>
      </c>
    </row>
    <row r="1848" spans="1:10" x14ac:dyDescent="0.35">
      <c r="A1848" s="31">
        <v>44953.477777777778</v>
      </c>
      <c r="B1848" s="32">
        <v>0.45327546296296295</v>
      </c>
      <c r="C1848" s="33" t="s">
        <v>8</v>
      </c>
      <c r="D1848" s="33" t="s">
        <v>27</v>
      </c>
      <c r="E1848" s="34">
        <v>139.4</v>
      </c>
      <c r="F1848" s="33">
        <v>4</v>
      </c>
      <c r="G1848" s="34">
        <v>557.6</v>
      </c>
      <c r="H1848" s="33" t="s">
        <v>180</v>
      </c>
      <c r="I1848" s="33" t="str">
        <f t="shared" si="56"/>
        <v>Medium sales</v>
      </c>
      <c r="J1848" s="33" t="str">
        <f t="shared" si="57"/>
        <v>not eligible</v>
      </c>
    </row>
    <row r="1849" spans="1:10" x14ac:dyDescent="0.35">
      <c r="A1849" s="31">
        <v>45481.076388888891</v>
      </c>
      <c r="B1849" s="32">
        <v>0.14980324074074072</v>
      </c>
      <c r="C1849" s="33" t="s">
        <v>14</v>
      </c>
      <c r="D1849" s="33" t="s">
        <v>12</v>
      </c>
      <c r="E1849" s="34">
        <v>67.930000000000007</v>
      </c>
      <c r="F1849" s="33">
        <v>4</v>
      </c>
      <c r="G1849" s="34">
        <v>271.72000000000003</v>
      </c>
      <c r="H1849" s="33" t="s">
        <v>46</v>
      </c>
      <c r="I1849" s="33" t="str">
        <f t="shared" si="56"/>
        <v>Low sales</v>
      </c>
      <c r="J1849" s="33" t="str">
        <f t="shared" si="57"/>
        <v>not eligible</v>
      </c>
    </row>
    <row r="1850" spans="1:10" x14ac:dyDescent="0.35">
      <c r="A1850" s="31">
        <v>45442.240277777775</v>
      </c>
      <c r="B1850" s="32">
        <v>0.19293981481481481</v>
      </c>
      <c r="C1850" s="33" t="s">
        <v>8</v>
      </c>
      <c r="D1850" s="33" t="s">
        <v>12</v>
      </c>
      <c r="E1850" s="34">
        <v>189.46</v>
      </c>
      <c r="F1850" s="33">
        <v>3</v>
      </c>
      <c r="G1850" s="34">
        <v>568.38</v>
      </c>
      <c r="H1850" s="33" t="s">
        <v>77</v>
      </c>
      <c r="I1850" s="33" t="str">
        <f t="shared" si="56"/>
        <v>Medium sales</v>
      </c>
      <c r="J1850" s="33" t="str">
        <f t="shared" si="57"/>
        <v>not eligible</v>
      </c>
    </row>
    <row r="1851" spans="1:10" x14ac:dyDescent="0.35">
      <c r="A1851" s="31">
        <v>45121.073611111111</v>
      </c>
      <c r="B1851" s="32">
        <v>0.93980324074074073</v>
      </c>
      <c r="C1851" s="33" t="s">
        <v>14</v>
      </c>
      <c r="D1851" s="33" t="s">
        <v>27</v>
      </c>
      <c r="E1851" s="34">
        <v>353.99</v>
      </c>
      <c r="F1851" s="33">
        <v>2</v>
      </c>
      <c r="G1851" s="34">
        <v>707.98</v>
      </c>
      <c r="H1851" s="33" t="s">
        <v>234</v>
      </c>
      <c r="I1851" s="33" t="str">
        <f t="shared" si="56"/>
        <v>Medium sales</v>
      </c>
      <c r="J1851" s="33" t="str">
        <f t="shared" si="57"/>
        <v>not eligible</v>
      </c>
    </row>
    <row r="1852" spans="1:10" x14ac:dyDescent="0.35">
      <c r="A1852" s="31">
        <v>45380.79791666667</v>
      </c>
      <c r="B1852" s="32">
        <v>0.97472222222222227</v>
      </c>
      <c r="C1852" s="33" t="s">
        <v>11</v>
      </c>
      <c r="D1852" s="33" t="s">
        <v>20</v>
      </c>
      <c r="E1852" s="34">
        <v>131.55000000000001</v>
      </c>
      <c r="F1852" s="33">
        <v>2</v>
      </c>
      <c r="G1852" s="34">
        <v>263.10000000000002</v>
      </c>
      <c r="H1852" s="33" t="s">
        <v>56</v>
      </c>
      <c r="I1852" s="33" t="str">
        <f t="shared" si="56"/>
        <v>Low sales</v>
      </c>
      <c r="J1852" s="33" t="str">
        <f t="shared" si="57"/>
        <v>not eligible</v>
      </c>
    </row>
    <row r="1853" spans="1:10" x14ac:dyDescent="0.35">
      <c r="A1853" s="31">
        <v>45004.091666666667</v>
      </c>
      <c r="B1853" s="32">
        <v>0.13381944444444444</v>
      </c>
      <c r="C1853" s="33" t="s">
        <v>14</v>
      </c>
      <c r="D1853" s="33" t="s">
        <v>16</v>
      </c>
      <c r="E1853" s="34">
        <v>231.64</v>
      </c>
      <c r="F1853" s="33">
        <v>2</v>
      </c>
      <c r="G1853" s="34">
        <v>463.28</v>
      </c>
      <c r="H1853" s="33" t="s">
        <v>10</v>
      </c>
      <c r="I1853" s="33" t="str">
        <f t="shared" si="56"/>
        <v>Low sales</v>
      </c>
      <c r="J1853" s="33" t="str">
        <f t="shared" si="57"/>
        <v>not eligible</v>
      </c>
    </row>
    <row r="1854" spans="1:10" x14ac:dyDescent="0.35">
      <c r="A1854" s="31">
        <v>45370.382638888892</v>
      </c>
      <c r="B1854" s="32">
        <v>0.81199074074074085</v>
      </c>
      <c r="C1854" s="33" t="s">
        <v>8</v>
      </c>
      <c r="D1854" s="33" t="s">
        <v>12</v>
      </c>
      <c r="E1854" s="34">
        <v>19.170000000000002</v>
      </c>
      <c r="F1854" s="33">
        <v>4</v>
      </c>
      <c r="G1854" s="34">
        <v>76.680000000000007</v>
      </c>
      <c r="H1854" s="33" t="s">
        <v>337</v>
      </c>
      <c r="I1854" s="33" t="str">
        <f t="shared" si="56"/>
        <v>Low sales</v>
      </c>
      <c r="J1854" s="33" t="str">
        <f t="shared" si="57"/>
        <v>not eligible</v>
      </c>
    </row>
    <row r="1855" spans="1:10" x14ac:dyDescent="0.35">
      <c r="A1855" s="31">
        <v>45068.861805555556</v>
      </c>
      <c r="B1855" s="32">
        <v>5.1921296296296299E-2</v>
      </c>
      <c r="C1855" s="33" t="s">
        <v>14</v>
      </c>
      <c r="D1855" s="33" t="s">
        <v>12</v>
      </c>
      <c r="E1855" s="34">
        <v>40.5</v>
      </c>
      <c r="F1855" s="33">
        <v>1</v>
      </c>
      <c r="G1855" s="34">
        <v>40.5</v>
      </c>
      <c r="H1855" s="33" t="s">
        <v>271</v>
      </c>
      <c r="I1855" s="33" t="str">
        <f t="shared" si="56"/>
        <v>Low sales</v>
      </c>
      <c r="J1855" s="33" t="str">
        <f t="shared" si="57"/>
        <v>not eligible</v>
      </c>
    </row>
    <row r="1856" spans="1:10" x14ac:dyDescent="0.35">
      <c r="A1856" s="31">
        <v>45538.211805555555</v>
      </c>
      <c r="B1856" s="32">
        <v>0.68961805555555555</v>
      </c>
      <c r="C1856" s="33" t="s">
        <v>8</v>
      </c>
      <c r="D1856" s="33" t="s">
        <v>12</v>
      </c>
      <c r="E1856" s="34">
        <v>113.87</v>
      </c>
      <c r="F1856" s="33">
        <v>3</v>
      </c>
      <c r="G1856" s="34">
        <v>341.61</v>
      </c>
      <c r="H1856" s="33" t="s">
        <v>134</v>
      </c>
      <c r="I1856" s="33" t="str">
        <f t="shared" si="56"/>
        <v>Low sales</v>
      </c>
      <c r="J1856" s="33" t="str">
        <f t="shared" si="57"/>
        <v>not eligible</v>
      </c>
    </row>
    <row r="1857" spans="1:10" x14ac:dyDescent="0.35">
      <c r="A1857" s="31">
        <v>45131.760416666664</v>
      </c>
      <c r="B1857" s="32">
        <v>0.703125</v>
      </c>
      <c r="C1857" s="33" t="s">
        <v>14</v>
      </c>
      <c r="D1857" s="33" t="s">
        <v>20</v>
      </c>
      <c r="E1857" s="34">
        <v>492.55</v>
      </c>
      <c r="F1857" s="33">
        <v>2</v>
      </c>
      <c r="G1857" s="34">
        <v>985.1</v>
      </c>
      <c r="H1857" s="33" t="s">
        <v>381</v>
      </c>
      <c r="I1857" s="33" t="str">
        <f t="shared" si="56"/>
        <v>Medium sales</v>
      </c>
      <c r="J1857" s="33" t="str">
        <f t="shared" si="57"/>
        <v>not eligible</v>
      </c>
    </row>
    <row r="1858" spans="1:10" x14ac:dyDescent="0.35">
      <c r="A1858" s="31">
        <v>44951.443749999999</v>
      </c>
      <c r="B1858" s="32">
        <v>2.3379629629629631E-3</v>
      </c>
      <c r="C1858" s="33" t="s">
        <v>14</v>
      </c>
      <c r="D1858" s="33" t="s">
        <v>12</v>
      </c>
      <c r="E1858" s="34">
        <v>395.43</v>
      </c>
      <c r="F1858" s="33">
        <v>1</v>
      </c>
      <c r="G1858" s="34">
        <v>395.43</v>
      </c>
      <c r="H1858" s="33" t="s">
        <v>198</v>
      </c>
      <c r="I1858" s="33" t="str">
        <f t="shared" si="56"/>
        <v>Low sales</v>
      </c>
      <c r="J1858" s="33" t="str">
        <f t="shared" si="57"/>
        <v>not eligible</v>
      </c>
    </row>
    <row r="1859" spans="1:10" x14ac:dyDescent="0.35">
      <c r="A1859" s="31">
        <v>45052.968055555553</v>
      </c>
      <c r="B1859" s="32">
        <v>0.91262731481481474</v>
      </c>
      <c r="C1859" s="33" t="s">
        <v>11</v>
      </c>
      <c r="D1859" s="33" t="s">
        <v>27</v>
      </c>
      <c r="E1859" s="34">
        <v>407.28</v>
      </c>
      <c r="F1859" s="33">
        <v>4</v>
      </c>
      <c r="G1859" s="34">
        <v>1629.12</v>
      </c>
      <c r="H1859" s="33" t="s">
        <v>353</v>
      </c>
      <c r="I1859" s="33" t="str">
        <f t="shared" ref="I1859:I1922" si="58">IF(G1859&gt;1500,"High sales", IF(G1859&gt;500,"Medium sales", "Low sales"))</f>
        <v>High sales</v>
      </c>
      <c r="J1859" s="33" t="str">
        <f t="shared" ref="J1859:J1922" si="59">IF(AND(G1859&gt;1000,C1859="Premium"), "eligible", "not eligible")</f>
        <v>eligible</v>
      </c>
    </row>
    <row r="1860" spans="1:10" x14ac:dyDescent="0.35">
      <c r="A1860" s="31">
        <v>45572.150694444441</v>
      </c>
      <c r="B1860" s="32">
        <v>0.90082175925925922</v>
      </c>
      <c r="C1860" s="33" t="s">
        <v>11</v>
      </c>
      <c r="D1860" s="33" t="s">
        <v>20</v>
      </c>
      <c r="E1860" s="34">
        <v>374.99</v>
      </c>
      <c r="F1860" s="33">
        <v>2</v>
      </c>
      <c r="G1860" s="34">
        <v>749.98</v>
      </c>
      <c r="H1860" s="33" t="s">
        <v>373</v>
      </c>
      <c r="I1860" s="33" t="str">
        <f t="shared" si="58"/>
        <v>Medium sales</v>
      </c>
      <c r="J1860" s="33" t="str">
        <f t="shared" si="59"/>
        <v>not eligible</v>
      </c>
    </row>
    <row r="1861" spans="1:10" x14ac:dyDescent="0.35">
      <c r="A1861" s="31">
        <v>45476.79583333333</v>
      </c>
      <c r="B1861" s="32">
        <v>2.627314814814815E-3</v>
      </c>
      <c r="C1861" s="33" t="s">
        <v>8</v>
      </c>
      <c r="D1861" s="33" t="s">
        <v>12</v>
      </c>
      <c r="E1861" s="34">
        <v>286.27999999999997</v>
      </c>
      <c r="F1861" s="33">
        <v>2</v>
      </c>
      <c r="G1861" s="34">
        <v>572.55999999999995</v>
      </c>
      <c r="H1861" s="33" t="s">
        <v>188</v>
      </c>
      <c r="I1861" s="33" t="str">
        <f t="shared" si="58"/>
        <v>Medium sales</v>
      </c>
      <c r="J1861" s="33" t="str">
        <f t="shared" si="59"/>
        <v>not eligible</v>
      </c>
    </row>
    <row r="1862" spans="1:10" x14ac:dyDescent="0.35">
      <c r="A1862" s="31">
        <v>45468.067361111112</v>
      </c>
      <c r="B1862" s="32">
        <v>1.7013888888888887E-2</v>
      </c>
      <c r="C1862" s="33" t="s">
        <v>14</v>
      </c>
      <c r="D1862" s="33" t="s">
        <v>16</v>
      </c>
      <c r="E1862" s="34">
        <v>410.36</v>
      </c>
      <c r="F1862" s="33">
        <v>2</v>
      </c>
      <c r="G1862" s="34">
        <v>820.72</v>
      </c>
      <c r="H1862" s="33" t="s">
        <v>299</v>
      </c>
      <c r="I1862" s="33" t="str">
        <f t="shared" si="58"/>
        <v>Medium sales</v>
      </c>
      <c r="J1862" s="33" t="str">
        <f t="shared" si="59"/>
        <v>not eligible</v>
      </c>
    </row>
    <row r="1863" spans="1:10" x14ac:dyDescent="0.35">
      <c r="A1863" s="31">
        <v>45066.45208333333</v>
      </c>
      <c r="B1863" s="32">
        <v>0.84423611111111108</v>
      </c>
      <c r="C1863" s="33" t="s">
        <v>11</v>
      </c>
      <c r="D1863" s="33" t="s">
        <v>27</v>
      </c>
      <c r="E1863" s="34">
        <v>410.47</v>
      </c>
      <c r="F1863" s="33">
        <v>3</v>
      </c>
      <c r="G1863" s="34">
        <v>1231.4100000000001</v>
      </c>
      <c r="H1863" s="33" t="s">
        <v>166</v>
      </c>
      <c r="I1863" s="33" t="str">
        <f t="shared" si="58"/>
        <v>Medium sales</v>
      </c>
      <c r="J1863" s="33" t="str">
        <f t="shared" si="59"/>
        <v>eligible</v>
      </c>
    </row>
    <row r="1864" spans="1:10" x14ac:dyDescent="0.35">
      <c r="A1864" s="31">
        <v>45580.384027777778</v>
      </c>
      <c r="B1864" s="32">
        <v>0.3638657407407408</v>
      </c>
      <c r="C1864" s="33" t="s">
        <v>8</v>
      </c>
      <c r="D1864" s="33" t="s">
        <v>9</v>
      </c>
      <c r="E1864" s="34">
        <v>358.11</v>
      </c>
      <c r="F1864" s="33">
        <v>2</v>
      </c>
      <c r="G1864" s="34">
        <v>716.22</v>
      </c>
      <c r="H1864" s="33" t="s">
        <v>212</v>
      </c>
      <c r="I1864" s="33" t="str">
        <f t="shared" si="58"/>
        <v>Medium sales</v>
      </c>
      <c r="J1864" s="33" t="str">
        <f t="shared" si="59"/>
        <v>not eligible</v>
      </c>
    </row>
    <row r="1865" spans="1:10" x14ac:dyDescent="0.35">
      <c r="A1865" s="31">
        <v>45490.605555555558</v>
      </c>
      <c r="B1865" s="32">
        <v>0.13868055555555556</v>
      </c>
      <c r="C1865" s="33" t="s">
        <v>8</v>
      </c>
      <c r="D1865" s="33" t="s">
        <v>16</v>
      </c>
      <c r="E1865" s="34">
        <v>186.87</v>
      </c>
      <c r="F1865" s="33">
        <v>4</v>
      </c>
      <c r="G1865" s="34">
        <v>747.48</v>
      </c>
      <c r="H1865" s="33" t="s">
        <v>403</v>
      </c>
      <c r="I1865" s="33" t="str">
        <f t="shared" si="58"/>
        <v>Medium sales</v>
      </c>
      <c r="J1865" s="33" t="str">
        <f t="shared" si="59"/>
        <v>not eligible</v>
      </c>
    </row>
    <row r="1866" spans="1:10" x14ac:dyDescent="0.35">
      <c r="A1866" s="31">
        <v>45663.480555555558</v>
      </c>
      <c r="B1866" s="32">
        <v>0.95098379629629637</v>
      </c>
      <c r="C1866" s="33" t="s">
        <v>14</v>
      </c>
      <c r="D1866" s="33" t="s">
        <v>27</v>
      </c>
      <c r="E1866" s="34">
        <v>20.440000000000001</v>
      </c>
      <c r="F1866" s="33">
        <v>4</v>
      </c>
      <c r="G1866" s="34">
        <v>81.760000000000005</v>
      </c>
      <c r="H1866" s="33" t="s">
        <v>295</v>
      </c>
      <c r="I1866" s="33" t="str">
        <f t="shared" si="58"/>
        <v>Low sales</v>
      </c>
      <c r="J1866" s="33" t="str">
        <f t="shared" si="59"/>
        <v>not eligible</v>
      </c>
    </row>
    <row r="1867" spans="1:10" x14ac:dyDescent="0.35">
      <c r="A1867" s="31">
        <v>45625.004166666666</v>
      </c>
      <c r="B1867" s="32">
        <v>0.22274305555555554</v>
      </c>
      <c r="C1867" s="33" t="s">
        <v>8</v>
      </c>
      <c r="D1867" s="33" t="s">
        <v>20</v>
      </c>
      <c r="E1867" s="34">
        <v>145.13</v>
      </c>
      <c r="F1867" s="33">
        <v>3</v>
      </c>
      <c r="G1867" s="34">
        <v>435.39</v>
      </c>
      <c r="H1867" s="33" t="s">
        <v>194</v>
      </c>
      <c r="I1867" s="33" t="str">
        <f t="shared" si="58"/>
        <v>Low sales</v>
      </c>
      <c r="J1867" s="33" t="str">
        <f t="shared" si="59"/>
        <v>not eligible</v>
      </c>
    </row>
    <row r="1868" spans="1:10" x14ac:dyDescent="0.35">
      <c r="A1868" s="31">
        <v>45112.419444444444</v>
      </c>
      <c r="B1868" s="32">
        <v>0.75855324074074071</v>
      </c>
      <c r="C1868" s="33" t="s">
        <v>14</v>
      </c>
      <c r="D1868" s="33" t="s">
        <v>16</v>
      </c>
      <c r="E1868" s="34">
        <v>70.22</v>
      </c>
      <c r="F1868" s="33">
        <v>5</v>
      </c>
      <c r="G1868" s="34">
        <v>351.1</v>
      </c>
      <c r="H1868" s="33" t="s">
        <v>208</v>
      </c>
      <c r="I1868" s="33" t="str">
        <f t="shared" si="58"/>
        <v>Low sales</v>
      </c>
      <c r="J1868" s="33" t="str">
        <f t="shared" si="59"/>
        <v>not eligible</v>
      </c>
    </row>
    <row r="1869" spans="1:10" x14ac:dyDescent="0.35">
      <c r="A1869" s="31">
        <v>45348.625</v>
      </c>
      <c r="B1869" s="32">
        <v>0.44520833333333337</v>
      </c>
      <c r="C1869" s="33" t="s">
        <v>8</v>
      </c>
      <c r="D1869" s="33" t="s">
        <v>16</v>
      </c>
      <c r="E1869" s="34">
        <v>410.25</v>
      </c>
      <c r="F1869" s="33">
        <v>5</v>
      </c>
      <c r="G1869" s="34">
        <v>2051.25</v>
      </c>
      <c r="H1869" s="33" t="s">
        <v>180</v>
      </c>
      <c r="I1869" s="33" t="str">
        <f t="shared" si="58"/>
        <v>High sales</v>
      </c>
      <c r="J1869" s="33" t="str">
        <f t="shared" si="59"/>
        <v>not eligible</v>
      </c>
    </row>
    <row r="1870" spans="1:10" x14ac:dyDescent="0.35">
      <c r="A1870" s="31">
        <v>45247.64166666667</v>
      </c>
      <c r="B1870" s="32">
        <v>0.90971064814814817</v>
      </c>
      <c r="C1870" s="33" t="s">
        <v>14</v>
      </c>
      <c r="D1870" s="33" t="s">
        <v>16</v>
      </c>
      <c r="E1870" s="34">
        <v>375</v>
      </c>
      <c r="F1870" s="33">
        <v>2</v>
      </c>
      <c r="G1870" s="34">
        <v>750</v>
      </c>
      <c r="H1870" s="33" t="s">
        <v>99</v>
      </c>
      <c r="I1870" s="33" t="str">
        <f t="shared" si="58"/>
        <v>Medium sales</v>
      </c>
      <c r="J1870" s="33" t="str">
        <f t="shared" si="59"/>
        <v>not eligible</v>
      </c>
    </row>
    <row r="1871" spans="1:10" x14ac:dyDescent="0.35">
      <c r="A1871" s="31">
        <v>45472.142361111109</v>
      </c>
      <c r="B1871" s="32">
        <v>4.1423611111111112E-2</v>
      </c>
      <c r="C1871" s="33" t="s">
        <v>8</v>
      </c>
      <c r="D1871" s="33" t="s">
        <v>20</v>
      </c>
      <c r="E1871" s="34">
        <v>56.3</v>
      </c>
      <c r="F1871" s="33">
        <v>2</v>
      </c>
      <c r="G1871" s="34">
        <v>112.6</v>
      </c>
      <c r="H1871" s="33" t="s">
        <v>365</v>
      </c>
      <c r="I1871" s="33" t="str">
        <f t="shared" si="58"/>
        <v>Low sales</v>
      </c>
      <c r="J1871" s="33" t="str">
        <f t="shared" si="59"/>
        <v>not eligible</v>
      </c>
    </row>
    <row r="1872" spans="1:10" x14ac:dyDescent="0.35">
      <c r="A1872" s="31">
        <v>45098.179166666669</v>
      </c>
      <c r="B1872" s="32">
        <v>0.44010416666666669</v>
      </c>
      <c r="C1872" s="33" t="s">
        <v>14</v>
      </c>
      <c r="D1872" s="33" t="s">
        <v>20</v>
      </c>
      <c r="E1872" s="34">
        <v>383.25</v>
      </c>
      <c r="F1872" s="33">
        <v>5</v>
      </c>
      <c r="G1872" s="34">
        <v>1916.25</v>
      </c>
      <c r="H1872" s="33" t="s">
        <v>316</v>
      </c>
      <c r="I1872" s="33" t="str">
        <f t="shared" si="58"/>
        <v>High sales</v>
      </c>
      <c r="J1872" s="33" t="str">
        <f t="shared" si="59"/>
        <v>not eligible</v>
      </c>
    </row>
    <row r="1873" spans="1:10" x14ac:dyDescent="0.35">
      <c r="A1873" s="31">
        <v>45193.493055555555</v>
      </c>
      <c r="B1873" s="32">
        <v>0.43069444444444444</v>
      </c>
      <c r="C1873" s="33" t="s">
        <v>11</v>
      </c>
      <c r="D1873" s="33" t="s">
        <v>20</v>
      </c>
      <c r="E1873" s="34">
        <v>28.45</v>
      </c>
      <c r="F1873" s="33">
        <v>1</v>
      </c>
      <c r="G1873" s="34">
        <v>28.45</v>
      </c>
      <c r="H1873" s="33" t="s">
        <v>213</v>
      </c>
      <c r="I1873" s="33" t="str">
        <f t="shared" si="58"/>
        <v>Low sales</v>
      </c>
      <c r="J1873" s="33" t="str">
        <f t="shared" si="59"/>
        <v>not eligible</v>
      </c>
    </row>
    <row r="1874" spans="1:10" x14ac:dyDescent="0.35">
      <c r="A1874" s="31">
        <v>45631.931250000001</v>
      </c>
      <c r="B1874" s="32">
        <v>0.18379629629629632</v>
      </c>
      <c r="C1874" s="33" t="s">
        <v>8</v>
      </c>
      <c r="D1874" s="33" t="s">
        <v>27</v>
      </c>
      <c r="E1874" s="34">
        <v>219.77</v>
      </c>
      <c r="F1874" s="33">
        <v>2</v>
      </c>
      <c r="G1874" s="34">
        <v>439.54</v>
      </c>
      <c r="H1874" s="33" t="s">
        <v>386</v>
      </c>
      <c r="I1874" s="33" t="str">
        <f t="shared" si="58"/>
        <v>Low sales</v>
      </c>
      <c r="J1874" s="33" t="str">
        <f t="shared" si="59"/>
        <v>not eligible</v>
      </c>
    </row>
    <row r="1875" spans="1:10" x14ac:dyDescent="0.35">
      <c r="A1875" s="31">
        <v>45175.743750000001</v>
      </c>
      <c r="B1875" s="32">
        <v>0.10528935185185184</v>
      </c>
      <c r="C1875" s="33" t="s">
        <v>8</v>
      </c>
      <c r="D1875" s="33" t="s">
        <v>12</v>
      </c>
      <c r="E1875" s="34">
        <v>452.46</v>
      </c>
      <c r="F1875" s="33">
        <v>4</v>
      </c>
      <c r="G1875" s="34">
        <v>1809.84</v>
      </c>
      <c r="H1875" s="33" t="s">
        <v>169</v>
      </c>
      <c r="I1875" s="33" t="str">
        <f t="shared" si="58"/>
        <v>High sales</v>
      </c>
      <c r="J1875" s="33" t="str">
        <f t="shared" si="59"/>
        <v>not eligible</v>
      </c>
    </row>
    <row r="1876" spans="1:10" x14ac:dyDescent="0.35">
      <c r="A1876" s="31">
        <v>45384.520138888889</v>
      </c>
      <c r="B1876" s="32">
        <v>0.53635416666666669</v>
      </c>
      <c r="C1876" s="33" t="s">
        <v>11</v>
      </c>
      <c r="D1876" s="33" t="s">
        <v>12</v>
      </c>
      <c r="E1876" s="34">
        <v>295.10000000000002</v>
      </c>
      <c r="F1876" s="33">
        <v>1</v>
      </c>
      <c r="G1876" s="34">
        <v>295.10000000000002</v>
      </c>
      <c r="H1876" s="33" t="s">
        <v>303</v>
      </c>
      <c r="I1876" s="33" t="str">
        <f t="shared" si="58"/>
        <v>Low sales</v>
      </c>
      <c r="J1876" s="33" t="str">
        <f t="shared" si="59"/>
        <v>not eligible</v>
      </c>
    </row>
    <row r="1877" spans="1:10" x14ac:dyDescent="0.35">
      <c r="A1877" s="31">
        <v>45092.125</v>
      </c>
      <c r="B1877" s="32">
        <v>0.8325231481481481</v>
      </c>
      <c r="C1877" s="33" t="s">
        <v>14</v>
      </c>
      <c r="D1877" s="33" t="s">
        <v>12</v>
      </c>
      <c r="E1877" s="34">
        <v>153.79</v>
      </c>
      <c r="F1877" s="33">
        <v>1</v>
      </c>
      <c r="G1877" s="34">
        <v>153.79</v>
      </c>
      <c r="H1877" s="33" t="s">
        <v>231</v>
      </c>
      <c r="I1877" s="33" t="str">
        <f t="shared" si="58"/>
        <v>Low sales</v>
      </c>
      <c r="J1877" s="33" t="str">
        <f t="shared" si="59"/>
        <v>not eligible</v>
      </c>
    </row>
    <row r="1878" spans="1:10" x14ac:dyDescent="0.35">
      <c r="A1878" s="31">
        <v>44975.138194444444</v>
      </c>
      <c r="B1878" s="32">
        <v>0.28862268518518519</v>
      </c>
      <c r="C1878" s="33" t="s">
        <v>8</v>
      </c>
      <c r="D1878" s="33" t="s">
        <v>16</v>
      </c>
      <c r="E1878" s="34">
        <v>74.87</v>
      </c>
      <c r="F1878" s="33">
        <v>5</v>
      </c>
      <c r="G1878" s="34">
        <v>374.35</v>
      </c>
      <c r="H1878" s="33" t="s">
        <v>355</v>
      </c>
      <c r="I1878" s="33" t="str">
        <f t="shared" si="58"/>
        <v>Low sales</v>
      </c>
      <c r="J1878" s="33" t="str">
        <f t="shared" si="59"/>
        <v>not eligible</v>
      </c>
    </row>
    <row r="1879" spans="1:10" x14ac:dyDescent="0.35">
      <c r="A1879" s="31">
        <v>45435.905555555553</v>
      </c>
      <c r="B1879" s="32">
        <v>0.4803587962962963</v>
      </c>
      <c r="C1879" s="33" t="s">
        <v>11</v>
      </c>
      <c r="D1879" s="33" t="s">
        <v>20</v>
      </c>
      <c r="E1879" s="34">
        <v>472.08</v>
      </c>
      <c r="F1879" s="33">
        <v>4</v>
      </c>
      <c r="G1879" s="34">
        <v>1888.32</v>
      </c>
      <c r="H1879" s="33" t="s">
        <v>94</v>
      </c>
      <c r="I1879" s="33" t="str">
        <f t="shared" si="58"/>
        <v>High sales</v>
      </c>
      <c r="J1879" s="33" t="str">
        <f t="shared" si="59"/>
        <v>eligible</v>
      </c>
    </row>
    <row r="1880" spans="1:10" x14ac:dyDescent="0.35">
      <c r="A1880" s="31">
        <v>45054.402083333334</v>
      </c>
      <c r="B1880" s="32">
        <v>0.34531249999999997</v>
      </c>
      <c r="C1880" s="33" t="s">
        <v>11</v>
      </c>
      <c r="D1880" s="33" t="s">
        <v>12</v>
      </c>
      <c r="E1880" s="34">
        <v>209.84</v>
      </c>
      <c r="F1880" s="33">
        <v>1</v>
      </c>
      <c r="G1880" s="34">
        <v>209.84</v>
      </c>
      <c r="H1880" s="33" t="s">
        <v>216</v>
      </c>
      <c r="I1880" s="33" t="str">
        <f t="shared" si="58"/>
        <v>Low sales</v>
      </c>
      <c r="J1880" s="33" t="str">
        <f t="shared" si="59"/>
        <v>not eligible</v>
      </c>
    </row>
    <row r="1881" spans="1:10" x14ac:dyDescent="0.35">
      <c r="A1881" s="31">
        <v>45214.970138888886</v>
      </c>
      <c r="B1881" s="32">
        <v>0.78351851851851861</v>
      </c>
      <c r="C1881" s="33" t="s">
        <v>8</v>
      </c>
      <c r="D1881" s="33" t="s">
        <v>20</v>
      </c>
      <c r="E1881" s="34">
        <v>495.42</v>
      </c>
      <c r="F1881" s="33">
        <v>2</v>
      </c>
      <c r="G1881" s="34">
        <v>990.84</v>
      </c>
      <c r="H1881" s="33" t="s">
        <v>343</v>
      </c>
      <c r="I1881" s="33" t="str">
        <f t="shared" si="58"/>
        <v>Medium sales</v>
      </c>
      <c r="J1881" s="33" t="str">
        <f t="shared" si="59"/>
        <v>not eligible</v>
      </c>
    </row>
    <row r="1882" spans="1:10" x14ac:dyDescent="0.35">
      <c r="A1882" s="31">
        <v>45230.526388888888</v>
      </c>
      <c r="B1882" s="32">
        <v>0.16630787037037037</v>
      </c>
      <c r="C1882" s="33" t="s">
        <v>11</v>
      </c>
      <c r="D1882" s="33" t="s">
        <v>27</v>
      </c>
      <c r="E1882" s="34">
        <v>408.51</v>
      </c>
      <c r="F1882" s="33">
        <v>5</v>
      </c>
      <c r="G1882" s="34">
        <v>2042.55</v>
      </c>
      <c r="H1882" s="33" t="s">
        <v>282</v>
      </c>
      <c r="I1882" s="33" t="str">
        <f t="shared" si="58"/>
        <v>High sales</v>
      </c>
      <c r="J1882" s="33" t="str">
        <f t="shared" si="59"/>
        <v>eligible</v>
      </c>
    </row>
    <row r="1883" spans="1:10" x14ac:dyDescent="0.35">
      <c r="A1883" s="31">
        <v>45495.290277777778</v>
      </c>
      <c r="B1883" s="32">
        <v>0.35326388888888888</v>
      </c>
      <c r="C1883" s="33" t="s">
        <v>11</v>
      </c>
      <c r="D1883" s="33" t="s">
        <v>9</v>
      </c>
      <c r="E1883" s="34">
        <v>329.06</v>
      </c>
      <c r="F1883" s="33">
        <v>3</v>
      </c>
      <c r="G1883" s="34">
        <v>987.18</v>
      </c>
      <c r="H1883" s="33" t="s">
        <v>212</v>
      </c>
      <c r="I1883" s="33" t="str">
        <f t="shared" si="58"/>
        <v>Medium sales</v>
      </c>
      <c r="J1883" s="33" t="str">
        <f t="shared" si="59"/>
        <v>not eligible</v>
      </c>
    </row>
    <row r="1884" spans="1:10" x14ac:dyDescent="0.35">
      <c r="A1884" s="31">
        <v>45621.762499999997</v>
      </c>
      <c r="B1884" s="32">
        <v>0.86009259259259263</v>
      </c>
      <c r="C1884" s="33" t="s">
        <v>14</v>
      </c>
      <c r="D1884" s="33" t="s">
        <v>27</v>
      </c>
      <c r="E1884" s="34">
        <v>381.34</v>
      </c>
      <c r="F1884" s="33">
        <v>3</v>
      </c>
      <c r="G1884" s="34">
        <v>1144.02</v>
      </c>
      <c r="H1884" s="33" t="s">
        <v>231</v>
      </c>
      <c r="I1884" s="33" t="str">
        <f t="shared" si="58"/>
        <v>Medium sales</v>
      </c>
      <c r="J1884" s="33" t="str">
        <f t="shared" si="59"/>
        <v>not eligible</v>
      </c>
    </row>
    <row r="1885" spans="1:10" x14ac:dyDescent="0.35">
      <c r="A1885" s="31">
        <v>44937.790972222225</v>
      </c>
      <c r="B1885" s="32">
        <v>0.66939814814814813</v>
      </c>
      <c r="C1885" s="33" t="s">
        <v>8</v>
      </c>
      <c r="D1885" s="33" t="s">
        <v>27</v>
      </c>
      <c r="E1885" s="34">
        <v>423.4</v>
      </c>
      <c r="F1885" s="33">
        <v>2</v>
      </c>
      <c r="G1885" s="34">
        <v>846.8</v>
      </c>
      <c r="H1885" s="33" t="s">
        <v>73</v>
      </c>
      <c r="I1885" s="33" t="str">
        <f t="shared" si="58"/>
        <v>Medium sales</v>
      </c>
      <c r="J1885" s="33" t="str">
        <f t="shared" si="59"/>
        <v>not eligible</v>
      </c>
    </row>
    <row r="1886" spans="1:10" x14ac:dyDescent="0.35">
      <c r="A1886" s="31">
        <v>44953.886111111111</v>
      </c>
      <c r="B1886" s="32">
        <v>0.81730324074074068</v>
      </c>
      <c r="C1886" s="33" t="s">
        <v>14</v>
      </c>
      <c r="D1886" s="33" t="s">
        <v>16</v>
      </c>
      <c r="E1886" s="34">
        <v>437.49</v>
      </c>
      <c r="F1886" s="33">
        <v>2</v>
      </c>
      <c r="G1886" s="34">
        <v>874.98</v>
      </c>
      <c r="H1886" s="33" t="s">
        <v>10</v>
      </c>
      <c r="I1886" s="33" t="str">
        <f t="shared" si="58"/>
        <v>Medium sales</v>
      </c>
      <c r="J1886" s="33" t="str">
        <f t="shared" si="59"/>
        <v>not eligible</v>
      </c>
    </row>
    <row r="1887" spans="1:10" x14ac:dyDescent="0.35">
      <c r="A1887" s="31">
        <v>45195.343055555553</v>
      </c>
      <c r="B1887" s="32">
        <v>0.49510416666666668</v>
      </c>
      <c r="C1887" s="33" t="s">
        <v>11</v>
      </c>
      <c r="D1887" s="33" t="s">
        <v>20</v>
      </c>
      <c r="E1887" s="34">
        <v>29.22</v>
      </c>
      <c r="F1887" s="33">
        <v>2</v>
      </c>
      <c r="G1887" s="34">
        <v>58.44</v>
      </c>
      <c r="H1887" s="33" t="s">
        <v>154</v>
      </c>
      <c r="I1887" s="33" t="str">
        <f t="shared" si="58"/>
        <v>Low sales</v>
      </c>
      <c r="J1887" s="33" t="str">
        <f t="shared" si="59"/>
        <v>not eligible</v>
      </c>
    </row>
    <row r="1888" spans="1:10" x14ac:dyDescent="0.35">
      <c r="A1888" s="31">
        <v>45602.030555555553</v>
      </c>
      <c r="B1888" s="32">
        <v>0.50231481481481477</v>
      </c>
      <c r="C1888" s="33" t="s">
        <v>14</v>
      </c>
      <c r="D1888" s="33" t="s">
        <v>27</v>
      </c>
      <c r="E1888" s="34">
        <v>174.78</v>
      </c>
      <c r="F1888" s="33">
        <v>4</v>
      </c>
      <c r="G1888" s="34">
        <v>699.12</v>
      </c>
      <c r="H1888" s="33" t="s">
        <v>348</v>
      </c>
      <c r="I1888" s="33" t="str">
        <f t="shared" si="58"/>
        <v>Medium sales</v>
      </c>
      <c r="J1888" s="33" t="str">
        <f t="shared" si="59"/>
        <v>not eligible</v>
      </c>
    </row>
    <row r="1889" spans="1:10" x14ac:dyDescent="0.35">
      <c r="A1889" s="31">
        <v>44975.707638888889</v>
      </c>
      <c r="B1889" s="32">
        <v>4.611111111111111E-2</v>
      </c>
      <c r="C1889" s="33" t="s">
        <v>11</v>
      </c>
      <c r="D1889" s="33" t="s">
        <v>16</v>
      </c>
      <c r="E1889" s="34">
        <v>333.06</v>
      </c>
      <c r="F1889" s="33">
        <v>1</v>
      </c>
      <c r="G1889" s="34">
        <v>333.06</v>
      </c>
      <c r="H1889" s="33" t="s">
        <v>166</v>
      </c>
      <c r="I1889" s="33" t="str">
        <f t="shared" si="58"/>
        <v>Low sales</v>
      </c>
      <c r="J1889" s="33" t="str">
        <f t="shared" si="59"/>
        <v>not eligible</v>
      </c>
    </row>
    <row r="1890" spans="1:10" x14ac:dyDescent="0.35">
      <c r="A1890" s="31">
        <v>45520.75</v>
      </c>
      <c r="B1890" s="32">
        <v>0.61504629629629626</v>
      </c>
      <c r="C1890" s="33" t="s">
        <v>11</v>
      </c>
      <c r="D1890" s="33" t="s">
        <v>20</v>
      </c>
      <c r="E1890" s="34">
        <v>101.56</v>
      </c>
      <c r="F1890" s="33">
        <v>1</v>
      </c>
      <c r="G1890" s="34">
        <v>101.56</v>
      </c>
      <c r="H1890" s="33" t="s">
        <v>359</v>
      </c>
      <c r="I1890" s="33" t="str">
        <f t="shared" si="58"/>
        <v>Low sales</v>
      </c>
      <c r="J1890" s="33" t="str">
        <f t="shared" si="59"/>
        <v>not eligible</v>
      </c>
    </row>
    <row r="1891" spans="1:10" x14ac:dyDescent="0.35">
      <c r="A1891" s="31">
        <v>45610.232638888891</v>
      </c>
      <c r="B1891" s="32">
        <v>0.87543981481481481</v>
      </c>
      <c r="C1891" s="33" t="s">
        <v>11</v>
      </c>
      <c r="D1891" s="33" t="s">
        <v>9</v>
      </c>
      <c r="E1891" s="34">
        <v>223.47</v>
      </c>
      <c r="F1891" s="33">
        <v>3</v>
      </c>
      <c r="G1891" s="34">
        <v>670.41</v>
      </c>
      <c r="H1891" s="33" t="s">
        <v>260</v>
      </c>
      <c r="I1891" s="33" t="str">
        <f t="shared" si="58"/>
        <v>Medium sales</v>
      </c>
      <c r="J1891" s="33" t="str">
        <f t="shared" si="59"/>
        <v>not eligible</v>
      </c>
    </row>
    <row r="1892" spans="1:10" x14ac:dyDescent="0.35">
      <c r="A1892" s="31">
        <v>45374.763888888891</v>
      </c>
      <c r="B1892" s="32">
        <v>0.39674768518518522</v>
      </c>
      <c r="C1892" s="33" t="s">
        <v>8</v>
      </c>
      <c r="D1892" s="33" t="s">
        <v>9</v>
      </c>
      <c r="E1892" s="34">
        <v>70.48</v>
      </c>
      <c r="F1892" s="33">
        <v>1</v>
      </c>
      <c r="G1892" s="34">
        <v>70.48</v>
      </c>
      <c r="H1892" s="33" t="s">
        <v>64</v>
      </c>
      <c r="I1892" s="33" t="str">
        <f t="shared" si="58"/>
        <v>Low sales</v>
      </c>
      <c r="J1892" s="33" t="str">
        <f t="shared" si="59"/>
        <v>not eligible</v>
      </c>
    </row>
    <row r="1893" spans="1:10" x14ac:dyDescent="0.35">
      <c r="A1893" s="31">
        <v>45113.049305555556</v>
      </c>
      <c r="B1893" s="32">
        <v>0.34184027777777781</v>
      </c>
      <c r="C1893" s="33" t="s">
        <v>11</v>
      </c>
      <c r="D1893" s="33" t="s">
        <v>12</v>
      </c>
      <c r="E1893" s="34">
        <v>202.8</v>
      </c>
      <c r="F1893" s="33">
        <v>5</v>
      </c>
      <c r="G1893" s="34">
        <v>1014</v>
      </c>
      <c r="H1893" s="33" t="s">
        <v>386</v>
      </c>
      <c r="I1893" s="33" t="str">
        <f t="shared" si="58"/>
        <v>Medium sales</v>
      </c>
      <c r="J1893" s="33" t="str">
        <f t="shared" si="59"/>
        <v>eligible</v>
      </c>
    </row>
    <row r="1894" spans="1:10" x14ac:dyDescent="0.35">
      <c r="A1894" s="31">
        <v>45460.657638888886</v>
      </c>
      <c r="B1894" s="32">
        <v>7.2129629629629641E-2</v>
      </c>
      <c r="C1894" s="33" t="s">
        <v>14</v>
      </c>
      <c r="D1894" s="33" t="s">
        <v>16</v>
      </c>
      <c r="E1894" s="34">
        <v>178.22</v>
      </c>
      <c r="F1894" s="33">
        <v>1</v>
      </c>
      <c r="G1894" s="34">
        <v>178.22</v>
      </c>
      <c r="H1894" s="33" t="s">
        <v>344</v>
      </c>
      <c r="I1894" s="33" t="str">
        <f t="shared" si="58"/>
        <v>Low sales</v>
      </c>
      <c r="J1894" s="33" t="str">
        <f t="shared" si="59"/>
        <v>not eligible</v>
      </c>
    </row>
    <row r="1895" spans="1:10" x14ac:dyDescent="0.35">
      <c r="A1895" s="31">
        <v>45552.968055555553</v>
      </c>
      <c r="B1895" s="32">
        <v>0.64886574074074077</v>
      </c>
      <c r="C1895" s="33" t="s">
        <v>11</v>
      </c>
      <c r="D1895" s="33" t="s">
        <v>9</v>
      </c>
      <c r="E1895" s="34">
        <v>80.819999999999993</v>
      </c>
      <c r="F1895" s="33">
        <v>3</v>
      </c>
      <c r="G1895" s="34">
        <v>242.46</v>
      </c>
      <c r="H1895" s="33" t="s">
        <v>28</v>
      </c>
      <c r="I1895" s="33" t="str">
        <f t="shared" si="58"/>
        <v>Low sales</v>
      </c>
      <c r="J1895" s="33" t="str">
        <f t="shared" si="59"/>
        <v>not eligible</v>
      </c>
    </row>
    <row r="1896" spans="1:10" x14ac:dyDescent="0.35">
      <c r="A1896" s="31">
        <v>45445.499305555553</v>
      </c>
      <c r="B1896" s="32">
        <v>8.3715277777777777E-2</v>
      </c>
      <c r="C1896" s="33" t="s">
        <v>14</v>
      </c>
      <c r="D1896" s="33" t="s">
        <v>16</v>
      </c>
      <c r="E1896" s="34">
        <v>73.819999999999993</v>
      </c>
      <c r="F1896" s="33">
        <v>5</v>
      </c>
      <c r="G1896" s="34">
        <v>369.1</v>
      </c>
      <c r="H1896" s="33" t="s">
        <v>371</v>
      </c>
      <c r="I1896" s="33" t="str">
        <f t="shared" si="58"/>
        <v>Low sales</v>
      </c>
      <c r="J1896" s="33" t="str">
        <f t="shared" si="59"/>
        <v>not eligible</v>
      </c>
    </row>
    <row r="1897" spans="1:10" x14ac:dyDescent="0.35">
      <c r="A1897" s="31">
        <v>45321.084027777775</v>
      </c>
      <c r="B1897" s="32">
        <v>0.642511574074074</v>
      </c>
      <c r="C1897" s="33" t="s">
        <v>14</v>
      </c>
      <c r="D1897" s="33" t="s">
        <v>12</v>
      </c>
      <c r="E1897" s="34">
        <v>267.7</v>
      </c>
      <c r="F1897" s="33">
        <v>5</v>
      </c>
      <c r="G1897" s="34">
        <v>1338.5</v>
      </c>
      <c r="H1897" s="33" t="s">
        <v>311</v>
      </c>
      <c r="I1897" s="33" t="str">
        <f t="shared" si="58"/>
        <v>Medium sales</v>
      </c>
      <c r="J1897" s="33" t="str">
        <f t="shared" si="59"/>
        <v>not eligible</v>
      </c>
    </row>
    <row r="1898" spans="1:10" x14ac:dyDescent="0.35">
      <c r="A1898" s="31">
        <v>45246.677777777775</v>
      </c>
      <c r="B1898" s="32">
        <v>0.23359953703703704</v>
      </c>
      <c r="C1898" s="33" t="s">
        <v>8</v>
      </c>
      <c r="D1898" s="33" t="s">
        <v>20</v>
      </c>
      <c r="E1898" s="34">
        <v>258.04000000000002</v>
      </c>
      <c r="F1898" s="33">
        <v>4</v>
      </c>
      <c r="G1898" s="34">
        <v>1032.1600000000001</v>
      </c>
      <c r="H1898" s="33" t="s">
        <v>88</v>
      </c>
      <c r="I1898" s="33" t="str">
        <f t="shared" si="58"/>
        <v>Medium sales</v>
      </c>
      <c r="J1898" s="33" t="str">
        <f t="shared" si="59"/>
        <v>not eligible</v>
      </c>
    </row>
    <row r="1899" spans="1:10" x14ac:dyDescent="0.35">
      <c r="A1899" s="31">
        <v>44974.888194444444</v>
      </c>
      <c r="B1899" s="32">
        <v>3.8877314814814816E-2</v>
      </c>
      <c r="C1899" s="33" t="s">
        <v>8</v>
      </c>
      <c r="D1899" s="33" t="s">
        <v>16</v>
      </c>
      <c r="E1899" s="34">
        <v>442.71</v>
      </c>
      <c r="F1899" s="33">
        <v>2</v>
      </c>
      <c r="G1899" s="34">
        <v>885.42</v>
      </c>
      <c r="H1899" s="33" t="s">
        <v>272</v>
      </c>
      <c r="I1899" s="33" t="str">
        <f t="shared" si="58"/>
        <v>Medium sales</v>
      </c>
      <c r="J1899" s="33" t="str">
        <f t="shared" si="59"/>
        <v>not eligible</v>
      </c>
    </row>
    <row r="1900" spans="1:10" x14ac:dyDescent="0.35">
      <c r="A1900" s="31">
        <v>45628.840277777781</v>
      </c>
      <c r="B1900" s="32">
        <v>0.34196759259259263</v>
      </c>
      <c r="C1900" s="33" t="s">
        <v>11</v>
      </c>
      <c r="D1900" s="33" t="s">
        <v>27</v>
      </c>
      <c r="E1900" s="34">
        <v>117.57</v>
      </c>
      <c r="F1900" s="33">
        <v>4</v>
      </c>
      <c r="G1900" s="34">
        <v>470.28</v>
      </c>
      <c r="H1900" s="33" t="s">
        <v>61</v>
      </c>
      <c r="I1900" s="33" t="str">
        <f t="shared" si="58"/>
        <v>Low sales</v>
      </c>
      <c r="J1900" s="33" t="str">
        <f t="shared" si="59"/>
        <v>not eligible</v>
      </c>
    </row>
    <row r="1901" spans="1:10" x14ac:dyDescent="0.35">
      <c r="A1901" s="31">
        <v>45546.179166666669</v>
      </c>
      <c r="B1901" s="32">
        <v>0.3336689814814815</v>
      </c>
      <c r="C1901" s="33" t="s">
        <v>14</v>
      </c>
      <c r="D1901" s="33" t="s">
        <v>20</v>
      </c>
      <c r="E1901" s="34">
        <v>346.53</v>
      </c>
      <c r="F1901" s="33">
        <v>4</v>
      </c>
      <c r="G1901" s="34">
        <v>1386.12</v>
      </c>
      <c r="H1901" s="33" t="s">
        <v>383</v>
      </c>
      <c r="I1901" s="33" t="str">
        <f t="shared" si="58"/>
        <v>Medium sales</v>
      </c>
      <c r="J1901" s="33" t="str">
        <f t="shared" si="59"/>
        <v>not eligible</v>
      </c>
    </row>
    <row r="1902" spans="1:10" x14ac:dyDescent="0.35">
      <c r="A1902" s="31">
        <v>45565.609027777777</v>
      </c>
      <c r="B1902" s="32">
        <v>0.7775347222222222</v>
      </c>
      <c r="C1902" s="33" t="s">
        <v>14</v>
      </c>
      <c r="D1902" s="33" t="s">
        <v>12</v>
      </c>
      <c r="E1902" s="34">
        <v>316.8</v>
      </c>
      <c r="F1902" s="33">
        <v>1</v>
      </c>
      <c r="G1902" s="34">
        <v>316.8</v>
      </c>
      <c r="H1902" s="33" t="s">
        <v>125</v>
      </c>
      <c r="I1902" s="33" t="str">
        <f t="shared" si="58"/>
        <v>Low sales</v>
      </c>
      <c r="J1902" s="33" t="str">
        <f t="shared" si="59"/>
        <v>not eligible</v>
      </c>
    </row>
    <row r="1903" spans="1:10" x14ac:dyDescent="0.35">
      <c r="A1903" s="31">
        <v>45572.197222222225</v>
      </c>
      <c r="B1903" s="32">
        <v>0.99891203703703713</v>
      </c>
      <c r="C1903" s="33" t="s">
        <v>8</v>
      </c>
      <c r="D1903" s="33" t="s">
        <v>12</v>
      </c>
      <c r="E1903" s="34">
        <v>59.97</v>
      </c>
      <c r="F1903" s="33">
        <v>2</v>
      </c>
      <c r="G1903" s="34">
        <v>119.94</v>
      </c>
      <c r="H1903" s="33" t="s">
        <v>275</v>
      </c>
      <c r="I1903" s="33" t="str">
        <f t="shared" si="58"/>
        <v>Low sales</v>
      </c>
      <c r="J1903" s="33" t="str">
        <f t="shared" si="59"/>
        <v>not eligible</v>
      </c>
    </row>
    <row r="1904" spans="1:10" x14ac:dyDescent="0.35">
      <c r="A1904" s="31">
        <v>44956.059027777781</v>
      </c>
      <c r="B1904" s="32">
        <v>0.52997685185185184</v>
      </c>
      <c r="C1904" s="33" t="s">
        <v>8</v>
      </c>
      <c r="D1904" s="33" t="s">
        <v>9</v>
      </c>
      <c r="E1904" s="34">
        <v>201.03</v>
      </c>
      <c r="F1904" s="33">
        <v>3</v>
      </c>
      <c r="G1904" s="34">
        <v>603.09</v>
      </c>
      <c r="H1904" s="33" t="s">
        <v>43</v>
      </c>
      <c r="I1904" s="33" t="str">
        <f t="shared" si="58"/>
        <v>Medium sales</v>
      </c>
      <c r="J1904" s="33" t="str">
        <f t="shared" si="59"/>
        <v>not eligible</v>
      </c>
    </row>
    <row r="1905" spans="1:10" x14ac:dyDescent="0.35">
      <c r="A1905" s="31">
        <v>45086.004861111112</v>
      </c>
      <c r="B1905" s="32">
        <v>0.32510416666666669</v>
      </c>
      <c r="C1905" s="33" t="s">
        <v>8</v>
      </c>
      <c r="D1905" s="33" t="s">
        <v>12</v>
      </c>
      <c r="E1905" s="34">
        <v>406.15</v>
      </c>
      <c r="F1905" s="33">
        <v>4</v>
      </c>
      <c r="G1905" s="34">
        <v>1624.6</v>
      </c>
      <c r="H1905" s="33" t="s">
        <v>55</v>
      </c>
      <c r="I1905" s="33" t="str">
        <f t="shared" si="58"/>
        <v>High sales</v>
      </c>
      <c r="J1905" s="33" t="str">
        <f t="shared" si="59"/>
        <v>not eligible</v>
      </c>
    </row>
    <row r="1906" spans="1:10" x14ac:dyDescent="0.35">
      <c r="A1906" s="31">
        <v>45022.761805555558</v>
      </c>
      <c r="B1906" s="32">
        <v>0.7087268518518518</v>
      </c>
      <c r="C1906" s="33" t="s">
        <v>11</v>
      </c>
      <c r="D1906" s="33" t="s">
        <v>12</v>
      </c>
      <c r="E1906" s="34">
        <v>147.5</v>
      </c>
      <c r="F1906" s="33">
        <v>5</v>
      </c>
      <c r="G1906" s="34">
        <v>737.5</v>
      </c>
      <c r="H1906" s="33" t="s">
        <v>175</v>
      </c>
      <c r="I1906" s="33" t="str">
        <f t="shared" si="58"/>
        <v>Medium sales</v>
      </c>
      <c r="J1906" s="33" t="str">
        <f t="shared" si="59"/>
        <v>not eligible</v>
      </c>
    </row>
    <row r="1907" spans="1:10" x14ac:dyDescent="0.35">
      <c r="A1907" s="31">
        <v>45385.74722222222</v>
      </c>
      <c r="B1907" s="32">
        <v>0.5554513888888889</v>
      </c>
      <c r="C1907" s="33" t="s">
        <v>11</v>
      </c>
      <c r="D1907" s="33" t="s">
        <v>16</v>
      </c>
      <c r="E1907" s="34">
        <v>30.78</v>
      </c>
      <c r="F1907" s="33">
        <v>5</v>
      </c>
      <c r="G1907" s="34">
        <v>153.9</v>
      </c>
      <c r="H1907" s="33" t="s">
        <v>333</v>
      </c>
      <c r="I1907" s="33" t="str">
        <f t="shared" si="58"/>
        <v>Low sales</v>
      </c>
      <c r="J1907" s="33" t="str">
        <f t="shared" si="59"/>
        <v>not eligible</v>
      </c>
    </row>
    <row r="1908" spans="1:10" x14ac:dyDescent="0.35">
      <c r="A1908" s="31">
        <v>45446.408333333333</v>
      </c>
      <c r="B1908" s="32">
        <v>0.98929398148148151</v>
      </c>
      <c r="C1908" s="33" t="s">
        <v>14</v>
      </c>
      <c r="D1908" s="33" t="s">
        <v>20</v>
      </c>
      <c r="E1908" s="34">
        <v>354.09</v>
      </c>
      <c r="F1908" s="33">
        <v>5</v>
      </c>
      <c r="G1908" s="34">
        <v>1770.45</v>
      </c>
      <c r="H1908" s="33" t="s">
        <v>314</v>
      </c>
      <c r="I1908" s="33" t="str">
        <f t="shared" si="58"/>
        <v>High sales</v>
      </c>
      <c r="J1908" s="33" t="str">
        <f t="shared" si="59"/>
        <v>not eligible</v>
      </c>
    </row>
    <row r="1909" spans="1:10" x14ac:dyDescent="0.35">
      <c r="A1909" s="31">
        <v>45387.380555555559</v>
      </c>
      <c r="B1909" s="32">
        <v>0.36321759259259262</v>
      </c>
      <c r="C1909" s="33" t="s">
        <v>11</v>
      </c>
      <c r="D1909" s="33" t="s">
        <v>9</v>
      </c>
      <c r="E1909" s="34">
        <v>75.510000000000005</v>
      </c>
      <c r="F1909" s="33">
        <v>4</v>
      </c>
      <c r="G1909" s="34">
        <v>302.04000000000002</v>
      </c>
      <c r="H1909" s="33" t="s">
        <v>49</v>
      </c>
      <c r="I1909" s="33" t="str">
        <f t="shared" si="58"/>
        <v>Low sales</v>
      </c>
      <c r="J1909" s="33" t="str">
        <f t="shared" si="59"/>
        <v>not eligible</v>
      </c>
    </row>
    <row r="1910" spans="1:10" x14ac:dyDescent="0.35">
      <c r="A1910" s="31">
        <v>45356.495833333334</v>
      </c>
      <c r="B1910" s="32">
        <v>2.2395833333333334E-2</v>
      </c>
      <c r="C1910" s="33" t="s">
        <v>11</v>
      </c>
      <c r="D1910" s="33" t="s">
        <v>12</v>
      </c>
      <c r="E1910" s="34">
        <v>143.13999999999999</v>
      </c>
      <c r="F1910" s="33">
        <v>2</v>
      </c>
      <c r="G1910" s="34">
        <v>286.27999999999997</v>
      </c>
      <c r="H1910" s="33" t="s">
        <v>61</v>
      </c>
      <c r="I1910" s="33" t="str">
        <f t="shared" si="58"/>
        <v>Low sales</v>
      </c>
      <c r="J1910" s="33" t="str">
        <f t="shared" si="59"/>
        <v>not eligible</v>
      </c>
    </row>
    <row r="1911" spans="1:10" x14ac:dyDescent="0.35">
      <c r="A1911" s="31">
        <v>45488.280555555553</v>
      </c>
      <c r="B1911" s="32">
        <v>0.45567129629629632</v>
      </c>
      <c r="C1911" s="33" t="s">
        <v>11</v>
      </c>
      <c r="D1911" s="33" t="s">
        <v>27</v>
      </c>
      <c r="E1911" s="34">
        <v>421.65</v>
      </c>
      <c r="F1911" s="33">
        <v>1</v>
      </c>
      <c r="G1911" s="34">
        <v>421.65</v>
      </c>
      <c r="H1911" s="33" t="s">
        <v>269</v>
      </c>
      <c r="I1911" s="33" t="str">
        <f t="shared" si="58"/>
        <v>Low sales</v>
      </c>
      <c r="J1911" s="33" t="str">
        <f t="shared" si="59"/>
        <v>not eligible</v>
      </c>
    </row>
    <row r="1912" spans="1:10" x14ac:dyDescent="0.35">
      <c r="A1912" s="31">
        <v>45292.243055555555</v>
      </c>
      <c r="B1912" s="32">
        <v>3.1678240740740743E-2</v>
      </c>
      <c r="C1912" s="33" t="s">
        <v>14</v>
      </c>
      <c r="D1912" s="33" t="s">
        <v>20</v>
      </c>
      <c r="E1912" s="34">
        <v>29.31</v>
      </c>
      <c r="F1912" s="33">
        <v>5</v>
      </c>
      <c r="G1912" s="34">
        <v>146.55000000000001</v>
      </c>
      <c r="H1912" s="33" t="s">
        <v>121</v>
      </c>
      <c r="I1912" s="33" t="str">
        <f t="shared" si="58"/>
        <v>Low sales</v>
      </c>
      <c r="J1912" s="33" t="str">
        <f t="shared" si="59"/>
        <v>not eligible</v>
      </c>
    </row>
    <row r="1913" spans="1:10" x14ac:dyDescent="0.35">
      <c r="A1913" s="31">
        <v>45463.182638888888</v>
      </c>
      <c r="B1913" s="32">
        <v>0.92877314814814815</v>
      </c>
      <c r="C1913" s="33" t="s">
        <v>11</v>
      </c>
      <c r="D1913" s="33" t="s">
        <v>20</v>
      </c>
      <c r="E1913" s="34">
        <v>173.13</v>
      </c>
      <c r="F1913" s="33">
        <v>4</v>
      </c>
      <c r="G1913" s="34">
        <v>692.52</v>
      </c>
      <c r="H1913" s="33" t="s">
        <v>72</v>
      </c>
      <c r="I1913" s="33" t="str">
        <f t="shared" si="58"/>
        <v>Medium sales</v>
      </c>
      <c r="J1913" s="33" t="str">
        <f t="shared" si="59"/>
        <v>not eligible</v>
      </c>
    </row>
    <row r="1914" spans="1:10" x14ac:dyDescent="0.35">
      <c r="A1914" s="31">
        <v>45081.478472222225</v>
      </c>
      <c r="B1914" s="32">
        <v>0.93141203703703701</v>
      </c>
      <c r="C1914" s="33" t="s">
        <v>11</v>
      </c>
      <c r="D1914" s="33" t="s">
        <v>12</v>
      </c>
      <c r="E1914" s="34">
        <v>227.28</v>
      </c>
      <c r="F1914" s="33">
        <v>4</v>
      </c>
      <c r="G1914" s="34">
        <v>909.12</v>
      </c>
      <c r="H1914" s="33" t="s">
        <v>124</v>
      </c>
      <c r="I1914" s="33" t="str">
        <f t="shared" si="58"/>
        <v>Medium sales</v>
      </c>
      <c r="J1914" s="33" t="str">
        <f t="shared" si="59"/>
        <v>not eligible</v>
      </c>
    </row>
    <row r="1915" spans="1:10" x14ac:dyDescent="0.35">
      <c r="A1915" s="31">
        <v>44975.134722222225</v>
      </c>
      <c r="B1915" s="32">
        <v>0.85585648148148152</v>
      </c>
      <c r="C1915" s="33" t="s">
        <v>14</v>
      </c>
      <c r="D1915" s="33" t="s">
        <v>12</v>
      </c>
      <c r="E1915" s="34">
        <v>249.64</v>
      </c>
      <c r="F1915" s="33">
        <v>5</v>
      </c>
      <c r="G1915" s="34">
        <v>1248.2</v>
      </c>
      <c r="H1915" s="33" t="s">
        <v>274</v>
      </c>
      <c r="I1915" s="33" t="str">
        <f t="shared" si="58"/>
        <v>Medium sales</v>
      </c>
      <c r="J1915" s="33" t="str">
        <f t="shared" si="59"/>
        <v>not eligible</v>
      </c>
    </row>
    <row r="1916" spans="1:10" x14ac:dyDescent="0.35">
      <c r="A1916" s="31">
        <v>44945.847916666666</v>
      </c>
      <c r="B1916" s="32">
        <v>0.67874999999999996</v>
      </c>
      <c r="C1916" s="33" t="s">
        <v>14</v>
      </c>
      <c r="D1916" s="33" t="s">
        <v>12</v>
      </c>
      <c r="E1916" s="34">
        <v>437.59</v>
      </c>
      <c r="F1916" s="33">
        <v>4</v>
      </c>
      <c r="G1916" s="34">
        <v>1750.36</v>
      </c>
      <c r="H1916" s="33" t="s">
        <v>342</v>
      </c>
      <c r="I1916" s="33" t="str">
        <f t="shared" si="58"/>
        <v>High sales</v>
      </c>
      <c r="J1916" s="33" t="str">
        <f t="shared" si="59"/>
        <v>not eligible</v>
      </c>
    </row>
    <row r="1917" spans="1:10" x14ac:dyDescent="0.35">
      <c r="A1917" s="31">
        <v>45126.934027777781</v>
      </c>
      <c r="B1917" s="32">
        <v>0.79309027777777785</v>
      </c>
      <c r="C1917" s="33" t="s">
        <v>14</v>
      </c>
      <c r="D1917" s="33" t="s">
        <v>20</v>
      </c>
      <c r="E1917" s="34">
        <v>118.55</v>
      </c>
      <c r="F1917" s="33">
        <v>3</v>
      </c>
      <c r="G1917" s="34">
        <v>355.65</v>
      </c>
      <c r="H1917" s="33" t="s">
        <v>39</v>
      </c>
      <c r="I1917" s="33" t="str">
        <f t="shared" si="58"/>
        <v>Low sales</v>
      </c>
      <c r="J1917" s="33" t="str">
        <f t="shared" si="59"/>
        <v>not eligible</v>
      </c>
    </row>
    <row r="1918" spans="1:10" x14ac:dyDescent="0.35">
      <c r="A1918" s="31">
        <v>45591.191666666666</v>
      </c>
      <c r="B1918" s="32">
        <v>5.6504629629629627E-2</v>
      </c>
      <c r="C1918" s="33" t="s">
        <v>14</v>
      </c>
      <c r="D1918" s="33" t="s">
        <v>16</v>
      </c>
      <c r="E1918" s="34">
        <v>244.6</v>
      </c>
      <c r="F1918" s="33">
        <v>4</v>
      </c>
      <c r="G1918" s="34">
        <v>978.4</v>
      </c>
      <c r="H1918" s="33" t="s">
        <v>33</v>
      </c>
      <c r="I1918" s="33" t="str">
        <f t="shared" si="58"/>
        <v>Medium sales</v>
      </c>
      <c r="J1918" s="33" t="str">
        <f t="shared" si="59"/>
        <v>not eligible</v>
      </c>
    </row>
    <row r="1919" spans="1:10" x14ac:dyDescent="0.35">
      <c r="A1919" s="31">
        <v>45511.751388888886</v>
      </c>
      <c r="B1919" s="32">
        <v>0.96559027777777784</v>
      </c>
      <c r="C1919" s="33" t="s">
        <v>14</v>
      </c>
      <c r="D1919" s="33" t="s">
        <v>20</v>
      </c>
      <c r="E1919" s="34">
        <v>366.59</v>
      </c>
      <c r="F1919" s="33">
        <v>2</v>
      </c>
      <c r="G1919" s="34">
        <v>733.18</v>
      </c>
      <c r="H1919" s="33" t="s">
        <v>172</v>
      </c>
      <c r="I1919" s="33" t="str">
        <f t="shared" si="58"/>
        <v>Medium sales</v>
      </c>
      <c r="J1919" s="33" t="str">
        <f t="shared" si="59"/>
        <v>not eligible</v>
      </c>
    </row>
    <row r="1920" spans="1:10" x14ac:dyDescent="0.35">
      <c r="A1920" s="31">
        <v>45434.974999999999</v>
      </c>
      <c r="B1920" s="32">
        <v>0.54137731481481477</v>
      </c>
      <c r="C1920" s="33" t="s">
        <v>8</v>
      </c>
      <c r="D1920" s="33" t="s">
        <v>16</v>
      </c>
      <c r="E1920" s="34">
        <v>475.88</v>
      </c>
      <c r="F1920" s="33">
        <v>3</v>
      </c>
      <c r="G1920" s="34">
        <v>1427.64</v>
      </c>
      <c r="H1920" s="33" t="s">
        <v>237</v>
      </c>
      <c r="I1920" s="33" t="str">
        <f t="shared" si="58"/>
        <v>Medium sales</v>
      </c>
      <c r="J1920" s="33" t="str">
        <f t="shared" si="59"/>
        <v>not eligible</v>
      </c>
    </row>
    <row r="1921" spans="1:10" x14ac:dyDescent="0.35">
      <c r="A1921" s="31">
        <v>44963.924305555556</v>
      </c>
      <c r="B1921" s="32">
        <v>0.57754629629629628</v>
      </c>
      <c r="C1921" s="33" t="s">
        <v>8</v>
      </c>
      <c r="D1921" s="33" t="s">
        <v>16</v>
      </c>
      <c r="E1921" s="34">
        <v>366.68</v>
      </c>
      <c r="F1921" s="33">
        <v>2</v>
      </c>
      <c r="G1921" s="34">
        <v>733.36</v>
      </c>
      <c r="H1921" s="33" t="s">
        <v>65</v>
      </c>
      <c r="I1921" s="33" t="str">
        <f t="shared" si="58"/>
        <v>Medium sales</v>
      </c>
      <c r="J1921" s="33" t="str">
        <f t="shared" si="59"/>
        <v>not eligible</v>
      </c>
    </row>
    <row r="1922" spans="1:10" x14ac:dyDescent="0.35">
      <c r="A1922" s="31">
        <v>45658.036805555559</v>
      </c>
      <c r="B1922" s="32">
        <v>0.36328703703703707</v>
      </c>
      <c r="C1922" s="33" t="s">
        <v>8</v>
      </c>
      <c r="D1922" s="33" t="s">
        <v>27</v>
      </c>
      <c r="E1922" s="34">
        <v>322.32</v>
      </c>
      <c r="F1922" s="33">
        <v>3</v>
      </c>
      <c r="G1922" s="34">
        <v>966.96</v>
      </c>
      <c r="H1922" s="33" t="s">
        <v>271</v>
      </c>
      <c r="I1922" s="33" t="str">
        <f t="shared" si="58"/>
        <v>Medium sales</v>
      </c>
      <c r="J1922" s="33" t="str">
        <f t="shared" si="59"/>
        <v>not eligible</v>
      </c>
    </row>
    <row r="1923" spans="1:10" x14ac:dyDescent="0.35">
      <c r="A1923" s="31">
        <v>45122.908333333333</v>
      </c>
      <c r="B1923" s="32">
        <v>0.29112268518518519</v>
      </c>
      <c r="C1923" s="33" t="s">
        <v>11</v>
      </c>
      <c r="D1923" s="33" t="s">
        <v>27</v>
      </c>
      <c r="E1923" s="34">
        <v>278</v>
      </c>
      <c r="F1923" s="33">
        <v>5</v>
      </c>
      <c r="G1923" s="34">
        <v>1390</v>
      </c>
      <c r="H1923" s="33" t="s">
        <v>282</v>
      </c>
      <c r="I1923" s="33" t="str">
        <f t="shared" ref="I1923:I1986" si="60">IF(G1923&gt;1500,"High sales", IF(G1923&gt;500,"Medium sales", "Low sales"))</f>
        <v>Medium sales</v>
      </c>
      <c r="J1923" s="33" t="str">
        <f t="shared" ref="J1923:J1986" si="61">IF(AND(G1923&gt;1000,C1923="Premium"), "eligible", "not eligible")</f>
        <v>eligible</v>
      </c>
    </row>
    <row r="1924" spans="1:10" x14ac:dyDescent="0.35">
      <c r="A1924" s="31">
        <v>45413.199305555558</v>
      </c>
      <c r="B1924" s="32">
        <v>0.9660185185185185</v>
      </c>
      <c r="C1924" s="33" t="s">
        <v>14</v>
      </c>
      <c r="D1924" s="33" t="s">
        <v>27</v>
      </c>
      <c r="E1924" s="34">
        <v>426.9</v>
      </c>
      <c r="F1924" s="33">
        <v>3</v>
      </c>
      <c r="G1924" s="34">
        <v>1280.7</v>
      </c>
      <c r="H1924" s="33" t="s">
        <v>132</v>
      </c>
      <c r="I1924" s="33" t="str">
        <f t="shared" si="60"/>
        <v>Medium sales</v>
      </c>
      <c r="J1924" s="33" t="str">
        <f t="shared" si="61"/>
        <v>not eligible</v>
      </c>
    </row>
    <row r="1925" spans="1:10" x14ac:dyDescent="0.35">
      <c r="A1925" s="31">
        <v>45300.835416666669</v>
      </c>
      <c r="B1925" s="32">
        <v>0.86273148148148149</v>
      </c>
      <c r="C1925" s="33" t="s">
        <v>11</v>
      </c>
      <c r="D1925" s="33" t="s">
        <v>20</v>
      </c>
      <c r="E1925" s="34">
        <v>187.36</v>
      </c>
      <c r="F1925" s="33">
        <v>5</v>
      </c>
      <c r="G1925" s="34">
        <v>936.8</v>
      </c>
      <c r="H1925" s="33" t="s">
        <v>250</v>
      </c>
      <c r="I1925" s="33" t="str">
        <f t="shared" si="60"/>
        <v>Medium sales</v>
      </c>
      <c r="J1925" s="33" t="str">
        <f t="shared" si="61"/>
        <v>not eligible</v>
      </c>
    </row>
    <row r="1926" spans="1:10" x14ac:dyDescent="0.35">
      <c r="A1926" s="31">
        <v>45366.538194444445</v>
      </c>
      <c r="B1926" s="32">
        <v>0.5869212962962963</v>
      </c>
      <c r="C1926" s="33" t="s">
        <v>8</v>
      </c>
      <c r="D1926" s="33" t="s">
        <v>20</v>
      </c>
      <c r="E1926" s="34">
        <v>272.58999999999997</v>
      </c>
      <c r="F1926" s="33">
        <v>2</v>
      </c>
      <c r="G1926" s="34">
        <v>545.17999999999995</v>
      </c>
      <c r="H1926" s="33" t="s">
        <v>43</v>
      </c>
      <c r="I1926" s="33" t="str">
        <f t="shared" si="60"/>
        <v>Medium sales</v>
      </c>
      <c r="J1926" s="33" t="str">
        <f t="shared" si="61"/>
        <v>not eligible</v>
      </c>
    </row>
    <row r="1927" spans="1:10" x14ac:dyDescent="0.35">
      <c r="A1927" s="31">
        <v>45441.810416666667</v>
      </c>
      <c r="B1927" s="32">
        <v>0.76333333333333331</v>
      </c>
      <c r="C1927" s="33" t="s">
        <v>11</v>
      </c>
      <c r="D1927" s="33" t="s">
        <v>16</v>
      </c>
      <c r="E1927" s="34">
        <v>162.16999999999999</v>
      </c>
      <c r="F1927" s="33">
        <v>3</v>
      </c>
      <c r="G1927" s="34">
        <v>486.51</v>
      </c>
      <c r="H1927" s="33" t="s">
        <v>186</v>
      </c>
      <c r="I1927" s="33" t="str">
        <f t="shared" si="60"/>
        <v>Low sales</v>
      </c>
      <c r="J1927" s="33" t="str">
        <f t="shared" si="61"/>
        <v>not eligible</v>
      </c>
    </row>
    <row r="1928" spans="1:10" x14ac:dyDescent="0.35">
      <c r="A1928" s="31">
        <v>45534.423611111109</v>
      </c>
      <c r="B1928" s="32">
        <v>0.4808101851851852</v>
      </c>
      <c r="C1928" s="33" t="s">
        <v>11</v>
      </c>
      <c r="D1928" s="33" t="s">
        <v>27</v>
      </c>
      <c r="E1928" s="34">
        <v>38.89</v>
      </c>
      <c r="F1928" s="33">
        <v>1</v>
      </c>
      <c r="G1928" s="34">
        <v>38.89</v>
      </c>
      <c r="H1928" s="33" t="s">
        <v>276</v>
      </c>
      <c r="I1928" s="33" t="str">
        <f t="shared" si="60"/>
        <v>Low sales</v>
      </c>
      <c r="J1928" s="33" t="str">
        <f t="shared" si="61"/>
        <v>not eligible</v>
      </c>
    </row>
    <row r="1929" spans="1:10" x14ac:dyDescent="0.35">
      <c r="A1929" s="31">
        <v>44988.24722222222</v>
      </c>
      <c r="B1929" s="32">
        <v>0.5385416666666667</v>
      </c>
      <c r="C1929" s="33" t="s">
        <v>8</v>
      </c>
      <c r="D1929" s="33" t="s">
        <v>9</v>
      </c>
      <c r="E1929" s="34">
        <v>222.12</v>
      </c>
      <c r="F1929" s="33">
        <v>5</v>
      </c>
      <c r="G1929" s="34">
        <v>1110.5999999999999</v>
      </c>
      <c r="H1929" s="33" t="s">
        <v>65</v>
      </c>
      <c r="I1929" s="33" t="str">
        <f t="shared" si="60"/>
        <v>Medium sales</v>
      </c>
      <c r="J1929" s="33" t="str">
        <f t="shared" si="61"/>
        <v>not eligible</v>
      </c>
    </row>
    <row r="1930" spans="1:10" x14ac:dyDescent="0.35">
      <c r="A1930" s="31">
        <v>45418.821527777778</v>
      </c>
      <c r="B1930" s="32">
        <v>0.63005787037037042</v>
      </c>
      <c r="C1930" s="33" t="s">
        <v>11</v>
      </c>
      <c r="D1930" s="33" t="s">
        <v>20</v>
      </c>
      <c r="E1930" s="34">
        <v>136.04</v>
      </c>
      <c r="F1930" s="33">
        <v>4</v>
      </c>
      <c r="G1930" s="34">
        <v>544.16</v>
      </c>
      <c r="H1930" s="33" t="s">
        <v>44</v>
      </c>
      <c r="I1930" s="33" t="str">
        <f t="shared" si="60"/>
        <v>Medium sales</v>
      </c>
      <c r="J1930" s="33" t="str">
        <f t="shared" si="61"/>
        <v>not eligible</v>
      </c>
    </row>
    <row r="1931" spans="1:10" x14ac:dyDescent="0.35">
      <c r="A1931" s="31">
        <v>45095.45416666667</v>
      </c>
      <c r="B1931" s="32">
        <v>0.15972222222222224</v>
      </c>
      <c r="C1931" s="33" t="s">
        <v>14</v>
      </c>
      <c r="D1931" s="33" t="s">
        <v>27</v>
      </c>
      <c r="E1931" s="34">
        <v>397.69</v>
      </c>
      <c r="F1931" s="33">
        <v>1</v>
      </c>
      <c r="G1931" s="34">
        <v>397.69</v>
      </c>
      <c r="H1931" s="33" t="s">
        <v>168</v>
      </c>
      <c r="I1931" s="33" t="str">
        <f t="shared" si="60"/>
        <v>Low sales</v>
      </c>
      <c r="J1931" s="33" t="str">
        <f t="shared" si="61"/>
        <v>not eligible</v>
      </c>
    </row>
    <row r="1932" spans="1:10" x14ac:dyDescent="0.35">
      <c r="A1932" s="31">
        <v>45538.178472222222</v>
      </c>
      <c r="B1932" s="32">
        <v>0.16837962962962963</v>
      </c>
      <c r="C1932" s="33" t="s">
        <v>8</v>
      </c>
      <c r="D1932" s="33" t="s">
        <v>16</v>
      </c>
      <c r="E1932" s="34">
        <v>397.86</v>
      </c>
      <c r="F1932" s="33">
        <v>4</v>
      </c>
      <c r="G1932" s="34">
        <v>1591.44</v>
      </c>
      <c r="H1932" s="33" t="s">
        <v>191</v>
      </c>
      <c r="I1932" s="33" t="str">
        <f t="shared" si="60"/>
        <v>High sales</v>
      </c>
      <c r="J1932" s="33" t="str">
        <f t="shared" si="61"/>
        <v>not eligible</v>
      </c>
    </row>
    <row r="1933" spans="1:10" x14ac:dyDescent="0.35">
      <c r="A1933" s="31">
        <v>45547.392361111109</v>
      </c>
      <c r="B1933" s="32">
        <v>0.77081018518518529</v>
      </c>
      <c r="C1933" s="33" t="s">
        <v>8</v>
      </c>
      <c r="D1933" s="33" t="s">
        <v>9</v>
      </c>
      <c r="E1933" s="34">
        <v>14.13</v>
      </c>
      <c r="F1933" s="33">
        <v>1</v>
      </c>
      <c r="G1933" s="34">
        <v>14.13</v>
      </c>
      <c r="H1933" s="33" t="s">
        <v>272</v>
      </c>
      <c r="I1933" s="33" t="str">
        <f t="shared" si="60"/>
        <v>Low sales</v>
      </c>
      <c r="J1933" s="33" t="str">
        <f t="shared" si="61"/>
        <v>not eligible</v>
      </c>
    </row>
    <row r="1934" spans="1:10" x14ac:dyDescent="0.35">
      <c r="A1934" s="31">
        <v>45114.209027777775</v>
      </c>
      <c r="B1934" s="32">
        <v>0.88177083333333339</v>
      </c>
      <c r="C1934" s="33" t="s">
        <v>11</v>
      </c>
      <c r="D1934" s="33" t="s">
        <v>20</v>
      </c>
      <c r="E1934" s="34">
        <v>161.05000000000001</v>
      </c>
      <c r="F1934" s="33">
        <v>4</v>
      </c>
      <c r="G1934" s="34">
        <v>644.20000000000005</v>
      </c>
      <c r="H1934" s="33" t="s">
        <v>115</v>
      </c>
      <c r="I1934" s="33" t="str">
        <f t="shared" si="60"/>
        <v>Medium sales</v>
      </c>
      <c r="J1934" s="33" t="str">
        <f t="shared" si="61"/>
        <v>not eligible</v>
      </c>
    </row>
    <row r="1935" spans="1:10" x14ac:dyDescent="0.35">
      <c r="A1935" s="31">
        <v>45547.561111111114</v>
      </c>
      <c r="B1935" s="32">
        <v>0.77824074074074068</v>
      </c>
      <c r="C1935" s="33" t="s">
        <v>11</v>
      </c>
      <c r="D1935" s="33" t="s">
        <v>20</v>
      </c>
      <c r="E1935" s="34">
        <v>484.51</v>
      </c>
      <c r="F1935" s="33">
        <v>3</v>
      </c>
      <c r="G1935" s="34">
        <v>1453.53</v>
      </c>
      <c r="H1935" s="33" t="s">
        <v>271</v>
      </c>
      <c r="I1935" s="33" t="str">
        <f t="shared" si="60"/>
        <v>Medium sales</v>
      </c>
      <c r="J1935" s="33" t="str">
        <f t="shared" si="61"/>
        <v>eligible</v>
      </c>
    </row>
    <row r="1936" spans="1:10" x14ac:dyDescent="0.35">
      <c r="A1936" s="31">
        <v>45272.929861111108</v>
      </c>
      <c r="B1936" s="32">
        <v>0.31513888888888891</v>
      </c>
      <c r="C1936" s="33" t="s">
        <v>11</v>
      </c>
      <c r="D1936" s="33" t="s">
        <v>16</v>
      </c>
      <c r="E1936" s="34">
        <v>438.52</v>
      </c>
      <c r="F1936" s="33">
        <v>4</v>
      </c>
      <c r="G1936" s="34">
        <v>1754.08</v>
      </c>
      <c r="H1936" s="33" t="s">
        <v>406</v>
      </c>
      <c r="I1936" s="33" t="str">
        <f t="shared" si="60"/>
        <v>High sales</v>
      </c>
      <c r="J1936" s="33" t="str">
        <f t="shared" si="61"/>
        <v>eligible</v>
      </c>
    </row>
    <row r="1937" spans="1:10" x14ac:dyDescent="0.35">
      <c r="A1937" s="31">
        <v>44988.838888888888</v>
      </c>
      <c r="B1937" s="32">
        <v>0.3228935185185185</v>
      </c>
      <c r="C1937" s="33" t="s">
        <v>8</v>
      </c>
      <c r="D1937" s="33" t="s">
        <v>27</v>
      </c>
      <c r="E1937" s="34">
        <v>29.98</v>
      </c>
      <c r="F1937" s="33">
        <v>3</v>
      </c>
      <c r="G1937" s="34">
        <v>89.94</v>
      </c>
      <c r="H1937" s="33" t="s">
        <v>87</v>
      </c>
      <c r="I1937" s="33" t="str">
        <f t="shared" si="60"/>
        <v>Low sales</v>
      </c>
      <c r="J1937" s="33" t="str">
        <f t="shared" si="61"/>
        <v>not eligible</v>
      </c>
    </row>
    <row r="1938" spans="1:10" x14ac:dyDescent="0.35">
      <c r="A1938" s="31">
        <v>44968.374305555553</v>
      </c>
      <c r="B1938" s="32">
        <v>0.83418981481481491</v>
      </c>
      <c r="C1938" s="33" t="s">
        <v>11</v>
      </c>
      <c r="D1938" s="33" t="s">
        <v>20</v>
      </c>
      <c r="E1938" s="34">
        <v>479.76</v>
      </c>
      <c r="F1938" s="33">
        <v>3</v>
      </c>
      <c r="G1938" s="34">
        <v>1439.28</v>
      </c>
      <c r="H1938" s="33" t="s">
        <v>78</v>
      </c>
      <c r="I1938" s="33" t="str">
        <f t="shared" si="60"/>
        <v>Medium sales</v>
      </c>
      <c r="J1938" s="33" t="str">
        <f t="shared" si="61"/>
        <v>eligible</v>
      </c>
    </row>
    <row r="1939" spans="1:10" x14ac:dyDescent="0.35">
      <c r="A1939" s="31">
        <v>45091.682638888888</v>
      </c>
      <c r="B1939" s="32">
        <v>0.15714120370370369</v>
      </c>
      <c r="C1939" s="33" t="s">
        <v>8</v>
      </c>
      <c r="D1939" s="33" t="s">
        <v>27</v>
      </c>
      <c r="E1939" s="34">
        <v>63.73</v>
      </c>
      <c r="F1939" s="33">
        <v>1</v>
      </c>
      <c r="G1939" s="34">
        <v>63.73</v>
      </c>
      <c r="H1939" s="33" t="s">
        <v>356</v>
      </c>
      <c r="I1939" s="33" t="str">
        <f t="shared" si="60"/>
        <v>Low sales</v>
      </c>
      <c r="J1939" s="33" t="str">
        <f t="shared" si="61"/>
        <v>not eligible</v>
      </c>
    </row>
    <row r="1940" spans="1:10" x14ac:dyDescent="0.35">
      <c r="A1940" s="31">
        <v>45591.772222222222</v>
      </c>
      <c r="B1940" s="32">
        <v>0.66796296296296298</v>
      </c>
      <c r="C1940" s="33" t="s">
        <v>11</v>
      </c>
      <c r="D1940" s="33" t="s">
        <v>16</v>
      </c>
      <c r="E1940" s="34">
        <v>51.9</v>
      </c>
      <c r="F1940" s="33">
        <v>1</v>
      </c>
      <c r="G1940" s="34">
        <v>51.9</v>
      </c>
      <c r="H1940" s="33" t="s">
        <v>83</v>
      </c>
      <c r="I1940" s="33" t="str">
        <f t="shared" si="60"/>
        <v>Low sales</v>
      </c>
      <c r="J1940" s="33" t="str">
        <f t="shared" si="61"/>
        <v>not eligible</v>
      </c>
    </row>
    <row r="1941" spans="1:10" x14ac:dyDescent="0.35">
      <c r="A1941" s="31">
        <v>45170.968055555553</v>
      </c>
      <c r="B1941" s="32">
        <v>0.64027777777777783</v>
      </c>
      <c r="C1941" s="33" t="s">
        <v>14</v>
      </c>
      <c r="D1941" s="33" t="s">
        <v>20</v>
      </c>
      <c r="E1941" s="34">
        <v>457.39</v>
      </c>
      <c r="F1941" s="33">
        <v>2</v>
      </c>
      <c r="G1941" s="34">
        <v>914.78</v>
      </c>
      <c r="H1941" s="33" t="s">
        <v>188</v>
      </c>
      <c r="I1941" s="33" t="str">
        <f t="shared" si="60"/>
        <v>Medium sales</v>
      </c>
      <c r="J1941" s="33" t="str">
        <f t="shared" si="61"/>
        <v>not eligible</v>
      </c>
    </row>
    <row r="1942" spans="1:10" x14ac:dyDescent="0.35">
      <c r="A1942" s="31">
        <v>45236.799305555556</v>
      </c>
      <c r="B1942" s="32">
        <v>1.877314814814815E-2</v>
      </c>
      <c r="C1942" s="33" t="s">
        <v>8</v>
      </c>
      <c r="D1942" s="33" t="s">
        <v>16</v>
      </c>
      <c r="E1942" s="34">
        <v>351.96</v>
      </c>
      <c r="F1942" s="33">
        <v>5</v>
      </c>
      <c r="G1942" s="34">
        <v>1759.8</v>
      </c>
      <c r="H1942" s="33" t="s">
        <v>300</v>
      </c>
      <c r="I1942" s="33" t="str">
        <f t="shared" si="60"/>
        <v>High sales</v>
      </c>
      <c r="J1942" s="33" t="str">
        <f t="shared" si="61"/>
        <v>not eligible</v>
      </c>
    </row>
    <row r="1943" spans="1:10" x14ac:dyDescent="0.35">
      <c r="A1943" s="31">
        <v>45228.083333333336</v>
      </c>
      <c r="B1943" s="32">
        <v>6.168981481481481E-3</v>
      </c>
      <c r="C1943" s="33" t="s">
        <v>11</v>
      </c>
      <c r="D1943" s="33" t="s">
        <v>9</v>
      </c>
      <c r="E1943" s="34">
        <v>153.51</v>
      </c>
      <c r="F1943" s="33">
        <v>2</v>
      </c>
      <c r="G1943" s="34">
        <v>307.02</v>
      </c>
      <c r="H1943" s="33" t="s">
        <v>305</v>
      </c>
      <c r="I1943" s="33" t="str">
        <f t="shared" si="60"/>
        <v>Low sales</v>
      </c>
      <c r="J1943" s="33" t="str">
        <f t="shared" si="61"/>
        <v>not eligible</v>
      </c>
    </row>
    <row r="1944" spans="1:10" x14ac:dyDescent="0.35">
      <c r="A1944" s="31">
        <v>45655.564583333333</v>
      </c>
      <c r="B1944" s="32">
        <v>0.76372685185185185</v>
      </c>
      <c r="C1944" s="33" t="s">
        <v>11</v>
      </c>
      <c r="D1944" s="33" t="s">
        <v>27</v>
      </c>
      <c r="E1944" s="34">
        <v>362.89</v>
      </c>
      <c r="F1944" s="33">
        <v>3</v>
      </c>
      <c r="G1944" s="34">
        <v>1088.67</v>
      </c>
      <c r="H1944" s="33" t="s">
        <v>188</v>
      </c>
      <c r="I1944" s="33" t="str">
        <f t="shared" si="60"/>
        <v>Medium sales</v>
      </c>
      <c r="J1944" s="33" t="str">
        <f t="shared" si="61"/>
        <v>eligible</v>
      </c>
    </row>
    <row r="1945" spans="1:10" x14ac:dyDescent="0.35">
      <c r="A1945" s="31">
        <v>45071.538888888892</v>
      </c>
      <c r="B1945" s="32">
        <v>0.80003472222222216</v>
      </c>
      <c r="C1945" s="33" t="s">
        <v>8</v>
      </c>
      <c r="D1945" s="33" t="s">
        <v>12</v>
      </c>
      <c r="E1945" s="34">
        <v>48.41</v>
      </c>
      <c r="F1945" s="33">
        <v>5</v>
      </c>
      <c r="G1945" s="34">
        <v>242.05</v>
      </c>
      <c r="H1945" s="33" t="s">
        <v>333</v>
      </c>
      <c r="I1945" s="33" t="str">
        <f t="shared" si="60"/>
        <v>Low sales</v>
      </c>
      <c r="J1945" s="33" t="str">
        <f t="shared" si="61"/>
        <v>not eligible</v>
      </c>
    </row>
    <row r="1946" spans="1:10" x14ac:dyDescent="0.35">
      <c r="A1946" s="31">
        <v>45615.359027777777</v>
      </c>
      <c r="B1946" s="32">
        <v>0.76582175925925933</v>
      </c>
      <c r="C1946" s="33" t="s">
        <v>14</v>
      </c>
      <c r="D1946" s="33" t="s">
        <v>16</v>
      </c>
      <c r="E1946" s="34">
        <v>121.7</v>
      </c>
      <c r="F1946" s="33">
        <v>4</v>
      </c>
      <c r="G1946" s="34">
        <v>486.8</v>
      </c>
      <c r="H1946" s="33" t="s">
        <v>30</v>
      </c>
      <c r="I1946" s="33" t="str">
        <f t="shared" si="60"/>
        <v>Low sales</v>
      </c>
      <c r="J1946" s="33" t="str">
        <f t="shared" si="61"/>
        <v>not eligible</v>
      </c>
    </row>
    <row r="1947" spans="1:10" x14ac:dyDescent="0.35">
      <c r="A1947" s="31">
        <v>45637.333333333336</v>
      </c>
      <c r="B1947" s="32">
        <v>0.83646990740740745</v>
      </c>
      <c r="C1947" s="33" t="s">
        <v>14</v>
      </c>
      <c r="D1947" s="33" t="s">
        <v>9</v>
      </c>
      <c r="E1947" s="34">
        <v>185.31</v>
      </c>
      <c r="F1947" s="33">
        <v>1</v>
      </c>
      <c r="G1947" s="34">
        <v>185.31</v>
      </c>
      <c r="H1947" s="33" t="s">
        <v>128</v>
      </c>
      <c r="I1947" s="33" t="str">
        <f t="shared" si="60"/>
        <v>Low sales</v>
      </c>
      <c r="J1947" s="33" t="str">
        <f t="shared" si="61"/>
        <v>not eligible</v>
      </c>
    </row>
    <row r="1948" spans="1:10" x14ac:dyDescent="0.35">
      <c r="A1948" s="31">
        <v>45140.732638888891</v>
      </c>
      <c r="B1948" s="32">
        <v>0.46696759259259263</v>
      </c>
      <c r="C1948" s="33" t="s">
        <v>11</v>
      </c>
      <c r="D1948" s="33" t="s">
        <v>16</v>
      </c>
      <c r="E1948" s="34">
        <v>406.4</v>
      </c>
      <c r="F1948" s="33">
        <v>1</v>
      </c>
      <c r="G1948" s="34">
        <v>406.4</v>
      </c>
      <c r="H1948" s="33" t="s">
        <v>389</v>
      </c>
      <c r="I1948" s="33" t="str">
        <f t="shared" si="60"/>
        <v>Low sales</v>
      </c>
      <c r="J1948" s="33" t="str">
        <f t="shared" si="61"/>
        <v>not eligible</v>
      </c>
    </row>
    <row r="1949" spans="1:10" x14ac:dyDescent="0.35">
      <c r="A1949" s="31">
        <v>45002.831944444442</v>
      </c>
      <c r="B1949" s="32">
        <v>0.86571759259259251</v>
      </c>
      <c r="C1949" s="33" t="s">
        <v>14</v>
      </c>
      <c r="D1949" s="33" t="s">
        <v>16</v>
      </c>
      <c r="E1949" s="34">
        <v>117.22</v>
      </c>
      <c r="F1949" s="33">
        <v>4</v>
      </c>
      <c r="G1949" s="34">
        <v>468.88</v>
      </c>
      <c r="H1949" s="33" t="s">
        <v>281</v>
      </c>
      <c r="I1949" s="33" t="str">
        <f t="shared" si="60"/>
        <v>Low sales</v>
      </c>
      <c r="J1949" s="33" t="str">
        <f t="shared" si="61"/>
        <v>not eligible</v>
      </c>
    </row>
    <row r="1950" spans="1:10" x14ac:dyDescent="0.35">
      <c r="A1950" s="31">
        <v>45190.37222222222</v>
      </c>
      <c r="B1950" s="32">
        <v>0.60420138888888886</v>
      </c>
      <c r="C1950" s="33" t="s">
        <v>8</v>
      </c>
      <c r="D1950" s="33" t="s">
        <v>20</v>
      </c>
      <c r="E1950" s="34">
        <v>191.35</v>
      </c>
      <c r="F1950" s="33">
        <v>3</v>
      </c>
      <c r="G1950" s="34">
        <v>574.04999999999995</v>
      </c>
      <c r="H1950" s="33" t="s">
        <v>154</v>
      </c>
      <c r="I1950" s="33" t="str">
        <f t="shared" si="60"/>
        <v>Medium sales</v>
      </c>
      <c r="J1950" s="33" t="str">
        <f t="shared" si="61"/>
        <v>not eligible</v>
      </c>
    </row>
    <row r="1951" spans="1:10" x14ac:dyDescent="0.35">
      <c r="A1951" s="31">
        <v>45497.90347222222</v>
      </c>
      <c r="B1951" s="32">
        <v>0.12353009259259258</v>
      </c>
      <c r="C1951" s="33" t="s">
        <v>11</v>
      </c>
      <c r="D1951" s="33" t="s">
        <v>27</v>
      </c>
      <c r="E1951" s="34">
        <v>163.99</v>
      </c>
      <c r="F1951" s="33">
        <v>5</v>
      </c>
      <c r="G1951" s="34">
        <v>819.95</v>
      </c>
      <c r="H1951" s="33" t="s">
        <v>198</v>
      </c>
      <c r="I1951" s="33" t="str">
        <f t="shared" si="60"/>
        <v>Medium sales</v>
      </c>
      <c r="J1951" s="33" t="str">
        <f t="shared" si="61"/>
        <v>not eligible</v>
      </c>
    </row>
    <row r="1952" spans="1:10" x14ac:dyDescent="0.35">
      <c r="A1952" s="31">
        <v>45003.756944444445</v>
      </c>
      <c r="B1952" s="32">
        <v>2.8865740740740744E-2</v>
      </c>
      <c r="C1952" s="33" t="s">
        <v>14</v>
      </c>
      <c r="D1952" s="33" t="s">
        <v>12</v>
      </c>
      <c r="E1952" s="34">
        <v>141.97999999999999</v>
      </c>
      <c r="F1952" s="33">
        <v>4</v>
      </c>
      <c r="G1952" s="34">
        <v>567.91999999999996</v>
      </c>
      <c r="H1952" s="33" t="s">
        <v>197</v>
      </c>
      <c r="I1952" s="33" t="str">
        <f t="shared" si="60"/>
        <v>Medium sales</v>
      </c>
      <c r="J1952" s="33" t="str">
        <f t="shared" si="61"/>
        <v>not eligible</v>
      </c>
    </row>
    <row r="1953" spans="1:10" x14ac:dyDescent="0.35">
      <c r="A1953" s="31">
        <v>45524.834722222222</v>
      </c>
      <c r="B1953" s="32">
        <v>0.93247685185185192</v>
      </c>
      <c r="C1953" s="33" t="s">
        <v>8</v>
      </c>
      <c r="D1953" s="33" t="s">
        <v>9</v>
      </c>
      <c r="E1953" s="34">
        <v>358.94</v>
      </c>
      <c r="F1953" s="33">
        <v>2</v>
      </c>
      <c r="G1953" s="34">
        <v>717.88</v>
      </c>
      <c r="H1953" s="33" t="s">
        <v>215</v>
      </c>
      <c r="I1953" s="33" t="str">
        <f t="shared" si="60"/>
        <v>Medium sales</v>
      </c>
      <c r="J1953" s="33" t="str">
        <f t="shared" si="61"/>
        <v>not eligible</v>
      </c>
    </row>
    <row r="1954" spans="1:10" x14ac:dyDescent="0.35">
      <c r="A1954" s="31">
        <v>45214.856249999997</v>
      </c>
      <c r="B1954" s="32">
        <v>0.97592592592592586</v>
      </c>
      <c r="C1954" s="33" t="s">
        <v>14</v>
      </c>
      <c r="D1954" s="33" t="s">
        <v>16</v>
      </c>
      <c r="E1954" s="34">
        <v>201.23</v>
      </c>
      <c r="F1954" s="33">
        <v>1</v>
      </c>
      <c r="G1954" s="34">
        <v>201.23</v>
      </c>
      <c r="H1954" s="33" t="s">
        <v>179</v>
      </c>
      <c r="I1954" s="33" t="str">
        <f t="shared" si="60"/>
        <v>Low sales</v>
      </c>
      <c r="J1954" s="33" t="str">
        <f t="shared" si="61"/>
        <v>not eligible</v>
      </c>
    </row>
    <row r="1955" spans="1:10" x14ac:dyDescent="0.35">
      <c r="A1955" s="31">
        <v>45141.626388888886</v>
      </c>
      <c r="B1955" s="32">
        <v>5.3680555555555558E-2</v>
      </c>
      <c r="C1955" s="33" t="s">
        <v>11</v>
      </c>
      <c r="D1955" s="33" t="s">
        <v>20</v>
      </c>
      <c r="E1955" s="34">
        <v>311.35000000000002</v>
      </c>
      <c r="F1955" s="33">
        <v>2</v>
      </c>
      <c r="G1955" s="34">
        <v>622.70000000000005</v>
      </c>
      <c r="H1955" s="33" t="s">
        <v>142</v>
      </c>
      <c r="I1955" s="33" t="str">
        <f t="shared" si="60"/>
        <v>Medium sales</v>
      </c>
      <c r="J1955" s="33" t="str">
        <f t="shared" si="61"/>
        <v>not eligible</v>
      </c>
    </row>
    <row r="1956" spans="1:10" x14ac:dyDescent="0.35">
      <c r="A1956" s="31">
        <v>45064.995138888888</v>
      </c>
      <c r="B1956" s="32">
        <v>0.79540509259259251</v>
      </c>
      <c r="C1956" s="33" t="s">
        <v>14</v>
      </c>
      <c r="D1956" s="33" t="s">
        <v>12</v>
      </c>
      <c r="E1956" s="34">
        <v>461.96</v>
      </c>
      <c r="F1956" s="33">
        <v>4</v>
      </c>
      <c r="G1956" s="34">
        <v>1847.84</v>
      </c>
      <c r="H1956" s="33" t="s">
        <v>400</v>
      </c>
      <c r="I1956" s="33" t="str">
        <f t="shared" si="60"/>
        <v>High sales</v>
      </c>
      <c r="J1956" s="33" t="str">
        <f t="shared" si="61"/>
        <v>not eligible</v>
      </c>
    </row>
    <row r="1957" spans="1:10" x14ac:dyDescent="0.35">
      <c r="A1957" s="31">
        <v>45645.692361111112</v>
      </c>
      <c r="B1957" s="32">
        <v>0.19847222222222224</v>
      </c>
      <c r="C1957" s="33" t="s">
        <v>8</v>
      </c>
      <c r="D1957" s="33" t="s">
        <v>27</v>
      </c>
      <c r="E1957" s="34">
        <v>391.49</v>
      </c>
      <c r="F1957" s="33">
        <v>3</v>
      </c>
      <c r="G1957" s="34">
        <v>1174.47</v>
      </c>
      <c r="H1957" s="33" t="s">
        <v>327</v>
      </c>
      <c r="I1957" s="33" t="str">
        <f t="shared" si="60"/>
        <v>Medium sales</v>
      </c>
      <c r="J1957" s="33" t="str">
        <f t="shared" si="61"/>
        <v>not eligible</v>
      </c>
    </row>
    <row r="1958" spans="1:10" x14ac:dyDescent="0.35">
      <c r="A1958" s="31">
        <v>45192.729166666664</v>
      </c>
      <c r="B1958" s="32">
        <v>0.19495370370370368</v>
      </c>
      <c r="C1958" s="33" t="s">
        <v>11</v>
      </c>
      <c r="D1958" s="33" t="s">
        <v>27</v>
      </c>
      <c r="E1958" s="34">
        <v>434.84</v>
      </c>
      <c r="F1958" s="33">
        <v>4</v>
      </c>
      <c r="G1958" s="34">
        <v>1739.36</v>
      </c>
      <c r="H1958" s="33" t="s">
        <v>241</v>
      </c>
      <c r="I1958" s="33" t="str">
        <f t="shared" si="60"/>
        <v>High sales</v>
      </c>
      <c r="J1958" s="33" t="str">
        <f t="shared" si="61"/>
        <v>eligible</v>
      </c>
    </row>
    <row r="1959" spans="1:10" x14ac:dyDescent="0.35">
      <c r="A1959" s="31">
        <v>45240.094444444447</v>
      </c>
      <c r="B1959" s="32">
        <v>0.12869212962962964</v>
      </c>
      <c r="C1959" s="33" t="s">
        <v>11</v>
      </c>
      <c r="D1959" s="33" t="s">
        <v>12</v>
      </c>
      <c r="E1959" s="34">
        <v>330.38</v>
      </c>
      <c r="F1959" s="33">
        <v>3</v>
      </c>
      <c r="G1959" s="34">
        <v>991.14</v>
      </c>
      <c r="H1959" s="33" t="s">
        <v>231</v>
      </c>
      <c r="I1959" s="33" t="str">
        <f t="shared" si="60"/>
        <v>Medium sales</v>
      </c>
      <c r="J1959" s="33" t="str">
        <f t="shared" si="61"/>
        <v>not eligible</v>
      </c>
    </row>
    <row r="1960" spans="1:10" x14ac:dyDescent="0.35">
      <c r="A1960" s="31">
        <v>44982.254166666666</v>
      </c>
      <c r="B1960" s="32">
        <v>0.53285879629629629</v>
      </c>
      <c r="C1960" s="33" t="s">
        <v>14</v>
      </c>
      <c r="D1960" s="33" t="s">
        <v>16</v>
      </c>
      <c r="E1960" s="34">
        <v>172.83</v>
      </c>
      <c r="F1960" s="33">
        <v>3</v>
      </c>
      <c r="G1960" s="34">
        <v>518.49</v>
      </c>
      <c r="H1960" s="33" t="s">
        <v>53</v>
      </c>
      <c r="I1960" s="33" t="str">
        <f t="shared" si="60"/>
        <v>Medium sales</v>
      </c>
      <c r="J1960" s="33" t="str">
        <f t="shared" si="61"/>
        <v>not eligible</v>
      </c>
    </row>
    <row r="1961" spans="1:10" x14ac:dyDescent="0.35">
      <c r="A1961" s="31">
        <v>45566.340277777781</v>
      </c>
      <c r="B1961" s="32">
        <v>0.93915509259259267</v>
      </c>
      <c r="C1961" s="33" t="s">
        <v>8</v>
      </c>
      <c r="D1961" s="33" t="s">
        <v>20</v>
      </c>
      <c r="E1961" s="34">
        <v>29.97</v>
      </c>
      <c r="F1961" s="33">
        <v>5</v>
      </c>
      <c r="G1961" s="34">
        <v>149.85</v>
      </c>
      <c r="H1961" s="33" t="s">
        <v>185</v>
      </c>
      <c r="I1961" s="33" t="str">
        <f t="shared" si="60"/>
        <v>Low sales</v>
      </c>
      <c r="J1961" s="33" t="str">
        <f t="shared" si="61"/>
        <v>not eligible</v>
      </c>
    </row>
    <row r="1962" spans="1:10" x14ac:dyDescent="0.35">
      <c r="A1962" s="31">
        <v>45306.024305555555</v>
      </c>
      <c r="B1962" s="32">
        <v>0.87230324074074073</v>
      </c>
      <c r="C1962" s="33" t="s">
        <v>11</v>
      </c>
      <c r="D1962" s="33" t="s">
        <v>27</v>
      </c>
      <c r="E1962" s="34">
        <v>194.81</v>
      </c>
      <c r="F1962" s="33">
        <v>4</v>
      </c>
      <c r="G1962" s="34">
        <v>779.24</v>
      </c>
      <c r="H1962" s="33" t="s">
        <v>106</v>
      </c>
      <c r="I1962" s="33" t="str">
        <f t="shared" si="60"/>
        <v>Medium sales</v>
      </c>
      <c r="J1962" s="33" t="str">
        <f t="shared" si="61"/>
        <v>not eligible</v>
      </c>
    </row>
    <row r="1963" spans="1:10" x14ac:dyDescent="0.35">
      <c r="A1963" s="31">
        <v>45448.786805555559</v>
      </c>
      <c r="B1963" s="32">
        <v>0.98922453703703705</v>
      </c>
      <c r="C1963" s="33" t="s">
        <v>11</v>
      </c>
      <c r="D1963" s="33" t="s">
        <v>9</v>
      </c>
      <c r="E1963" s="34">
        <v>39.76</v>
      </c>
      <c r="F1963" s="33">
        <v>5</v>
      </c>
      <c r="G1963" s="34">
        <v>198.8</v>
      </c>
      <c r="H1963" s="33" t="s">
        <v>328</v>
      </c>
      <c r="I1963" s="33" t="str">
        <f t="shared" si="60"/>
        <v>Low sales</v>
      </c>
      <c r="J1963" s="33" t="str">
        <f t="shared" si="61"/>
        <v>not eligible</v>
      </c>
    </row>
    <row r="1964" spans="1:10" x14ac:dyDescent="0.35">
      <c r="A1964" s="31">
        <v>45251.897222222222</v>
      </c>
      <c r="B1964" s="32">
        <v>0.81269675925925933</v>
      </c>
      <c r="C1964" s="33" t="s">
        <v>14</v>
      </c>
      <c r="D1964" s="33" t="s">
        <v>27</v>
      </c>
      <c r="E1964" s="34">
        <v>259.38</v>
      </c>
      <c r="F1964" s="33">
        <v>2</v>
      </c>
      <c r="G1964" s="34">
        <v>518.76</v>
      </c>
      <c r="H1964" s="33" t="s">
        <v>305</v>
      </c>
      <c r="I1964" s="33" t="str">
        <f t="shared" si="60"/>
        <v>Medium sales</v>
      </c>
      <c r="J1964" s="33" t="str">
        <f t="shared" si="61"/>
        <v>not eligible</v>
      </c>
    </row>
    <row r="1965" spans="1:10" x14ac:dyDescent="0.35">
      <c r="A1965" s="31">
        <v>45298.822916666664</v>
      </c>
      <c r="B1965" s="32">
        <v>0.75436342592592587</v>
      </c>
      <c r="C1965" s="33" t="s">
        <v>11</v>
      </c>
      <c r="D1965" s="33" t="s">
        <v>9</v>
      </c>
      <c r="E1965" s="34">
        <v>261.68</v>
      </c>
      <c r="F1965" s="33">
        <v>5</v>
      </c>
      <c r="G1965" s="34">
        <v>1308.4000000000001</v>
      </c>
      <c r="H1965" s="33" t="s">
        <v>198</v>
      </c>
      <c r="I1965" s="33" t="str">
        <f t="shared" si="60"/>
        <v>Medium sales</v>
      </c>
      <c r="J1965" s="33" t="str">
        <f t="shared" si="61"/>
        <v>eligible</v>
      </c>
    </row>
    <row r="1966" spans="1:10" x14ac:dyDescent="0.35">
      <c r="A1966" s="31">
        <v>45601.89166666667</v>
      </c>
      <c r="B1966" s="32">
        <v>0.81607638888888889</v>
      </c>
      <c r="C1966" s="33" t="s">
        <v>11</v>
      </c>
      <c r="D1966" s="33" t="s">
        <v>20</v>
      </c>
      <c r="E1966" s="34">
        <v>199.76</v>
      </c>
      <c r="F1966" s="33">
        <v>1</v>
      </c>
      <c r="G1966" s="34">
        <v>199.76</v>
      </c>
      <c r="H1966" s="33" t="s">
        <v>389</v>
      </c>
      <c r="I1966" s="33" t="str">
        <f t="shared" si="60"/>
        <v>Low sales</v>
      </c>
      <c r="J1966" s="33" t="str">
        <f t="shared" si="61"/>
        <v>not eligible</v>
      </c>
    </row>
    <row r="1967" spans="1:10" x14ac:dyDescent="0.35">
      <c r="A1967" s="31">
        <v>45441.88958333333</v>
      </c>
      <c r="B1967" s="32">
        <v>0.61093750000000002</v>
      </c>
      <c r="C1967" s="33" t="s">
        <v>11</v>
      </c>
      <c r="D1967" s="33" t="s">
        <v>27</v>
      </c>
      <c r="E1967" s="34">
        <v>468.52</v>
      </c>
      <c r="F1967" s="33">
        <v>3</v>
      </c>
      <c r="G1967" s="34">
        <v>1405.56</v>
      </c>
      <c r="H1967" s="33" t="s">
        <v>396</v>
      </c>
      <c r="I1967" s="33" t="str">
        <f t="shared" si="60"/>
        <v>Medium sales</v>
      </c>
      <c r="J1967" s="33" t="str">
        <f t="shared" si="61"/>
        <v>eligible</v>
      </c>
    </row>
    <row r="1968" spans="1:10" x14ac:dyDescent="0.35">
      <c r="A1968" s="31">
        <v>45048.109722222223</v>
      </c>
      <c r="B1968" s="32">
        <v>0.1111111111111111</v>
      </c>
      <c r="C1968" s="33" t="s">
        <v>14</v>
      </c>
      <c r="D1968" s="33" t="s">
        <v>27</v>
      </c>
      <c r="E1968" s="34">
        <v>37.29</v>
      </c>
      <c r="F1968" s="33">
        <v>4</v>
      </c>
      <c r="G1968" s="34">
        <v>149.16</v>
      </c>
      <c r="H1968" s="33" t="s">
        <v>374</v>
      </c>
      <c r="I1968" s="33" t="str">
        <f t="shared" si="60"/>
        <v>Low sales</v>
      </c>
      <c r="J1968" s="33" t="str">
        <f t="shared" si="61"/>
        <v>not eligible</v>
      </c>
    </row>
    <row r="1969" spans="1:10" x14ac:dyDescent="0.35">
      <c r="A1969" s="31">
        <v>45542.204861111109</v>
      </c>
      <c r="B1969" s="32">
        <v>0.39651620370370372</v>
      </c>
      <c r="C1969" s="33" t="s">
        <v>14</v>
      </c>
      <c r="D1969" s="33" t="s">
        <v>27</v>
      </c>
      <c r="E1969" s="34">
        <v>174.61</v>
      </c>
      <c r="F1969" s="33">
        <v>2</v>
      </c>
      <c r="G1969" s="34">
        <v>349.22</v>
      </c>
      <c r="H1969" s="33" t="s">
        <v>85</v>
      </c>
      <c r="I1969" s="33" t="str">
        <f t="shared" si="60"/>
        <v>Low sales</v>
      </c>
      <c r="J1969" s="33" t="str">
        <f t="shared" si="61"/>
        <v>not eligible</v>
      </c>
    </row>
    <row r="1970" spans="1:10" x14ac:dyDescent="0.35">
      <c r="A1970" s="31">
        <v>45029.542361111111</v>
      </c>
      <c r="B1970" s="32">
        <v>0.6115856481481482</v>
      </c>
      <c r="C1970" s="33" t="s">
        <v>11</v>
      </c>
      <c r="D1970" s="33" t="s">
        <v>9</v>
      </c>
      <c r="E1970" s="34">
        <v>42.29</v>
      </c>
      <c r="F1970" s="33">
        <v>1</v>
      </c>
      <c r="G1970" s="34">
        <v>42.29</v>
      </c>
      <c r="H1970" s="33" t="s">
        <v>284</v>
      </c>
      <c r="I1970" s="33" t="str">
        <f t="shared" si="60"/>
        <v>Low sales</v>
      </c>
      <c r="J1970" s="33" t="str">
        <f t="shared" si="61"/>
        <v>not eligible</v>
      </c>
    </row>
    <row r="1971" spans="1:10" x14ac:dyDescent="0.35">
      <c r="A1971" s="31">
        <v>45139.880555555559</v>
      </c>
      <c r="B1971" s="32">
        <v>0.98633101851851857</v>
      </c>
      <c r="C1971" s="33" t="s">
        <v>11</v>
      </c>
      <c r="D1971" s="33" t="s">
        <v>16</v>
      </c>
      <c r="E1971" s="34">
        <v>143.05000000000001</v>
      </c>
      <c r="F1971" s="33">
        <v>2</v>
      </c>
      <c r="G1971" s="34">
        <v>286.10000000000002</v>
      </c>
      <c r="H1971" s="33" t="s">
        <v>268</v>
      </c>
      <c r="I1971" s="33" t="str">
        <f t="shared" si="60"/>
        <v>Low sales</v>
      </c>
      <c r="J1971" s="33" t="str">
        <f t="shared" si="61"/>
        <v>not eligible</v>
      </c>
    </row>
    <row r="1972" spans="1:10" x14ac:dyDescent="0.35">
      <c r="A1972" s="31">
        <v>45204.433333333334</v>
      </c>
      <c r="B1972" s="32">
        <v>0.22643518518518521</v>
      </c>
      <c r="C1972" s="33" t="s">
        <v>14</v>
      </c>
      <c r="D1972" s="33" t="s">
        <v>9</v>
      </c>
      <c r="E1972" s="34">
        <v>172.31</v>
      </c>
      <c r="F1972" s="33">
        <v>3</v>
      </c>
      <c r="G1972" s="34">
        <v>516.92999999999995</v>
      </c>
      <c r="H1972" s="33" t="s">
        <v>111</v>
      </c>
      <c r="I1972" s="33" t="str">
        <f t="shared" si="60"/>
        <v>Medium sales</v>
      </c>
      <c r="J1972" s="33" t="str">
        <f t="shared" si="61"/>
        <v>not eligible</v>
      </c>
    </row>
    <row r="1973" spans="1:10" x14ac:dyDescent="0.35">
      <c r="A1973" s="31">
        <v>44981.149305555555</v>
      </c>
      <c r="B1973" s="32">
        <v>0.58098379629629626</v>
      </c>
      <c r="C1973" s="33" t="s">
        <v>8</v>
      </c>
      <c r="D1973" s="33" t="s">
        <v>20</v>
      </c>
      <c r="E1973" s="34">
        <v>298.69</v>
      </c>
      <c r="F1973" s="33">
        <v>2</v>
      </c>
      <c r="G1973" s="34">
        <v>597.38</v>
      </c>
      <c r="H1973" s="33" t="s">
        <v>150</v>
      </c>
      <c r="I1973" s="33" t="str">
        <f t="shared" si="60"/>
        <v>Medium sales</v>
      </c>
      <c r="J1973" s="33" t="str">
        <f t="shared" si="61"/>
        <v>not eligible</v>
      </c>
    </row>
    <row r="1974" spans="1:10" x14ac:dyDescent="0.35">
      <c r="A1974" s="31">
        <v>45394.482638888891</v>
      </c>
      <c r="B1974" s="32">
        <v>0.9096643518518519</v>
      </c>
      <c r="C1974" s="33" t="s">
        <v>11</v>
      </c>
      <c r="D1974" s="33" t="s">
        <v>27</v>
      </c>
      <c r="E1974" s="34">
        <v>435.23</v>
      </c>
      <c r="F1974" s="33">
        <v>5</v>
      </c>
      <c r="G1974" s="34">
        <v>2176.15</v>
      </c>
      <c r="H1974" s="33" t="s">
        <v>78</v>
      </c>
      <c r="I1974" s="33" t="str">
        <f t="shared" si="60"/>
        <v>High sales</v>
      </c>
      <c r="J1974" s="33" t="str">
        <f t="shared" si="61"/>
        <v>eligible</v>
      </c>
    </row>
    <row r="1975" spans="1:10" x14ac:dyDescent="0.35">
      <c r="A1975" s="31">
        <v>45065.856249999997</v>
      </c>
      <c r="B1975" s="32">
        <v>0.42394675925925923</v>
      </c>
      <c r="C1975" s="33" t="s">
        <v>14</v>
      </c>
      <c r="D1975" s="33" t="s">
        <v>27</v>
      </c>
      <c r="E1975" s="34">
        <v>387.21</v>
      </c>
      <c r="F1975" s="33">
        <v>4</v>
      </c>
      <c r="G1975" s="34">
        <v>1548.84</v>
      </c>
      <c r="H1975" s="33" t="s">
        <v>46</v>
      </c>
      <c r="I1975" s="33" t="str">
        <f t="shared" si="60"/>
        <v>High sales</v>
      </c>
      <c r="J1975" s="33" t="str">
        <f t="shared" si="61"/>
        <v>not eligible</v>
      </c>
    </row>
    <row r="1976" spans="1:10" x14ac:dyDescent="0.35">
      <c r="A1976" s="31">
        <v>45184.002083333333</v>
      </c>
      <c r="B1976" s="32">
        <v>0.58642361111111108</v>
      </c>
      <c r="C1976" s="33" t="s">
        <v>11</v>
      </c>
      <c r="D1976" s="33" t="s">
        <v>16</v>
      </c>
      <c r="E1976" s="34">
        <v>218.15</v>
      </c>
      <c r="F1976" s="33">
        <v>5</v>
      </c>
      <c r="G1976" s="34">
        <v>1090.75</v>
      </c>
      <c r="H1976" s="33" t="s">
        <v>30</v>
      </c>
      <c r="I1976" s="33" t="str">
        <f t="shared" si="60"/>
        <v>Medium sales</v>
      </c>
      <c r="J1976" s="33" t="str">
        <f t="shared" si="61"/>
        <v>eligible</v>
      </c>
    </row>
    <row r="1977" spans="1:10" x14ac:dyDescent="0.35">
      <c r="A1977" s="31">
        <v>45604.799305555556</v>
      </c>
      <c r="B1977" s="32">
        <v>0.40167824074074071</v>
      </c>
      <c r="C1977" s="33" t="s">
        <v>11</v>
      </c>
      <c r="D1977" s="33" t="s">
        <v>9</v>
      </c>
      <c r="E1977" s="34">
        <v>100.06</v>
      </c>
      <c r="F1977" s="33">
        <v>3</v>
      </c>
      <c r="G1977" s="34">
        <v>300.18</v>
      </c>
      <c r="H1977" s="33" t="s">
        <v>373</v>
      </c>
      <c r="I1977" s="33" t="str">
        <f t="shared" si="60"/>
        <v>Low sales</v>
      </c>
      <c r="J1977" s="33" t="str">
        <f t="shared" si="61"/>
        <v>not eligible</v>
      </c>
    </row>
    <row r="1978" spans="1:10" x14ac:dyDescent="0.35">
      <c r="A1978" s="31">
        <v>45062.192361111112</v>
      </c>
      <c r="B1978" s="32">
        <v>0.82003472222222218</v>
      </c>
      <c r="C1978" s="33" t="s">
        <v>8</v>
      </c>
      <c r="D1978" s="33" t="s">
        <v>20</v>
      </c>
      <c r="E1978" s="34">
        <v>164.51</v>
      </c>
      <c r="F1978" s="33">
        <v>1</v>
      </c>
      <c r="G1978" s="34">
        <v>164.51</v>
      </c>
      <c r="H1978" s="33" t="s">
        <v>259</v>
      </c>
      <c r="I1978" s="33" t="str">
        <f t="shared" si="60"/>
        <v>Low sales</v>
      </c>
      <c r="J1978" s="33" t="str">
        <f t="shared" si="61"/>
        <v>not eligible</v>
      </c>
    </row>
    <row r="1979" spans="1:10" x14ac:dyDescent="0.35">
      <c r="A1979" s="31">
        <v>45124.111805555556</v>
      </c>
      <c r="B1979" s="32">
        <v>0.15372685185185184</v>
      </c>
      <c r="C1979" s="33" t="s">
        <v>11</v>
      </c>
      <c r="D1979" s="33" t="s">
        <v>9</v>
      </c>
      <c r="E1979" s="34">
        <v>252.95</v>
      </c>
      <c r="F1979" s="33">
        <v>2</v>
      </c>
      <c r="G1979" s="34">
        <v>505.9</v>
      </c>
      <c r="H1979" s="33" t="s">
        <v>291</v>
      </c>
      <c r="I1979" s="33" t="str">
        <f t="shared" si="60"/>
        <v>Medium sales</v>
      </c>
      <c r="J1979" s="33" t="str">
        <f t="shared" si="61"/>
        <v>not eligible</v>
      </c>
    </row>
    <row r="1980" spans="1:10" x14ac:dyDescent="0.35">
      <c r="A1980" s="31">
        <v>45459.250694444447</v>
      </c>
      <c r="B1980" s="32">
        <v>0.97280092592592593</v>
      </c>
      <c r="C1980" s="33" t="s">
        <v>14</v>
      </c>
      <c r="D1980" s="33" t="s">
        <v>27</v>
      </c>
      <c r="E1980" s="34">
        <v>456.9</v>
      </c>
      <c r="F1980" s="33">
        <v>2</v>
      </c>
      <c r="G1980" s="34">
        <v>913.8</v>
      </c>
      <c r="H1980" s="33" t="s">
        <v>379</v>
      </c>
      <c r="I1980" s="33" t="str">
        <f t="shared" si="60"/>
        <v>Medium sales</v>
      </c>
      <c r="J1980" s="33" t="str">
        <f t="shared" si="61"/>
        <v>not eligible</v>
      </c>
    </row>
    <row r="1981" spans="1:10" x14ac:dyDescent="0.35">
      <c r="A1981" s="31">
        <v>45393.840277777781</v>
      </c>
      <c r="B1981" s="32">
        <v>0.43033564814814818</v>
      </c>
      <c r="C1981" s="33" t="s">
        <v>11</v>
      </c>
      <c r="D1981" s="33" t="s">
        <v>12</v>
      </c>
      <c r="E1981" s="34">
        <v>434.05</v>
      </c>
      <c r="F1981" s="33">
        <v>4</v>
      </c>
      <c r="G1981" s="34">
        <v>1736.2</v>
      </c>
      <c r="H1981" s="33" t="s">
        <v>343</v>
      </c>
      <c r="I1981" s="33" t="str">
        <f t="shared" si="60"/>
        <v>High sales</v>
      </c>
      <c r="J1981" s="33" t="str">
        <f t="shared" si="61"/>
        <v>eligible</v>
      </c>
    </row>
    <row r="1982" spans="1:10" x14ac:dyDescent="0.35">
      <c r="A1982" s="31">
        <v>45370.662499999999</v>
      </c>
      <c r="B1982" s="32">
        <v>0.60910879629629633</v>
      </c>
      <c r="C1982" s="33" t="s">
        <v>11</v>
      </c>
      <c r="D1982" s="33" t="s">
        <v>27</v>
      </c>
      <c r="E1982" s="34">
        <v>461.43</v>
      </c>
      <c r="F1982" s="33">
        <v>5</v>
      </c>
      <c r="G1982" s="34">
        <v>2307.15</v>
      </c>
      <c r="H1982" s="33" t="s">
        <v>268</v>
      </c>
      <c r="I1982" s="33" t="str">
        <f t="shared" si="60"/>
        <v>High sales</v>
      </c>
      <c r="J1982" s="33" t="str">
        <f t="shared" si="61"/>
        <v>eligible</v>
      </c>
    </row>
    <row r="1983" spans="1:10" x14ac:dyDescent="0.35">
      <c r="A1983" s="31">
        <v>45409.696527777778</v>
      </c>
      <c r="B1983" s="32">
        <v>0.96118055555555548</v>
      </c>
      <c r="C1983" s="33" t="s">
        <v>8</v>
      </c>
      <c r="D1983" s="33" t="s">
        <v>27</v>
      </c>
      <c r="E1983" s="34">
        <v>167.87</v>
      </c>
      <c r="F1983" s="33">
        <v>2</v>
      </c>
      <c r="G1983" s="34">
        <v>335.74</v>
      </c>
      <c r="H1983" s="33" t="s">
        <v>158</v>
      </c>
      <c r="I1983" s="33" t="str">
        <f t="shared" si="60"/>
        <v>Low sales</v>
      </c>
      <c r="J1983" s="33" t="str">
        <f t="shared" si="61"/>
        <v>not eligible</v>
      </c>
    </row>
    <row r="1984" spans="1:10" x14ac:dyDescent="0.35">
      <c r="A1984" s="31">
        <v>45612.938888888886</v>
      </c>
      <c r="B1984" s="32">
        <v>0.31339120370370371</v>
      </c>
      <c r="C1984" s="33" t="s">
        <v>14</v>
      </c>
      <c r="D1984" s="33" t="s">
        <v>27</v>
      </c>
      <c r="E1984" s="34">
        <v>482.18</v>
      </c>
      <c r="F1984" s="33">
        <v>4</v>
      </c>
      <c r="G1984" s="34">
        <v>1928.72</v>
      </c>
      <c r="H1984" s="33" t="s">
        <v>244</v>
      </c>
      <c r="I1984" s="33" t="str">
        <f t="shared" si="60"/>
        <v>High sales</v>
      </c>
      <c r="J1984" s="33" t="str">
        <f t="shared" si="61"/>
        <v>not eligible</v>
      </c>
    </row>
    <row r="1985" spans="1:10" x14ac:dyDescent="0.35">
      <c r="A1985" s="31">
        <v>45597.286111111112</v>
      </c>
      <c r="B1985" s="32">
        <v>0.12659722222222222</v>
      </c>
      <c r="C1985" s="33" t="s">
        <v>14</v>
      </c>
      <c r="D1985" s="33" t="s">
        <v>12</v>
      </c>
      <c r="E1985" s="34">
        <v>335.31</v>
      </c>
      <c r="F1985" s="33">
        <v>5</v>
      </c>
      <c r="G1985" s="34">
        <v>1676.55</v>
      </c>
      <c r="H1985" s="33" t="s">
        <v>24</v>
      </c>
      <c r="I1985" s="33" t="str">
        <f t="shared" si="60"/>
        <v>High sales</v>
      </c>
      <c r="J1985" s="33" t="str">
        <f t="shared" si="61"/>
        <v>not eligible</v>
      </c>
    </row>
    <row r="1986" spans="1:10" x14ac:dyDescent="0.35">
      <c r="A1986" s="31">
        <v>45539.29583333333</v>
      </c>
      <c r="B1986" s="32">
        <v>0.57303240740740746</v>
      </c>
      <c r="C1986" s="33" t="s">
        <v>8</v>
      </c>
      <c r="D1986" s="33" t="s">
        <v>16</v>
      </c>
      <c r="E1986" s="34">
        <v>397.67</v>
      </c>
      <c r="F1986" s="33">
        <v>4</v>
      </c>
      <c r="G1986" s="34">
        <v>1590.68</v>
      </c>
      <c r="H1986" s="33" t="s">
        <v>294</v>
      </c>
      <c r="I1986" s="33" t="str">
        <f t="shared" si="60"/>
        <v>High sales</v>
      </c>
      <c r="J1986" s="33" t="str">
        <f t="shared" si="61"/>
        <v>not eligible</v>
      </c>
    </row>
    <row r="1987" spans="1:10" x14ac:dyDescent="0.35">
      <c r="A1987" s="31">
        <v>44962.359027777777</v>
      </c>
      <c r="B1987" s="32">
        <v>0.89282407407407405</v>
      </c>
      <c r="C1987" s="33" t="s">
        <v>11</v>
      </c>
      <c r="D1987" s="33" t="s">
        <v>9</v>
      </c>
      <c r="E1987" s="34">
        <v>299.14999999999998</v>
      </c>
      <c r="F1987" s="33">
        <v>1</v>
      </c>
      <c r="G1987" s="34">
        <v>299.14999999999998</v>
      </c>
      <c r="H1987" s="33" t="s">
        <v>206</v>
      </c>
      <c r="I1987" s="33" t="str">
        <f t="shared" ref="I1987:I2000" si="62">IF(G1987&gt;1500,"High sales", IF(G1987&gt;500,"Medium sales", "Low sales"))</f>
        <v>Low sales</v>
      </c>
      <c r="J1987" s="33" t="str">
        <f t="shared" ref="J1987:J2000" si="63">IF(AND(G1987&gt;1000,C1987="Premium"), "eligible", "not eligible")</f>
        <v>not eligible</v>
      </c>
    </row>
    <row r="1988" spans="1:10" x14ac:dyDescent="0.35">
      <c r="A1988" s="31">
        <v>45632.731249999997</v>
      </c>
      <c r="B1988" s="32">
        <v>0.69996527777777784</v>
      </c>
      <c r="C1988" s="33" t="s">
        <v>8</v>
      </c>
      <c r="D1988" s="33" t="s">
        <v>20</v>
      </c>
      <c r="E1988" s="34">
        <v>111.75</v>
      </c>
      <c r="F1988" s="33">
        <v>2</v>
      </c>
      <c r="G1988" s="34">
        <v>223.5</v>
      </c>
      <c r="H1988" s="33" t="s">
        <v>111</v>
      </c>
      <c r="I1988" s="33" t="str">
        <f t="shared" si="62"/>
        <v>Low sales</v>
      </c>
      <c r="J1988" s="33" t="str">
        <f t="shared" si="63"/>
        <v>not eligible</v>
      </c>
    </row>
    <row r="1989" spans="1:10" x14ac:dyDescent="0.35">
      <c r="A1989" s="31">
        <v>45160.335416666669</v>
      </c>
      <c r="B1989" s="32">
        <v>0.79168981481481471</v>
      </c>
      <c r="C1989" s="33" t="s">
        <v>11</v>
      </c>
      <c r="D1989" s="33" t="s">
        <v>27</v>
      </c>
      <c r="E1989" s="34">
        <v>335.85</v>
      </c>
      <c r="F1989" s="33">
        <v>2</v>
      </c>
      <c r="G1989" s="34">
        <v>671.7</v>
      </c>
      <c r="H1989" s="33" t="s">
        <v>98</v>
      </c>
      <c r="I1989" s="33" t="str">
        <f t="shared" si="62"/>
        <v>Medium sales</v>
      </c>
      <c r="J1989" s="33" t="str">
        <f t="shared" si="63"/>
        <v>not eligible</v>
      </c>
    </row>
    <row r="1990" spans="1:10" x14ac:dyDescent="0.35">
      <c r="A1990" s="31">
        <v>45181.250694444447</v>
      </c>
      <c r="B1990" s="32">
        <v>0.5034953703703704</v>
      </c>
      <c r="C1990" s="33" t="s">
        <v>14</v>
      </c>
      <c r="D1990" s="33" t="s">
        <v>12</v>
      </c>
      <c r="E1990" s="34">
        <v>358.85</v>
      </c>
      <c r="F1990" s="33">
        <v>5</v>
      </c>
      <c r="G1990" s="34">
        <v>1794.25</v>
      </c>
      <c r="H1990" s="33" t="s">
        <v>152</v>
      </c>
      <c r="I1990" s="33" t="str">
        <f t="shared" si="62"/>
        <v>High sales</v>
      </c>
      <c r="J1990" s="33" t="str">
        <f t="shared" si="63"/>
        <v>not eligible</v>
      </c>
    </row>
    <row r="1991" spans="1:10" x14ac:dyDescent="0.35">
      <c r="A1991" s="31">
        <v>45479.493750000001</v>
      </c>
      <c r="B1991" s="32">
        <v>0.85259259259259268</v>
      </c>
      <c r="C1991" s="33" t="s">
        <v>11</v>
      </c>
      <c r="D1991" s="33" t="s">
        <v>9</v>
      </c>
      <c r="E1991" s="34">
        <v>463.82</v>
      </c>
      <c r="F1991" s="33">
        <v>3</v>
      </c>
      <c r="G1991" s="34">
        <v>1391.46</v>
      </c>
      <c r="H1991" s="33" t="s">
        <v>256</v>
      </c>
      <c r="I1991" s="33" t="str">
        <f t="shared" si="62"/>
        <v>Medium sales</v>
      </c>
      <c r="J1991" s="33" t="str">
        <f t="shared" si="63"/>
        <v>eligible</v>
      </c>
    </row>
    <row r="1992" spans="1:10" x14ac:dyDescent="0.35">
      <c r="A1992" s="31">
        <v>45409.658333333333</v>
      </c>
      <c r="B1992" s="32">
        <v>6.7858796296296306E-2</v>
      </c>
      <c r="C1992" s="33" t="s">
        <v>14</v>
      </c>
      <c r="D1992" s="33" t="s">
        <v>27</v>
      </c>
      <c r="E1992" s="34">
        <v>94.09</v>
      </c>
      <c r="F1992" s="33">
        <v>2</v>
      </c>
      <c r="G1992" s="34">
        <v>188.18</v>
      </c>
      <c r="H1992" s="33" t="s">
        <v>69</v>
      </c>
      <c r="I1992" s="33" t="str">
        <f t="shared" si="62"/>
        <v>Low sales</v>
      </c>
      <c r="J1992" s="33" t="str">
        <f t="shared" si="63"/>
        <v>not eligible</v>
      </c>
    </row>
    <row r="1993" spans="1:10" x14ac:dyDescent="0.35">
      <c r="A1993" s="31">
        <v>45251.814583333333</v>
      </c>
      <c r="B1993" s="32">
        <v>0.8250925925925926</v>
      </c>
      <c r="C1993" s="33" t="s">
        <v>14</v>
      </c>
      <c r="D1993" s="33" t="s">
        <v>20</v>
      </c>
      <c r="E1993" s="34">
        <v>247.76</v>
      </c>
      <c r="F1993" s="33">
        <v>1</v>
      </c>
      <c r="G1993" s="34">
        <v>247.76</v>
      </c>
      <c r="H1993" s="33" t="s">
        <v>284</v>
      </c>
      <c r="I1993" s="33" t="str">
        <f t="shared" si="62"/>
        <v>Low sales</v>
      </c>
      <c r="J1993" s="33" t="str">
        <f t="shared" si="63"/>
        <v>not eligible</v>
      </c>
    </row>
    <row r="1994" spans="1:10" x14ac:dyDescent="0.35">
      <c r="A1994" s="31">
        <v>45334.38958333333</v>
      </c>
      <c r="B1994" s="32">
        <v>0.65752314814814816</v>
      </c>
      <c r="C1994" s="33" t="s">
        <v>8</v>
      </c>
      <c r="D1994" s="33" t="s">
        <v>20</v>
      </c>
      <c r="E1994" s="34">
        <v>99.08</v>
      </c>
      <c r="F1994" s="33">
        <v>2</v>
      </c>
      <c r="G1994" s="34">
        <v>198.16</v>
      </c>
      <c r="H1994" s="33" t="s">
        <v>231</v>
      </c>
      <c r="I1994" s="33" t="str">
        <f t="shared" si="62"/>
        <v>Low sales</v>
      </c>
      <c r="J1994" s="33" t="str">
        <f t="shared" si="63"/>
        <v>not eligible</v>
      </c>
    </row>
    <row r="1995" spans="1:10" x14ac:dyDescent="0.35">
      <c r="A1995" s="31">
        <v>45092.943749999999</v>
      </c>
      <c r="B1995" s="32">
        <v>0.26581018518518518</v>
      </c>
      <c r="C1995" s="33" t="s">
        <v>11</v>
      </c>
      <c r="D1995" s="33" t="s">
        <v>27</v>
      </c>
      <c r="E1995" s="34">
        <v>378.13</v>
      </c>
      <c r="F1995" s="33">
        <v>3</v>
      </c>
      <c r="G1995" s="34">
        <v>1134.3900000000001</v>
      </c>
      <c r="H1995" s="33" t="s">
        <v>176</v>
      </c>
      <c r="I1995" s="33" t="str">
        <f t="shared" si="62"/>
        <v>Medium sales</v>
      </c>
      <c r="J1995" s="33" t="str">
        <f t="shared" si="63"/>
        <v>eligible</v>
      </c>
    </row>
    <row r="1996" spans="1:10" x14ac:dyDescent="0.35">
      <c r="A1996" s="31">
        <v>44960.457638888889</v>
      </c>
      <c r="B1996" s="32">
        <v>0.10226851851851852</v>
      </c>
      <c r="C1996" s="33" t="s">
        <v>14</v>
      </c>
      <c r="D1996" s="33" t="s">
        <v>12</v>
      </c>
      <c r="E1996" s="34">
        <v>66.209999999999994</v>
      </c>
      <c r="F1996" s="33">
        <v>1</v>
      </c>
      <c r="G1996" s="34">
        <v>66.209999999999994</v>
      </c>
      <c r="H1996" s="33" t="s">
        <v>411</v>
      </c>
      <c r="I1996" s="33" t="str">
        <f t="shared" si="62"/>
        <v>Low sales</v>
      </c>
      <c r="J1996" s="33" t="str">
        <f t="shared" si="63"/>
        <v>not eligible</v>
      </c>
    </row>
    <row r="1997" spans="1:10" x14ac:dyDescent="0.35">
      <c r="A1997" s="31">
        <v>45046.337500000001</v>
      </c>
      <c r="B1997" s="32">
        <v>0.96849537037037037</v>
      </c>
      <c r="C1997" s="33" t="s">
        <v>11</v>
      </c>
      <c r="D1997" s="33" t="s">
        <v>12</v>
      </c>
      <c r="E1997" s="34">
        <v>278.92</v>
      </c>
      <c r="F1997" s="33">
        <v>1</v>
      </c>
      <c r="G1997" s="34">
        <v>278.92</v>
      </c>
      <c r="H1997" s="33" t="s">
        <v>213</v>
      </c>
      <c r="I1997" s="33" t="str">
        <f t="shared" si="62"/>
        <v>Low sales</v>
      </c>
      <c r="J1997" s="33" t="str">
        <f t="shared" si="63"/>
        <v>not eligible</v>
      </c>
    </row>
    <row r="1998" spans="1:10" x14ac:dyDescent="0.35">
      <c r="A1998" s="31">
        <v>45029.411111111112</v>
      </c>
      <c r="B1998" s="32">
        <v>0.63314814814814813</v>
      </c>
      <c r="C1998" s="33" t="s">
        <v>8</v>
      </c>
      <c r="D1998" s="33" t="s">
        <v>27</v>
      </c>
      <c r="E1998" s="34">
        <v>390.1</v>
      </c>
      <c r="F1998" s="33">
        <v>5</v>
      </c>
      <c r="G1998" s="34">
        <v>1950.5</v>
      </c>
      <c r="H1998" s="33" t="s">
        <v>310</v>
      </c>
      <c r="I1998" s="33" t="str">
        <f t="shared" si="62"/>
        <v>High sales</v>
      </c>
      <c r="J1998" s="33" t="str">
        <f t="shared" si="63"/>
        <v>not eligible</v>
      </c>
    </row>
    <row r="1999" spans="1:10" x14ac:dyDescent="0.35">
      <c r="A1999" s="31">
        <v>45429.631249999999</v>
      </c>
      <c r="B1999" s="32">
        <v>0.1743402777777778</v>
      </c>
      <c r="C1999" s="33" t="s">
        <v>8</v>
      </c>
      <c r="D1999" s="33" t="s">
        <v>27</v>
      </c>
      <c r="E1999" s="34">
        <v>109.47</v>
      </c>
      <c r="F1999" s="33">
        <v>2</v>
      </c>
      <c r="G1999" s="34">
        <v>218.94</v>
      </c>
      <c r="H1999" s="33" t="s">
        <v>25</v>
      </c>
      <c r="I1999" s="33" t="str">
        <f t="shared" si="62"/>
        <v>Low sales</v>
      </c>
      <c r="J1999" s="33" t="str">
        <f t="shared" si="63"/>
        <v>not eligible</v>
      </c>
    </row>
    <row r="2000" spans="1:10" x14ac:dyDescent="0.35">
      <c r="A2000" s="31">
        <v>45136.657638888886</v>
      </c>
      <c r="B2000" s="32">
        <v>0.64398148148148149</v>
      </c>
      <c r="C2000" s="33" t="s">
        <v>8</v>
      </c>
      <c r="D2000" s="33" t="s">
        <v>12</v>
      </c>
      <c r="E2000" s="34">
        <v>331.46</v>
      </c>
      <c r="F2000" s="33">
        <v>3</v>
      </c>
      <c r="G2000" s="34">
        <v>994.38</v>
      </c>
      <c r="H2000" s="33" t="s">
        <v>321</v>
      </c>
      <c r="I2000" s="33" t="str">
        <f t="shared" si="62"/>
        <v>Medium sales</v>
      </c>
      <c r="J2000" s="33" t="str">
        <f t="shared" si="63"/>
        <v>not eligible</v>
      </c>
    </row>
  </sheetData>
  <scenarios current="0" show="0">
    <scenario name="low sales" locked="1" count="2" user="admin" comment="Created by admin on 19-03-2026">
      <inputCells r="M21" val="45"/>
      <inputCells r="N21" val="10"/>
    </scenario>
  </scenarios>
  <mergeCells count="4">
    <mergeCell ref="L18:O18"/>
    <mergeCell ref="L19:O19"/>
    <mergeCell ref="L2:M2"/>
    <mergeCell ref="L11:M11"/>
  </mergeCells>
  <conditionalFormatting sqref="G2:G2000">
    <cfRule type="cellIs" dxfId="28" priority="2" operator="greaterThan">
      <formula>1500</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iconSet" priority="1" id="{2815C40C-3F6E-4DE2-87ED-ED3F55594001}">
            <x14:iconSet iconSet="3Triangles">
              <x14:cfvo type="percent">
                <xm:f>0</xm:f>
              </x14:cfvo>
              <x14:cfvo type="percent">
                <xm:f>33</xm:f>
              </x14:cfvo>
              <x14:cfvo type="percent">
                <xm:f>67</xm:f>
              </x14:cfvo>
            </x14:iconSet>
          </x14:cfRule>
          <xm:sqref>F1:F1048576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499984740745262"/>
  </sheetPr>
  <dimension ref="A1"/>
  <sheetViews>
    <sheetView showGridLines="0" zoomScale="55" zoomScaleNormal="55" workbookViewId="0">
      <selection activeCell="Y14" sqref="Y14"/>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pivot table</vt:lpstr>
      <vt:lpstr>charts</vt:lpstr>
      <vt:lpstr>data cleaning</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2026-03-19T05:27:03Z</dcterms:created>
  <dcterms:modified xsi:type="dcterms:W3CDTF">2026-03-19T16:36:02Z</dcterms:modified>
</cp:coreProperties>
</file>