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Excel\"/>
    </mc:Choice>
  </mc:AlternateContent>
  <xr:revisionPtr revIDLastSave="0" documentId="13_ncr:1_{7060C625-FF0F-49E1-8FEC-63993857C650}" xr6:coauthVersionLast="36" xr6:coauthVersionMax="36" xr10:uidLastSave="{00000000-0000-0000-0000-000000000000}"/>
  <bookViews>
    <workbookView xWindow="0" yWindow="0" windowWidth="19200" windowHeight="6810" activeTab="2" xr2:uid="{E8765F8E-1CCD-4EC0-9CC0-00BF0D1849DB}"/>
  </bookViews>
  <sheets>
    <sheet name="student grade" sheetId="1" r:id="rId1"/>
    <sheet name="Sales data" sheetId="2" r:id="rId2"/>
    <sheet name="employee data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3" l="1"/>
  <c r="E2" i="3"/>
  <c r="E3" i="3"/>
  <c r="E4" i="3"/>
  <c r="E5" i="3"/>
  <c r="E6" i="3"/>
  <c r="E7" i="3"/>
  <c r="E8" i="3"/>
  <c r="E9" i="3"/>
  <c r="E10" i="3"/>
  <c r="E11" i="3"/>
  <c r="E12" i="3"/>
  <c r="E13" i="3"/>
  <c r="E14" i="3"/>
  <c r="E16" i="3"/>
  <c r="E17" i="3"/>
  <c r="E18" i="3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3"/>
  <c r="K14" i="3"/>
  <c r="M17" i="2" a="1"/>
  <c r="M17" i="2" s="1"/>
  <c r="L13" i="2"/>
  <c r="K10" i="3"/>
  <c r="K9" i="3"/>
  <c r="K5" i="3"/>
  <c r="K4" i="3"/>
  <c r="N8" i="2"/>
  <c r="P11" i="1"/>
  <c r="K18" i="3"/>
  <c r="F2" i="1" l="1"/>
  <c r="N4" i="2"/>
  <c r="O3" i="1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G18" i="1" l="1"/>
  <c r="H18" i="1" s="1"/>
  <c r="G13" i="1"/>
  <c r="H13" i="1" s="1"/>
  <c r="G10" i="1"/>
  <c r="H10" i="1" s="1"/>
  <c r="G21" i="1"/>
  <c r="H21" i="1" s="1"/>
  <c r="G9" i="1"/>
  <c r="H9" i="1" s="1"/>
  <c r="G20" i="1"/>
  <c r="H20" i="1" s="1"/>
  <c r="G12" i="1"/>
  <c r="H12" i="1" s="1"/>
  <c r="G8" i="1"/>
  <c r="H8" i="1" s="1"/>
  <c r="G4" i="1"/>
  <c r="H4" i="1" s="1"/>
  <c r="G14" i="1"/>
  <c r="H14" i="1" s="1"/>
  <c r="G6" i="1"/>
  <c r="H6" i="1" s="1"/>
  <c r="G17" i="1"/>
  <c r="H17" i="1" s="1"/>
  <c r="G5" i="1"/>
  <c r="H5" i="1" s="1"/>
  <c r="G16" i="1"/>
  <c r="H16" i="1" s="1"/>
  <c r="G19" i="1"/>
  <c r="H19" i="1" s="1"/>
  <c r="G15" i="1"/>
  <c r="H15" i="1" s="1"/>
  <c r="G11" i="1"/>
  <c r="H11" i="1" s="1"/>
  <c r="G7" i="1"/>
  <c r="H7" i="1" s="1"/>
  <c r="G3" i="1"/>
  <c r="H3" i="1" s="1"/>
  <c r="P7" i="1"/>
  <c r="G2" i="1"/>
  <c r="H2" i="1" l="1"/>
  <c r="M18" i="1"/>
  <c r="N15" i="1"/>
</calcChain>
</file>

<file path=xl/sharedStrings.xml><?xml version="1.0" encoding="utf-8"?>
<sst xmlns="http://schemas.openxmlformats.org/spreadsheetml/2006/main" count="183" uniqueCount="135">
  <si>
    <t>Student ID</t>
  </si>
  <si>
    <t>Name</t>
  </si>
  <si>
    <t>Math</t>
  </si>
  <si>
    <t>Science</t>
  </si>
  <si>
    <t>English</t>
  </si>
  <si>
    <t>Enrollment Date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</si>
  <si>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</si>
  <si>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</si>
  <si>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</si>
  <si>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</si>
  <si>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</si>
  <si>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</si>
  <si>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</si>
  <si>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</si>
  <si>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</si>
  <si>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</si>
  <si>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</si>
  <si>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</si>
  <si>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</si>
  <si>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</si>
  <si>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</si>
  <si>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</si>
  <si>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</si>
  <si>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</si>
  <si>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</si>
  <si>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</si>
  <si>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</si>
  <si>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</si>
  <si>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</si>
  <si>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</si>
  <si>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</si>
  <si>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</si>
  <si>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</si>
  <si>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</si>
  <si>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</si>
  <si>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</si>
  <si>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</si>
  <si>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</si>
  <si>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</si>
  <si>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</si>
  <si>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</si>
  <si>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</si>
  <si>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</si>
  <si>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</si>
  <si>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</si>
  <si>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</si>
  <si>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</si>
  <si>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</si>
  <si>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</si>
  <si>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</si>
  <si>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</si>
  <si>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</si>
  <si>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</si>
  <si>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</si>
  <si>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</si>
  <si>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</si>
  <si>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</si>
  <si>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</si>
  <si>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</si>
  <si>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</si>
  <si>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</si>
  <si>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Employee ID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</si>
  <si>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</si>
  <si>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</si>
  <si>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</si>
  <si>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</si>
  <si>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</si>
  <si>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</si>
  <si>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</si>
  <si>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</si>
  <si>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</si>
  <si>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</si>
  <si>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</si>
  <si>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</si>
  <si>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</si>
  <si>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</si>
  <si>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</si>
  <si>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</si>
  <si>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</si>
  <si>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</si>
  <si>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</si>
  <si>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</si>
  <si>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</si>
  <si>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</si>
  <si>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</si>
  <si>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</si>
  <si>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</si>
  <si>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</si>
  <si>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</si>
  <si>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Total marks</t>
  </si>
  <si>
    <t>percentage</t>
  </si>
  <si>
    <t>Grade</t>
  </si>
  <si>
    <t xml:space="preserve">   students scoring above 50 in math</t>
  </si>
  <si>
    <t>total sales for a specific region &amp; product</t>
  </si>
  <si>
    <t>AVG score for students who scored above 60</t>
  </si>
  <si>
    <t>student names based on ID from a separate dataset.</t>
  </si>
  <si>
    <t>product code</t>
  </si>
  <si>
    <t>PC101</t>
  </si>
  <si>
    <t>PC116</t>
  </si>
  <si>
    <t>PC115</t>
  </si>
  <si>
    <t>PC102</t>
  </si>
  <si>
    <t>PC117</t>
  </si>
  <si>
    <t>PC114</t>
  </si>
  <si>
    <t>PC113</t>
  </si>
  <si>
    <t>PC103</t>
  </si>
  <si>
    <t>PC104</t>
  </si>
  <si>
    <t>PC105</t>
  </si>
  <si>
    <t>PC106</t>
  </si>
  <si>
    <t>PC107</t>
  </si>
  <si>
    <t>PC108</t>
  </si>
  <si>
    <t>PC109</t>
  </si>
  <si>
    <t>PC110</t>
  </si>
  <si>
    <t>PC111</t>
  </si>
  <si>
    <t>PC112</t>
  </si>
  <si>
    <t>PC118</t>
  </si>
  <si>
    <t>PC119</t>
  </si>
  <si>
    <t>PC120</t>
  </si>
  <si>
    <t>Retrieve product prices based on product codes</t>
  </si>
  <si>
    <t>Extract the first name from full names using LEFT and FIND.</t>
  </si>
  <si>
    <t>uisng FIND :-</t>
  </si>
  <si>
    <t xml:space="preserve">uisng LEFT :-    </t>
  </si>
  <si>
    <t>using UPPER :-</t>
  </si>
  <si>
    <t>using LOWER:-</t>
  </si>
  <si>
    <t>Convert names to uppercase/lowercase using UPPER() LOWER().</t>
  </si>
  <si>
    <t>using  GROUND</t>
  </si>
  <si>
    <t>uisng   CEILING</t>
  </si>
  <si>
    <t>using  FLOOR</t>
  </si>
  <si>
    <t>value of person 3 and month 1</t>
  </si>
  <si>
    <t>Look up employee details dynamically without column restrictions.</t>
  </si>
  <si>
    <t>Dynamically reference a cell range using INDIRECT.</t>
  </si>
  <si>
    <t>Create dynamic ranges for sales trends.</t>
  </si>
  <si>
    <t>Column1</t>
  </si>
  <si>
    <t>discount rate</t>
  </si>
  <si>
    <t>status</t>
  </si>
  <si>
    <t>workig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</si>
</sst>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39]#,##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name val="Consolas"/>
      <family val="3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8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NumberFormat="1" applyBorder="1" applyAlignment="1">
      <alignment horizontal="center" vertical="center" wrapText="1"/>
    </xf>
    <xf numFmtId="22" fontId="0" fillId="0" borderId="2" xfId="0" applyNumberForma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0" fillId="3" borderId="5" xfId="0" applyFill="1" applyBorder="1"/>
    <xf numFmtId="0" fontId="3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4" fillId="3" borderId="3" xfId="0" applyFont="1" applyFill="1" applyBorder="1"/>
    <xf numFmtId="0" fontId="4" fillId="3" borderId="4" xfId="0" applyFont="1" applyFill="1" applyBorder="1"/>
    <xf numFmtId="0" fontId="0" fillId="3" borderId="4" xfId="0" applyFill="1" applyBorder="1"/>
    <xf numFmtId="0" fontId="4" fillId="2" borderId="6" xfId="0" applyFont="1" applyFill="1" applyBorder="1"/>
    <xf numFmtId="0" fontId="4" fillId="2" borderId="7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2" borderId="6" xfId="0" applyFont="1" applyFill="1" applyBorder="1"/>
    <xf numFmtId="0" fontId="3" fillId="2" borderId="8" xfId="0" applyFont="1" applyFill="1" applyBorder="1"/>
    <xf numFmtId="0" fontId="0" fillId="0" borderId="9" xfId="0" applyBorder="1" applyAlignment="1">
      <alignment horizontal="center" vertical="center" wrapText="1"/>
    </xf>
    <xf numFmtId="164" fontId="4" fillId="2" borderId="7" xfId="0" applyNumberFormat="1" applyFont="1" applyFill="1" applyBorder="1"/>
    <xf numFmtId="0" fontId="4" fillId="2" borderId="10" xfId="0" applyFont="1" applyFill="1" applyBorder="1"/>
    <xf numFmtId="0" fontId="4" fillId="2" borderId="0" xfId="0" applyFont="1" applyFill="1" applyBorder="1"/>
    <xf numFmtId="0" fontId="0" fillId="2" borderId="0" xfId="0" applyFill="1" applyBorder="1"/>
    <xf numFmtId="0" fontId="0" fillId="2" borderId="11" xfId="0" applyFill="1" applyBorder="1"/>
    <xf numFmtId="0" fontId="3" fillId="3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5" fillId="2" borderId="7" xfId="0" applyFont="1" applyFill="1" applyBorder="1" applyAlignment="1">
      <alignment horizontal="left"/>
    </xf>
    <xf numFmtId="0" fontId="0" fillId="2" borderId="8" xfId="0" applyFill="1" applyBorder="1" applyAlignment="1">
      <alignment horizontal="left"/>
    </xf>
    <xf numFmtId="4" fontId="3" fillId="2" borderId="6" xfId="0" applyNumberFormat="1" applyFont="1" applyFill="1" applyBorder="1"/>
    <xf numFmtId="0" fontId="0" fillId="2" borderId="6" xfId="0" applyFill="1" applyBorder="1"/>
    <xf numFmtId="0" fontId="4" fillId="2" borderId="2" xfId="0" applyFont="1" applyFill="1" applyBorder="1"/>
    <xf numFmtId="0" fontId="4" fillId="2" borderId="12" xfId="0" applyFont="1" applyFill="1" applyBorder="1"/>
    <xf numFmtId="0" fontId="0" fillId="0" borderId="13" xfId="0" applyBorder="1" applyAlignment="1">
      <alignment horizontal="center" vertical="center" wrapText="1"/>
    </xf>
    <xf numFmtId="22" fontId="0" fillId="0" borderId="14" xfId="0" applyNumberForma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9" xfId="0" applyNumberForma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22" fontId="0" fillId="0" borderId="20" xfId="0" applyNumberFormat="1" applyBorder="1" applyAlignment="1">
      <alignment horizontal="center" vertical="center" wrapText="1"/>
    </xf>
    <xf numFmtId="0" fontId="0" fillId="0" borderId="20" xfId="0" applyBorder="1"/>
    <xf numFmtId="0" fontId="1" fillId="4" borderId="15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22" fontId="0" fillId="0" borderId="21" xfId="0" applyNumberForma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22" fontId="0" fillId="0" borderId="27" xfId="0" applyNumberFormat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0" fontId="1" fillId="4" borderId="23" xfId="0" applyFont="1" applyFill="1" applyBorder="1" applyAlignment="1">
      <alignment horizontal="center" vertical="center" wrapText="1"/>
    </xf>
    <xf numFmtId="0" fontId="1" fillId="4" borderId="24" xfId="0" applyFont="1" applyFill="1" applyBorder="1" applyAlignment="1">
      <alignment horizontal="center" vertical="center" wrapText="1"/>
    </xf>
    <xf numFmtId="0" fontId="0" fillId="0" borderId="14" xfId="0" applyBorder="1"/>
    <xf numFmtId="22" fontId="0" fillId="0" borderId="19" xfId="0" applyNumberForma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164" fontId="0" fillId="0" borderId="19" xfId="0" applyNumberFormat="1" applyBorder="1" applyAlignment="1">
      <alignment horizontal="center" vertical="center" wrapText="1"/>
    </xf>
    <xf numFmtId="10" fontId="0" fillId="0" borderId="14" xfId="0" applyNumberFormat="1" applyBorder="1" applyAlignment="1">
      <alignment horizontal="center" vertical="center" wrapText="1"/>
    </xf>
    <xf numFmtId="10" fontId="0" fillId="0" borderId="20" xfId="0" applyNumberForma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</cellXfs>
  <cellStyles count="1">
    <cellStyle name="Normal" xfId="0" builtinId="0"/>
  </cellStyles>
  <dxfs count="39">
    <dxf>
      <numFmt numFmtId="27" formatCode="dd/mm/yy\ h:mm"/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000000"/>
        </bottom>
        <vertical/>
        <horizontal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7" formatCode="dd/mm/yy\ h:mm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7" formatCode="dd/mm/yy\ h:mm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₹-439]#,##0.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7" formatCode="dd/mm/yy\ h:mm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onsolas"/>
        <family val="3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7A5B34-1D3D-4BC7-AFFE-D9954EF30515}" name="Table1" displayName="Table1" ref="A1:J21" totalsRowShown="0" headerRowDxfId="38" headerRowBorderDxfId="37" tableBorderDxfId="36" totalsRowBorderDxfId="35">
  <autoFilter ref="A1:J21" xr:uid="{E758CE96-CBD1-4364-B6E7-8B9D76C112C9}"/>
  <tableColumns count="10">
    <tableColumn id="1" xr3:uid="{D8CBF892-D623-48B2-95F1-B9028C970A88}" name="Student ID" dataDxfId="34"/>
    <tableColumn id="2" xr3:uid="{348EF536-4970-472C-BD8D-33C40D3B5FFB}" name="Name" dataDxfId="33"/>
    <tableColumn id="3" xr3:uid="{37CF3180-836B-4ED0-89B3-246DB2DF442A}" name="Math" dataDxfId="32"/>
    <tableColumn id="4" xr3:uid="{D5C18D18-4D3D-4B69-AD1C-9FE954A2BDB7}" name="Science" dataDxfId="31"/>
    <tableColumn id="5" xr3:uid="{A1319A45-53A8-46A9-A736-7FEC8DC27852}" name="English" dataDxfId="30"/>
    <tableColumn id="6" xr3:uid="{FCCA8435-C166-4EA4-BCBB-5A1C7FF034A7}" name="Total marks" dataDxfId="29">
      <calculatedColumnFormula>SUM(C2:E2)</calculatedColumnFormula>
    </tableColumn>
    <tableColumn id="7" xr3:uid="{72AF9ACD-AC85-424F-AD43-6B632650EE4E}" name="percentage" dataDxfId="28">
      <calculatedColumnFormula>F2/300*100</calculatedColumnFormula>
    </tableColumn>
    <tableColumn id="8" xr3:uid="{CCE56543-913E-4DF6-97F4-C39BB90CAF75}" name="Grade" dataDxfId="27">
      <calculatedColumnFormula>IF(G2&gt;85,"A", IF(G2&gt;65,"B", IF(G2&gt;35,"C", "D")))</calculatedColumnFormula>
    </tableColumn>
    <tableColumn id="9" xr3:uid="{63CE3BC0-FAC8-4587-92A5-B01E92AAFFAE}" name="Enrollment Date" dataDxfId="26"/>
    <tableColumn id="10" xr3:uid="{EB76637A-6FD4-4A08-90AC-A3234CF64ABB}" name="Column1" dataDxfId="25">
      <calculatedColumnFormula>IF(AND(D2&gt;80,C2&gt;80),"Greater than 80","Less than 80")</calculatedColumnFormula>
    </tableColumn>
  </tableColumns>
  <tableStyleInfo name="TableStyleMedium2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91C5C0-55CE-4C4D-BECF-52B51ABEF6A4}" name="Table2" displayName="Table2" ref="A1:I21" totalsRowShown="0" headerRowDxfId="24" dataDxfId="22" headerRowBorderDxfId="23" tableBorderDxfId="21" totalsRowBorderDxfId="20">
  <autoFilter ref="A1:I21" xr:uid="{36587F2F-030B-4054-9312-A9510B5ED909}"/>
  <tableColumns count="9">
    <tableColumn id="1" xr3:uid="{ABD43CDA-7F33-4778-AA93-C2C18A5BAFEE}" name="Sales ID" dataDxfId="19"/>
    <tableColumn id="2" xr3:uid="{E217B9EE-F46E-425C-BFF5-F09C105ACA18}" name="product code" dataDxfId="18"/>
    <tableColumn id="3" xr3:uid="{542AA471-7866-4ED1-BEF2-2134651183D8}" name="Product" dataDxfId="17"/>
    <tableColumn id="4" xr3:uid="{DA783487-C573-4DEC-B0DE-F6B060C62546}" name="Region" dataDxfId="16"/>
    <tableColumn id="5" xr3:uid="{D395C047-73A1-4DE6-B606-31843AC0535C}" name="Salesperson" dataDxfId="15"/>
    <tableColumn id="6" xr3:uid="{E2B888EA-DC62-4D2B-A9E1-C62F693DAD21}" name="Amount" dataDxfId="14"/>
    <tableColumn id="7" xr3:uid="{E617C584-FADA-4316-941F-FA0F376DD3E7}" name="Date" dataDxfId="13"/>
    <tableColumn id="11" xr3:uid="{AD12FF24-2C7E-4CE4-9676-8574B6D75258}" name="status" dataDxfId="12">
      <calculatedColumnFormula>IF(OR(F2=0,F2&lt;7500),"Not Eligible","Eligible")</calculatedColumnFormula>
    </tableColumn>
    <tableColumn id="8" xr3:uid="{5FD2B679-7902-4BF0-9866-BE8B2DF3107A}" name="discount rate" dataDxfId="11">
      <calculatedColumnFormula>IF(F2&gt;30000,5%,IF(F2&gt;20000,3%,1%))</calculatedColumnFormula>
    </tableColumn>
  </tableColumns>
  <tableStyleInfo name="TableStyleMedium2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A49054-80C2-4D7B-B703-CDA0D11717AE}" name="Table3" displayName="Table3" ref="A1:F21" totalsRowShown="0" headerRowDxfId="10" dataDxfId="8" headerRowBorderDxfId="9" tableBorderDxfId="7" totalsRowBorderDxfId="6">
  <autoFilter ref="A1:F21" xr:uid="{9BC21439-4BCB-45D2-A59A-7897C7821117}"/>
  <tableColumns count="6">
    <tableColumn id="1" xr3:uid="{02EFB761-5DA7-4918-9CF7-F128799CAB41}" name="Employee ID" dataDxfId="5"/>
    <tableColumn id="2" xr3:uid="{411ABE96-CC8E-4E17-8412-A05CE7614B61}" name="Name" dataDxfId="4"/>
    <tableColumn id="3" xr3:uid="{6340B94E-B713-4C92-ACFC-D4B0A947A180}" name="Department" dataDxfId="3"/>
    <tableColumn id="4" xr3:uid="{652EE2EE-38BC-4ECD-9E83-07E4A21F0BAB}" name="Salary" dataDxfId="2"/>
    <tableColumn id="6" xr3:uid="{C6D67155-2C15-4CBA-B8B3-E0377D5B6A8F}" name="workig days" dataDxfId="1">
      <calculatedColumnFormula>DATEDIF(Table3[[#This Row],[Joining Date]],TODAY(),"d")</calculatedColumnFormula>
    </tableColumn>
    <tableColumn id="5" xr3:uid="{97221BD5-5BD3-43FF-9150-C4919169A4B2}" name="Joining Date" dataDxfId="0"/>
  </tableColumns>
  <tableStyleInfo name="TableStyleMedium2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2BE14-9389-4713-875D-6C72EA31DF0C}">
  <dimension ref="A1:T21"/>
  <sheetViews>
    <sheetView zoomScale="60" zoomScaleNormal="60" workbookViewId="0">
      <selection activeCell="L11" sqref="L11"/>
    </sheetView>
  </sheetViews>
  <sheetFormatPr defaultRowHeight="14.5"/>
  <cols>
    <col min="1" max="1" width="11.6328125" customWidth="1"/>
    <col min="2" max="2" width="13.6328125" customWidth="1"/>
    <col min="3" max="3" width="13.7265625" customWidth="1"/>
    <col min="4" max="4" width="17.08984375" customWidth="1"/>
    <col min="5" max="5" width="15.90625" customWidth="1"/>
    <col min="6" max="6" width="21.08984375" customWidth="1"/>
    <col min="7" max="7" width="19.54296875" customWidth="1"/>
    <col min="8" max="8" width="18.1796875" customWidth="1"/>
    <col min="9" max="9" width="23.453125" customWidth="1"/>
    <col min="10" max="10" width="16.453125" customWidth="1"/>
    <col min="14" max="14" width="10.90625" customWidth="1"/>
    <col min="15" max="15" width="13.453125" customWidth="1"/>
  </cols>
  <sheetData>
    <row r="1" spans="1:20" ht="18.5" customHeight="1" thickBot="1">
      <c r="A1" s="44" t="s">
        <v>0</v>
      </c>
      <c r="B1" s="45" t="s">
        <v>1</v>
      </c>
      <c r="C1" s="45" t="s">
        <v>2</v>
      </c>
      <c r="D1" s="45" t="s">
        <v>3</v>
      </c>
      <c r="E1" s="45" t="s">
        <v>4</v>
      </c>
      <c r="F1" s="45" t="s">
        <v>89</v>
      </c>
      <c r="G1" s="45" t="s">
        <v>90</v>
      </c>
      <c r="H1" s="45" t="s">
        <v>91</v>
      </c>
      <c r="I1" s="45" t="s">
        <v>5</v>
      </c>
      <c r="J1" s="46" t="s">
        <v>131</v>
      </c>
    </row>
    <row r="2" spans="1:20" ht="23.5">
      <c r="A2" s="36">
        <v>1001</v>
      </c>
      <c r="B2" s="2" t="s">
        <v>6</v>
      </c>
      <c r="C2" s="2">
        <v>61</v>
      </c>
      <c r="D2" s="2">
        <v>48</v>
      </c>
      <c r="E2" s="2">
        <v>76</v>
      </c>
      <c r="F2" s="2">
        <f t="shared" ref="F2:F21" si="0">SUM(C2:E2)</f>
        <v>185</v>
      </c>
      <c r="G2" s="3">
        <f>F2/300*100</f>
        <v>61.666666666666671</v>
      </c>
      <c r="H2" s="5" t="str">
        <f>IF(G2&gt;85,"A", IF(G2&gt;65,"B", IF(G2&gt;35,"C", "D")))</f>
        <v>C</v>
      </c>
      <c r="I2" s="4">
        <v>43101</v>
      </c>
      <c r="J2" s="54" t="str">
        <f t="shared" ref="J2:J21" si="1">IF(AND(D2&gt;80,C2&gt;80),"Greater than 80","Less than 80")</f>
        <v>Less than 80</v>
      </c>
      <c r="M2" s="15" t="s">
        <v>92</v>
      </c>
      <c r="N2" s="16"/>
      <c r="O2" s="16"/>
      <c r="P2" s="16"/>
      <c r="Q2" s="17"/>
    </row>
    <row r="3" spans="1:20" ht="24" thickBot="1">
      <c r="A3" s="36">
        <v>1002</v>
      </c>
      <c r="B3" s="2" t="s">
        <v>7</v>
      </c>
      <c r="C3" s="2">
        <v>78</v>
      </c>
      <c r="D3" s="2">
        <v>76</v>
      </c>
      <c r="E3" s="2">
        <v>70</v>
      </c>
      <c r="F3" s="2">
        <f t="shared" si="0"/>
        <v>224</v>
      </c>
      <c r="G3" s="3">
        <f t="shared" ref="G3:G21" si="2">F3/300*100</f>
        <v>74.666666666666671</v>
      </c>
      <c r="H3" s="5" t="str">
        <f t="shared" ref="H3:H21" si="3">IF(G3&gt;85,"A", IF(G3&gt;65,"B", IF(G3&gt;35,"C", "D")))</f>
        <v>B</v>
      </c>
      <c r="I3" s="4">
        <v>43281</v>
      </c>
      <c r="J3" s="54" t="str">
        <f t="shared" si="1"/>
        <v>Less than 80</v>
      </c>
      <c r="M3" s="18"/>
      <c r="N3" s="7"/>
      <c r="O3" s="7">
        <f>COUNTIF(C2:C21,"&gt;50")</f>
        <v>19</v>
      </c>
      <c r="P3" s="7"/>
      <c r="Q3" s="19"/>
    </row>
    <row r="4" spans="1:20" ht="18">
      <c r="A4" s="36">
        <v>1003</v>
      </c>
      <c r="B4" s="2" t="s">
        <v>8</v>
      </c>
      <c r="C4" s="2">
        <v>97</v>
      </c>
      <c r="D4" s="2">
        <v>60</v>
      </c>
      <c r="E4" s="2">
        <v>51</v>
      </c>
      <c r="F4" s="2">
        <f t="shared" si="0"/>
        <v>208</v>
      </c>
      <c r="G4" s="3">
        <f t="shared" si="2"/>
        <v>69.333333333333343</v>
      </c>
      <c r="H4" s="5" t="str">
        <f t="shared" si="3"/>
        <v>B</v>
      </c>
      <c r="I4" s="4">
        <v>43461</v>
      </c>
      <c r="J4" s="54" t="str">
        <f t="shared" si="1"/>
        <v>Less than 80</v>
      </c>
    </row>
    <row r="5" spans="1:20" ht="18.5" thickBot="1">
      <c r="A5" s="36">
        <v>1004</v>
      </c>
      <c r="B5" s="2" t="s">
        <v>9</v>
      </c>
      <c r="C5" s="2">
        <v>74</v>
      </c>
      <c r="D5" s="2">
        <v>55</v>
      </c>
      <c r="E5" s="2">
        <v>46</v>
      </c>
      <c r="F5" s="2">
        <f t="shared" si="0"/>
        <v>175</v>
      </c>
      <c r="G5" s="3">
        <f t="shared" si="2"/>
        <v>58.333333333333336</v>
      </c>
      <c r="H5" s="5" t="str">
        <f t="shared" si="3"/>
        <v>C</v>
      </c>
      <c r="I5" s="4">
        <v>43641</v>
      </c>
      <c r="J5" s="54" t="str">
        <f t="shared" si="1"/>
        <v>Less than 80</v>
      </c>
    </row>
    <row r="6" spans="1:20" ht="23.5">
      <c r="A6" s="36">
        <v>1005</v>
      </c>
      <c r="B6" s="2" t="s">
        <v>10</v>
      </c>
      <c r="C6" s="2">
        <v>68</v>
      </c>
      <c r="D6" s="2">
        <v>74</v>
      </c>
      <c r="E6" s="2">
        <v>84</v>
      </c>
      <c r="F6" s="2">
        <f t="shared" si="0"/>
        <v>226</v>
      </c>
      <c r="G6" s="3">
        <f t="shared" si="2"/>
        <v>75.333333333333329</v>
      </c>
      <c r="H6" s="5" t="str">
        <f t="shared" si="3"/>
        <v>B</v>
      </c>
      <c r="I6" s="4">
        <v>43821</v>
      </c>
      <c r="J6" s="54" t="str">
        <f t="shared" si="1"/>
        <v>Less than 80</v>
      </c>
      <c r="M6" s="15" t="s">
        <v>94</v>
      </c>
      <c r="N6" s="16"/>
      <c r="O6" s="16"/>
      <c r="P6" s="16"/>
      <c r="Q6" s="16"/>
      <c r="R6" s="16"/>
      <c r="S6" s="6"/>
    </row>
    <row r="7" spans="1:20" ht="24" thickBot="1">
      <c r="A7" s="36">
        <v>1006</v>
      </c>
      <c r="B7" s="2" t="s">
        <v>11</v>
      </c>
      <c r="C7" s="2">
        <v>80</v>
      </c>
      <c r="D7" s="2">
        <v>70</v>
      </c>
      <c r="E7" s="2">
        <v>65</v>
      </c>
      <c r="F7" s="2">
        <f t="shared" si="0"/>
        <v>215</v>
      </c>
      <c r="G7" s="3">
        <f t="shared" si="2"/>
        <v>71.666666666666671</v>
      </c>
      <c r="H7" s="5" t="str">
        <f t="shared" si="3"/>
        <v>B</v>
      </c>
      <c r="I7" s="4">
        <v>44001</v>
      </c>
      <c r="J7" s="54" t="str">
        <f t="shared" si="1"/>
        <v>Less than 80</v>
      </c>
      <c r="M7" s="18"/>
      <c r="N7" s="7"/>
      <c r="O7" s="8"/>
      <c r="P7" s="7">
        <f>AVERAGEIFS(F2:F21, C2:C21,"&gt;60",D2:D21,"&gt;60",E2:E21,"&gt;60")</f>
        <v>238</v>
      </c>
      <c r="Q7" s="7"/>
      <c r="R7" s="7"/>
      <c r="S7" s="9"/>
    </row>
    <row r="8" spans="1:20" ht="18">
      <c r="A8" s="36">
        <v>1007</v>
      </c>
      <c r="B8" s="2" t="s">
        <v>12</v>
      </c>
      <c r="C8" s="2">
        <v>75</v>
      </c>
      <c r="D8" s="2">
        <v>47</v>
      </c>
      <c r="E8" s="2">
        <v>78</v>
      </c>
      <c r="F8" s="2">
        <f t="shared" si="0"/>
        <v>200</v>
      </c>
      <c r="G8" s="3">
        <f t="shared" si="2"/>
        <v>66.666666666666657</v>
      </c>
      <c r="H8" s="5" t="str">
        <f t="shared" si="3"/>
        <v>B</v>
      </c>
      <c r="I8" s="4">
        <v>44181</v>
      </c>
      <c r="J8" s="54" t="str">
        <f t="shared" si="1"/>
        <v>Less than 80</v>
      </c>
    </row>
    <row r="9" spans="1:20" ht="18.5" thickBot="1">
      <c r="A9" s="36">
        <v>1008</v>
      </c>
      <c r="B9" s="2" t="s">
        <v>13</v>
      </c>
      <c r="C9" s="2">
        <v>94</v>
      </c>
      <c r="D9" s="2">
        <v>67</v>
      </c>
      <c r="E9" s="2">
        <v>64</v>
      </c>
      <c r="F9" s="2">
        <f t="shared" si="0"/>
        <v>225</v>
      </c>
      <c r="G9" s="3">
        <f t="shared" si="2"/>
        <v>75</v>
      </c>
      <c r="H9" s="5" t="str">
        <f t="shared" si="3"/>
        <v>B</v>
      </c>
      <c r="I9" s="4">
        <v>44361</v>
      </c>
      <c r="J9" s="54" t="str">
        <f t="shared" si="1"/>
        <v>Less than 80</v>
      </c>
    </row>
    <row r="10" spans="1:20" ht="23.5">
      <c r="A10" s="36">
        <v>1009</v>
      </c>
      <c r="B10" s="2" t="s">
        <v>14</v>
      </c>
      <c r="C10" s="2">
        <v>41</v>
      </c>
      <c r="D10" s="2">
        <v>75</v>
      </c>
      <c r="E10" s="2">
        <v>56</v>
      </c>
      <c r="F10" s="2">
        <f t="shared" si="0"/>
        <v>172</v>
      </c>
      <c r="G10" s="3">
        <f t="shared" si="2"/>
        <v>57.333333333333336</v>
      </c>
      <c r="H10" s="5" t="str">
        <f t="shared" si="3"/>
        <v>C</v>
      </c>
      <c r="I10" s="4">
        <v>44541</v>
      </c>
      <c r="J10" s="54" t="str">
        <f t="shared" si="1"/>
        <v>Less than 80</v>
      </c>
      <c r="M10" s="15" t="s">
        <v>95</v>
      </c>
      <c r="N10" s="16"/>
      <c r="O10" s="16"/>
      <c r="P10" s="16"/>
      <c r="Q10" s="16"/>
      <c r="R10" s="12"/>
      <c r="S10" s="12"/>
      <c r="T10" s="6"/>
    </row>
    <row r="11" spans="1:20" ht="21.5" customHeight="1" thickBot="1">
      <c r="A11" s="36">
        <v>1010</v>
      </c>
      <c r="B11" s="2" t="s">
        <v>15</v>
      </c>
      <c r="C11" s="2">
        <v>98</v>
      </c>
      <c r="D11" s="2">
        <v>54</v>
      </c>
      <c r="E11" s="2">
        <v>58</v>
      </c>
      <c r="F11" s="2">
        <f t="shared" si="0"/>
        <v>210</v>
      </c>
      <c r="G11" s="3">
        <f t="shared" si="2"/>
        <v>70</v>
      </c>
      <c r="H11" s="5" t="str">
        <f t="shared" si="3"/>
        <v>B</v>
      </c>
      <c r="I11" s="4">
        <v>44721</v>
      </c>
      <c r="J11" s="54" t="str">
        <f t="shared" si="1"/>
        <v>Less than 80</v>
      </c>
      <c r="M11" s="18"/>
      <c r="N11" s="7"/>
      <c r="O11" s="7"/>
      <c r="P11" s="7" t="str">
        <f>VLOOKUP(1017,A2:L21,2,FALSE)</f>
        <v>Student 17</v>
      </c>
      <c r="Q11" s="7"/>
      <c r="R11" s="8"/>
      <c r="S11" s="8"/>
      <c r="T11" s="9"/>
    </row>
    <row r="12" spans="1:20" ht="17.5" customHeight="1">
      <c r="A12" s="36">
        <v>1011</v>
      </c>
      <c r="B12" s="2" t="s">
        <v>16</v>
      </c>
      <c r="C12" s="2">
        <v>73</v>
      </c>
      <c r="D12" s="2">
        <v>79</v>
      </c>
      <c r="E12" s="2">
        <v>53</v>
      </c>
      <c r="F12" s="2">
        <f t="shared" si="0"/>
        <v>205</v>
      </c>
      <c r="G12" s="3">
        <f t="shared" si="2"/>
        <v>68.333333333333329</v>
      </c>
      <c r="H12" s="5" t="str">
        <f t="shared" si="3"/>
        <v>B</v>
      </c>
      <c r="I12" s="4">
        <v>44901</v>
      </c>
      <c r="J12" s="54" t="str">
        <f t="shared" si="1"/>
        <v>Less than 80</v>
      </c>
    </row>
    <row r="13" spans="1:20" ht="16" customHeight="1" thickBot="1">
      <c r="A13" s="36">
        <v>1012</v>
      </c>
      <c r="B13" s="2" t="s">
        <v>17</v>
      </c>
      <c r="C13" s="2">
        <v>85</v>
      </c>
      <c r="D13" s="2">
        <v>89</v>
      </c>
      <c r="E13" s="2">
        <v>79</v>
      </c>
      <c r="F13" s="2">
        <f t="shared" si="0"/>
        <v>253</v>
      </c>
      <c r="G13" s="3">
        <f t="shared" si="2"/>
        <v>84.333333333333343</v>
      </c>
      <c r="H13" s="5" t="str">
        <f t="shared" si="3"/>
        <v>B</v>
      </c>
      <c r="I13" s="4">
        <v>45081</v>
      </c>
      <c r="J13" s="54" t="str">
        <f t="shared" si="1"/>
        <v>Greater than 80</v>
      </c>
    </row>
    <row r="14" spans="1:20" ht="26" customHeight="1">
      <c r="A14" s="36">
        <v>1013</v>
      </c>
      <c r="B14" s="2" t="s">
        <v>18</v>
      </c>
      <c r="C14" s="2">
        <v>98</v>
      </c>
      <c r="D14" s="2">
        <v>90</v>
      </c>
      <c r="E14" s="2">
        <v>97</v>
      </c>
      <c r="F14" s="2">
        <f t="shared" si="0"/>
        <v>285</v>
      </c>
      <c r="G14" s="3">
        <f t="shared" si="2"/>
        <v>95</v>
      </c>
      <c r="H14" s="5" t="str">
        <f t="shared" si="3"/>
        <v>A</v>
      </c>
      <c r="I14" s="4">
        <v>45261</v>
      </c>
      <c r="J14" s="54" t="str">
        <f t="shared" si="1"/>
        <v>Greater than 80</v>
      </c>
      <c r="M14" s="26" t="s">
        <v>124</v>
      </c>
      <c r="N14" s="27"/>
      <c r="O14" s="28"/>
    </row>
    <row r="15" spans="1:20" ht="28" customHeight="1" thickBot="1">
      <c r="A15" s="36">
        <v>1014</v>
      </c>
      <c r="B15" s="2" t="s">
        <v>19</v>
      </c>
      <c r="C15" s="2">
        <v>93</v>
      </c>
      <c r="D15" s="2">
        <v>40</v>
      </c>
      <c r="E15" s="2">
        <v>44</v>
      </c>
      <c r="F15" s="2">
        <f t="shared" si="0"/>
        <v>177</v>
      </c>
      <c r="G15" s="3">
        <f t="shared" si="2"/>
        <v>59</v>
      </c>
      <c r="H15" s="5" t="str">
        <f t="shared" si="3"/>
        <v>C</v>
      </c>
      <c r="I15" s="4">
        <v>45441</v>
      </c>
      <c r="J15" s="54" t="str">
        <f t="shared" si="1"/>
        <v>Less than 80</v>
      </c>
      <c r="M15" s="29"/>
      <c r="N15" s="30">
        <f>ROUND(G2, 2)</f>
        <v>61.67</v>
      </c>
      <c r="O15" s="31"/>
    </row>
    <row r="16" spans="1:20" ht="14.5" customHeight="1" thickBot="1">
      <c r="A16" s="36">
        <v>1015</v>
      </c>
      <c r="B16" s="2" t="s">
        <v>20</v>
      </c>
      <c r="C16" s="2">
        <v>70</v>
      </c>
      <c r="D16" s="2">
        <v>51</v>
      </c>
      <c r="E16" s="2">
        <v>75</v>
      </c>
      <c r="F16" s="2">
        <f t="shared" si="0"/>
        <v>196</v>
      </c>
      <c r="G16" s="3">
        <f t="shared" si="2"/>
        <v>65.333333333333329</v>
      </c>
      <c r="H16" s="5" t="str">
        <f t="shared" si="3"/>
        <v>B</v>
      </c>
      <c r="I16" s="4">
        <v>45621</v>
      </c>
      <c r="J16" s="54" t="str">
        <f t="shared" si="1"/>
        <v>Less than 80</v>
      </c>
    </row>
    <row r="17" spans="1:15" ht="28" customHeight="1">
      <c r="A17" s="36">
        <v>1016</v>
      </c>
      <c r="B17" s="2" t="s">
        <v>21</v>
      </c>
      <c r="C17" s="2">
        <v>98</v>
      </c>
      <c r="D17" s="2">
        <v>77</v>
      </c>
      <c r="E17" s="2">
        <v>60</v>
      </c>
      <c r="F17" s="2">
        <f t="shared" si="0"/>
        <v>235</v>
      </c>
      <c r="G17" s="3">
        <f t="shared" si="2"/>
        <v>78.333333333333329</v>
      </c>
      <c r="H17" s="5" t="str">
        <f t="shared" si="3"/>
        <v>B</v>
      </c>
      <c r="I17" s="4">
        <v>45801</v>
      </c>
      <c r="J17" s="54" t="str">
        <f t="shared" si="1"/>
        <v>Less than 80</v>
      </c>
      <c r="M17" s="15" t="s">
        <v>125</v>
      </c>
      <c r="N17" s="16"/>
      <c r="O17" s="6"/>
    </row>
    <row r="18" spans="1:15" ht="24" customHeight="1" thickBot="1">
      <c r="A18" s="36">
        <v>1017</v>
      </c>
      <c r="B18" s="2" t="s">
        <v>22</v>
      </c>
      <c r="C18" s="2">
        <v>66</v>
      </c>
      <c r="D18" s="2">
        <v>59</v>
      </c>
      <c r="E18" s="2">
        <v>40</v>
      </c>
      <c r="F18" s="2">
        <f t="shared" si="0"/>
        <v>165</v>
      </c>
      <c r="G18" s="3">
        <f t="shared" si="2"/>
        <v>55.000000000000007</v>
      </c>
      <c r="H18" s="5" t="str">
        <f t="shared" si="3"/>
        <v>C</v>
      </c>
      <c r="I18" s="4">
        <v>45981</v>
      </c>
      <c r="J18" s="54" t="str">
        <f t="shared" si="1"/>
        <v>Less than 80</v>
      </c>
      <c r="M18" s="18">
        <f>CEILING(G2, 1)</f>
        <v>62</v>
      </c>
      <c r="N18" s="7"/>
      <c r="O18" s="9"/>
    </row>
    <row r="19" spans="1:15" ht="18" customHeight="1">
      <c r="A19" s="36">
        <v>1018</v>
      </c>
      <c r="B19" s="2" t="s">
        <v>23</v>
      </c>
      <c r="C19" s="2">
        <v>82</v>
      </c>
      <c r="D19" s="2">
        <v>48</v>
      </c>
      <c r="E19" s="2">
        <v>79</v>
      </c>
      <c r="F19" s="2">
        <f t="shared" si="0"/>
        <v>209</v>
      </c>
      <c r="G19" s="3">
        <f t="shared" si="2"/>
        <v>69.666666666666671</v>
      </c>
      <c r="H19" s="5" t="str">
        <f t="shared" si="3"/>
        <v>B</v>
      </c>
      <c r="I19" s="4">
        <v>46161</v>
      </c>
      <c r="J19" s="54" t="str">
        <f t="shared" si="1"/>
        <v>Less than 80</v>
      </c>
    </row>
    <row r="20" spans="1:15" ht="17" customHeight="1">
      <c r="A20" s="36">
        <v>1019</v>
      </c>
      <c r="B20" s="2" t="s">
        <v>24</v>
      </c>
      <c r="C20" s="2">
        <v>90</v>
      </c>
      <c r="D20" s="2">
        <v>78</v>
      </c>
      <c r="E20" s="2">
        <v>60</v>
      </c>
      <c r="F20" s="2">
        <f t="shared" si="0"/>
        <v>228</v>
      </c>
      <c r="G20" s="3">
        <f t="shared" si="2"/>
        <v>76</v>
      </c>
      <c r="H20" s="5" t="str">
        <f t="shared" si="3"/>
        <v>B</v>
      </c>
      <c r="I20" s="4">
        <v>46341</v>
      </c>
      <c r="J20" s="54" t="str">
        <f t="shared" si="1"/>
        <v>Less than 80</v>
      </c>
    </row>
    <row r="21" spans="1:15" ht="15" customHeight="1">
      <c r="A21" s="38">
        <v>1020</v>
      </c>
      <c r="B21" s="39" t="s">
        <v>25</v>
      </c>
      <c r="C21" s="39">
        <v>83</v>
      </c>
      <c r="D21" s="39">
        <v>92</v>
      </c>
      <c r="E21" s="39">
        <v>55</v>
      </c>
      <c r="F21" s="39">
        <f t="shared" si="0"/>
        <v>230</v>
      </c>
      <c r="G21" s="40">
        <f t="shared" si="2"/>
        <v>76.666666666666671</v>
      </c>
      <c r="H21" s="41" t="str">
        <f t="shared" si="3"/>
        <v>B</v>
      </c>
      <c r="I21" s="55">
        <v>46521</v>
      </c>
      <c r="J21" s="43" t="str">
        <f t="shared" si="1"/>
        <v>Greater than 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71866-8B9C-4400-88E9-1C0ACDBA5E63}">
  <dimension ref="A1:Q21"/>
  <sheetViews>
    <sheetView zoomScale="70" zoomScaleNormal="70" workbookViewId="0">
      <selection activeCell="E26" sqref="E26"/>
    </sheetView>
  </sheetViews>
  <sheetFormatPr defaultRowHeight="14.5"/>
  <cols>
    <col min="1" max="1" width="9.54296875" customWidth="1"/>
    <col min="2" max="2" width="13.36328125" customWidth="1"/>
    <col min="3" max="3" width="14.54296875" customWidth="1"/>
    <col min="4" max="4" width="13.36328125" customWidth="1"/>
    <col min="5" max="5" width="12.7265625" customWidth="1"/>
    <col min="6" max="6" width="12.1796875" customWidth="1"/>
    <col min="7" max="7" width="17.36328125" customWidth="1"/>
    <col min="8" max="8" width="14.36328125" customWidth="1"/>
    <col min="9" max="9" width="21.90625" customWidth="1"/>
    <col min="11" max="11" width="14.54296875" customWidth="1"/>
    <col min="12" max="12" width="14.7265625" bestFit="1" customWidth="1"/>
    <col min="13" max="13" width="14.81640625" customWidth="1"/>
    <col min="14" max="14" width="20.6328125" customWidth="1"/>
    <col min="15" max="15" width="8.36328125" customWidth="1"/>
  </cols>
  <sheetData>
    <row r="1" spans="1:17" ht="21" customHeight="1">
      <c r="A1" s="44" t="s">
        <v>26</v>
      </c>
      <c r="B1" s="45" t="s">
        <v>96</v>
      </c>
      <c r="C1" s="45" t="s">
        <v>27</v>
      </c>
      <c r="D1" s="45" t="s">
        <v>28</v>
      </c>
      <c r="E1" s="45" t="s">
        <v>29</v>
      </c>
      <c r="F1" s="45" t="s">
        <v>30</v>
      </c>
      <c r="G1" s="45" t="s">
        <v>31</v>
      </c>
      <c r="H1" s="46" t="s">
        <v>133</v>
      </c>
      <c r="I1" s="46" t="s">
        <v>132</v>
      </c>
    </row>
    <row r="2" spans="1:17" ht="15" thickBot="1">
      <c r="A2" s="36">
        <v>2001</v>
      </c>
      <c r="B2" s="2" t="s">
        <v>97</v>
      </c>
      <c r="C2" s="2" t="s">
        <v>32</v>
      </c>
      <c r="D2" s="2" t="s">
        <v>33</v>
      </c>
      <c r="E2" s="2" t="s">
        <v>34</v>
      </c>
      <c r="F2" s="56">
        <v>7048</v>
      </c>
      <c r="G2" s="4">
        <v>44927</v>
      </c>
      <c r="H2" s="37" t="str">
        <f t="shared" ref="H2:H21" si="0">IF(OR(F2=0,F2&lt;7500),"Not Eligible","Eligible")</f>
        <v>Not Eligible</v>
      </c>
      <c r="I2" s="58">
        <f t="shared" ref="I2:I21" si="1">IF(F2&gt;30000,5%,IF(F2&gt;20000,3%,1%))</f>
        <v>0.01</v>
      </c>
    </row>
    <row r="3" spans="1:17" ht="21">
      <c r="A3" s="36">
        <v>2002</v>
      </c>
      <c r="B3" s="2" t="s">
        <v>100</v>
      </c>
      <c r="C3" s="2" t="s">
        <v>35</v>
      </c>
      <c r="D3" s="2" t="s">
        <v>36</v>
      </c>
      <c r="E3" s="2" t="s">
        <v>37</v>
      </c>
      <c r="F3" s="56">
        <v>17428</v>
      </c>
      <c r="G3" s="4">
        <v>44942</v>
      </c>
      <c r="H3" s="37" t="str">
        <f t="shared" si="0"/>
        <v>Eligible</v>
      </c>
      <c r="I3" s="58">
        <f t="shared" si="1"/>
        <v>0.01</v>
      </c>
      <c r="L3" s="10" t="s">
        <v>93</v>
      </c>
      <c r="M3" s="11"/>
      <c r="N3" s="11"/>
      <c r="O3" s="11"/>
      <c r="P3" s="12"/>
      <c r="Q3" s="6"/>
    </row>
    <row r="4" spans="1:17" ht="21.5" thickBot="1">
      <c r="A4" s="36">
        <v>2003</v>
      </c>
      <c r="B4" s="2" t="s">
        <v>104</v>
      </c>
      <c r="C4" s="2" t="s">
        <v>38</v>
      </c>
      <c r="D4" s="2" t="s">
        <v>33</v>
      </c>
      <c r="E4" s="2" t="s">
        <v>39</v>
      </c>
      <c r="F4" s="56">
        <v>23672</v>
      </c>
      <c r="G4" s="4">
        <v>44957</v>
      </c>
      <c r="H4" s="37" t="str">
        <f t="shared" si="0"/>
        <v>Eligible</v>
      </c>
      <c r="I4" s="58">
        <f t="shared" si="1"/>
        <v>0.03</v>
      </c>
      <c r="L4" s="13"/>
      <c r="M4" s="8"/>
      <c r="N4" s="14">
        <f>SUMIFS(F2:F21,C2:C21,"Mouse",D2:D21,"North")</f>
        <v>19757</v>
      </c>
      <c r="O4" s="14"/>
      <c r="P4" s="8"/>
      <c r="Q4" s="9"/>
    </row>
    <row r="5" spans="1:17">
      <c r="A5" s="36">
        <v>2004</v>
      </c>
      <c r="B5" s="2" t="s">
        <v>105</v>
      </c>
      <c r="C5" s="2" t="s">
        <v>35</v>
      </c>
      <c r="D5" s="2" t="s">
        <v>40</v>
      </c>
      <c r="E5" s="2" t="s">
        <v>41</v>
      </c>
      <c r="F5" s="56">
        <v>5264</v>
      </c>
      <c r="G5" s="4">
        <v>44972</v>
      </c>
      <c r="H5" s="37" t="str">
        <f t="shared" si="0"/>
        <v>Not Eligible</v>
      </c>
      <c r="I5" s="58">
        <f t="shared" si="1"/>
        <v>0.01</v>
      </c>
    </row>
    <row r="6" spans="1:17" ht="15" thickBot="1">
      <c r="A6" s="36">
        <v>2005</v>
      </c>
      <c r="B6" s="2" t="s">
        <v>106</v>
      </c>
      <c r="C6" s="2" t="s">
        <v>32</v>
      </c>
      <c r="D6" s="2" t="s">
        <v>42</v>
      </c>
      <c r="E6" s="2" t="s">
        <v>43</v>
      </c>
      <c r="F6" s="56">
        <v>43388</v>
      </c>
      <c r="G6" s="4">
        <v>44987</v>
      </c>
      <c r="H6" s="37" t="str">
        <f t="shared" si="0"/>
        <v>Eligible</v>
      </c>
      <c r="I6" s="58">
        <f t="shared" si="1"/>
        <v>0.05</v>
      </c>
    </row>
    <row r="7" spans="1:17" ht="21">
      <c r="A7" s="36">
        <v>2006</v>
      </c>
      <c r="B7" s="2" t="s">
        <v>107</v>
      </c>
      <c r="C7" s="2" t="s">
        <v>38</v>
      </c>
      <c r="D7" s="2" t="s">
        <v>42</v>
      </c>
      <c r="E7" s="2" t="s">
        <v>44</v>
      </c>
      <c r="F7" s="56">
        <v>19757</v>
      </c>
      <c r="G7" s="4">
        <v>45002</v>
      </c>
      <c r="H7" s="37" t="str">
        <f t="shared" si="0"/>
        <v>Eligible</v>
      </c>
      <c r="I7" s="58">
        <f t="shared" si="1"/>
        <v>0.01</v>
      </c>
      <c r="L7" s="10" t="s">
        <v>117</v>
      </c>
      <c r="M7" s="11"/>
      <c r="N7" s="11"/>
      <c r="O7" s="11"/>
      <c r="P7" s="11"/>
      <c r="Q7" s="6"/>
    </row>
    <row r="8" spans="1:17" ht="21.5" thickBot="1">
      <c r="A8" s="36">
        <v>2007</v>
      </c>
      <c r="B8" s="2" t="s">
        <v>108</v>
      </c>
      <c r="C8" s="2" t="s">
        <v>38</v>
      </c>
      <c r="D8" s="2" t="s">
        <v>40</v>
      </c>
      <c r="E8" s="2" t="s">
        <v>45</v>
      </c>
      <c r="F8" s="56">
        <v>32058</v>
      </c>
      <c r="G8" s="4">
        <v>45017</v>
      </c>
      <c r="H8" s="37" t="str">
        <f t="shared" si="0"/>
        <v>Eligible</v>
      </c>
      <c r="I8" s="58">
        <f t="shared" si="1"/>
        <v>0.05</v>
      </c>
      <c r="L8" s="13"/>
      <c r="M8" s="14"/>
      <c r="N8" s="21">
        <f>VLOOKUP("PC113", B2:F21, 5, FALSE)</f>
        <v>15560</v>
      </c>
      <c r="O8" s="14"/>
      <c r="P8" s="14"/>
      <c r="Q8" s="9"/>
    </row>
    <row r="9" spans="1:17">
      <c r="A9" s="36">
        <v>2008</v>
      </c>
      <c r="B9" s="2" t="s">
        <v>109</v>
      </c>
      <c r="C9" s="2" t="s">
        <v>32</v>
      </c>
      <c r="D9" s="2" t="s">
        <v>40</v>
      </c>
      <c r="E9" s="2" t="s">
        <v>46</v>
      </c>
      <c r="F9" s="56">
        <v>46429</v>
      </c>
      <c r="G9" s="4">
        <v>45032</v>
      </c>
      <c r="H9" s="37" t="str">
        <f t="shared" si="0"/>
        <v>Eligible</v>
      </c>
      <c r="I9" s="58">
        <f t="shared" si="1"/>
        <v>0.05</v>
      </c>
    </row>
    <row r="10" spans="1:17">
      <c r="A10" s="36">
        <v>2009</v>
      </c>
      <c r="B10" s="2" t="s">
        <v>110</v>
      </c>
      <c r="C10" s="2" t="s">
        <v>35</v>
      </c>
      <c r="D10" s="2" t="s">
        <v>40</v>
      </c>
      <c r="E10" s="2" t="s">
        <v>47</v>
      </c>
      <c r="F10" s="56">
        <v>19746</v>
      </c>
      <c r="G10" s="4">
        <v>45047</v>
      </c>
      <c r="H10" s="37" t="str">
        <f t="shared" si="0"/>
        <v>Eligible</v>
      </c>
      <c r="I10" s="58">
        <f t="shared" si="1"/>
        <v>0.01</v>
      </c>
    </row>
    <row r="11" spans="1:17" ht="14.5" customHeight="1" thickBot="1">
      <c r="A11" s="36">
        <v>2010</v>
      </c>
      <c r="B11" s="2" t="s">
        <v>111</v>
      </c>
      <c r="C11" s="2" t="s">
        <v>32</v>
      </c>
      <c r="D11" s="2" t="s">
        <v>33</v>
      </c>
      <c r="E11" s="2" t="s">
        <v>48</v>
      </c>
      <c r="F11" s="56">
        <v>35185</v>
      </c>
      <c r="G11" s="4">
        <v>45062</v>
      </c>
      <c r="H11" s="37" t="str">
        <f t="shared" si="0"/>
        <v>Eligible</v>
      </c>
      <c r="I11" s="58">
        <f t="shared" si="1"/>
        <v>0.05</v>
      </c>
    </row>
    <row r="12" spans="1:17" ht="25" customHeight="1">
      <c r="A12" s="36">
        <v>2011</v>
      </c>
      <c r="B12" s="2" t="s">
        <v>112</v>
      </c>
      <c r="C12" s="2" t="s">
        <v>32</v>
      </c>
      <c r="D12" s="2" t="s">
        <v>40</v>
      </c>
      <c r="E12" s="2" t="s">
        <v>49</v>
      </c>
      <c r="F12" s="56">
        <v>33920</v>
      </c>
      <c r="G12" s="4">
        <v>45077</v>
      </c>
      <c r="H12" s="37" t="str">
        <f t="shared" si="0"/>
        <v>Eligible</v>
      </c>
      <c r="I12" s="58">
        <f t="shared" si="1"/>
        <v>0.05</v>
      </c>
      <c r="L12" s="15" t="s">
        <v>126</v>
      </c>
      <c r="M12" s="6"/>
    </row>
    <row r="13" spans="1:17" ht="23.5" customHeight="1" thickBot="1">
      <c r="A13" s="36">
        <v>2012</v>
      </c>
      <c r="B13" s="2" t="s">
        <v>113</v>
      </c>
      <c r="C13" s="2" t="s">
        <v>50</v>
      </c>
      <c r="D13" s="2" t="s">
        <v>42</v>
      </c>
      <c r="E13" s="2" t="s">
        <v>51</v>
      </c>
      <c r="F13" s="56">
        <v>35611</v>
      </c>
      <c r="G13" s="4">
        <v>45092</v>
      </c>
      <c r="H13" s="37" t="str">
        <f t="shared" si="0"/>
        <v>Eligible</v>
      </c>
      <c r="I13" s="58">
        <f t="shared" si="1"/>
        <v>0.05</v>
      </c>
      <c r="L13" s="32">
        <f>FLOOR(F8, 5)</f>
        <v>32055</v>
      </c>
      <c r="M13" s="9"/>
    </row>
    <row r="14" spans="1:17" ht="14.5" customHeight="1">
      <c r="A14" s="36">
        <v>2013</v>
      </c>
      <c r="B14" s="2" t="s">
        <v>103</v>
      </c>
      <c r="C14" s="2" t="s">
        <v>52</v>
      </c>
      <c r="D14" s="2" t="s">
        <v>40</v>
      </c>
      <c r="E14" s="2" t="s">
        <v>53</v>
      </c>
      <c r="F14" s="56">
        <v>15560</v>
      </c>
      <c r="G14" s="4">
        <v>45107</v>
      </c>
      <c r="H14" s="37" t="str">
        <f t="shared" si="0"/>
        <v>Eligible</v>
      </c>
      <c r="I14" s="58">
        <f t="shared" si="1"/>
        <v>0.01</v>
      </c>
    </row>
    <row r="15" spans="1:17" ht="15" customHeight="1" thickBot="1">
      <c r="A15" s="36">
        <v>2014</v>
      </c>
      <c r="B15" s="2" t="s">
        <v>102</v>
      </c>
      <c r="C15" s="2" t="s">
        <v>52</v>
      </c>
      <c r="D15" s="2" t="s">
        <v>33</v>
      </c>
      <c r="E15" s="2" t="s">
        <v>54</v>
      </c>
      <c r="F15" s="56">
        <v>7283</v>
      </c>
      <c r="G15" s="4">
        <v>45122</v>
      </c>
      <c r="H15" s="37" t="str">
        <f t="shared" si="0"/>
        <v>Not Eligible</v>
      </c>
      <c r="I15" s="58">
        <f t="shared" si="1"/>
        <v>0.01</v>
      </c>
    </row>
    <row r="16" spans="1:17" ht="24" customHeight="1">
      <c r="A16" s="36">
        <v>2015</v>
      </c>
      <c r="B16" s="2" t="s">
        <v>99</v>
      </c>
      <c r="C16" s="2" t="s">
        <v>52</v>
      </c>
      <c r="D16" s="2" t="s">
        <v>40</v>
      </c>
      <c r="E16" s="2" t="s">
        <v>55</v>
      </c>
      <c r="F16" s="56">
        <v>15678</v>
      </c>
      <c r="G16" s="4">
        <v>45137</v>
      </c>
      <c r="H16" s="37" t="str">
        <f t="shared" si="0"/>
        <v>Eligible</v>
      </c>
      <c r="I16" s="58">
        <f t="shared" si="1"/>
        <v>0.01</v>
      </c>
      <c r="L16" s="15" t="s">
        <v>127</v>
      </c>
      <c r="M16" s="16"/>
      <c r="N16" s="16"/>
      <c r="O16" s="6"/>
    </row>
    <row r="17" spans="1:15" ht="26" customHeight="1" thickBot="1">
      <c r="A17" s="36">
        <v>2016</v>
      </c>
      <c r="B17" s="2" t="s">
        <v>98</v>
      </c>
      <c r="C17" s="2" t="s">
        <v>38</v>
      </c>
      <c r="D17" s="2" t="s">
        <v>40</v>
      </c>
      <c r="E17" s="2" t="s">
        <v>56</v>
      </c>
      <c r="F17" s="56">
        <v>5277</v>
      </c>
      <c r="G17" s="4">
        <v>45152</v>
      </c>
      <c r="H17" s="37" t="str">
        <f t="shared" si="0"/>
        <v>Not Eligible</v>
      </c>
      <c r="I17" s="58">
        <f t="shared" si="1"/>
        <v>0.01</v>
      </c>
      <c r="L17" s="33"/>
      <c r="M17" s="7">
        <f t="array" ref="M17">INDEX(F2:F21, MATCH(1, (E2:E21="Person 3") * (MONTH(G2:G21)=1), 0))</f>
        <v>23672</v>
      </c>
      <c r="N17" s="7"/>
      <c r="O17" s="9"/>
    </row>
    <row r="18" spans="1:15" ht="16" customHeight="1">
      <c r="A18" s="36">
        <v>2017</v>
      </c>
      <c r="B18" s="2" t="s">
        <v>101</v>
      </c>
      <c r="C18" s="2" t="s">
        <v>50</v>
      </c>
      <c r="D18" s="2" t="s">
        <v>42</v>
      </c>
      <c r="E18" s="2" t="s">
        <v>57</v>
      </c>
      <c r="F18" s="56">
        <v>41871</v>
      </c>
      <c r="G18" s="4">
        <v>45167</v>
      </c>
      <c r="H18" s="37" t="str">
        <f t="shared" si="0"/>
        <v>Eligible</v>
      </c>
      <c r="I18" s="58">
        <f t="shared" si="1"/>
        <v>0.05</v>
      </c>
    </row>
    <row r="19" spans="1:15" ht="16.5" customHeight="1">
      <c r="A19" s="36">
        <v>2018</v>
      </c>
      <c r="B19" s="2" t="s">
        <v>114</v>
      </c>
      <c r="C19" s="2" t="s">
        <v>50</v>
      </c>
      <c r="D19" s="2" t="s">
        <v>36</v>
      </c>
      <c r="E19" s="2" t="s">
        <v>58</v>
      </c>
      <c r="F19" s="56">
        <v>38161</v>
      </c>
      <c r="G19" s="4">
        <v>45182</v>
      </c>
      <c r="H19" s="37" t="str">
        <f t="shared" si="0"/>
        <v>Eligible</v>
      </c>
      <c r="I19" s="58">
        <f t="shared" si="1"/>
        <v>0.05</v>
      </c>
    </row>
    <row r="20" spans="1:15" ht="15.5" customHeight="1">
      <c r="A20" s="36">
        <v>2019</v>
      </c>
      <c r="B20" s="2" t="s">
        <v>115</v>
      </c>
      <c r="C20" s="2" t="s">
        <v>38</v>
      </c>
      <c r="D20" s="2" t="s">
        <v>36</v>
      </c>
      <c r="E20" s="2" t="s">
        <v>59</v>
      </c>
      <c r="F20" s="56">
        <v>30436</v>
      </c>
      <c r="G20" s="4">
        <v>45197</v>
      </c>
      <c r="H20" s="37" t="str">
        <f t="shared" si="0"/>
        <v>Eligible</v>
      </c>
      <c r="I20" s="58">
        <f t="shared" si="1"/>
        <v>0.05</v>
      </c>
    </row>
    <row r="21" spans="1:15" ht="17" customHeight="1">
      <c r="A21" s="38">
        <v>2020</v>
      </c>
      <c r="B21" s="39" t="s">
        <v>116</v>
      </c>
      <c r="C21" s="39" t="s">
        <v>35</v>
      </c>
      <c r="D21" s="39" t="s">
        <v>36</v>
      </c>
      <c r="E21" s="39" t="s">
        <v>60</v>
      </c>
      <c r="F21" s="57">
        <v>33953</v>
      </c>
      <c r="G21" s="55">
        <v>45212</v>
      </c>
      <c r="H21" s="42" t="str">
        <f t="shared" si="0"/>
        <v>Eligible</v>
      </c>
      <c r="I21" s="59">
        <f t="shared" si="1"/>
        <v>0.05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A537D-C26D-40FD-A5A1-8261E4C15358}">
  <dimension ref="A1:O22"/>
  <sheetViews>
    <sheetView tabSelected="1" zoomScale="70" zoomScaleNormal="70" workbookViewId="0">
      <selection activeCell="E2" sqref="E2"/>
    </sheetView>
  </sheetViews>
  <sheetFormatPr defaultRowHeight="14.5"/>
  <cols>
    <col min="1" max="1" width="13.08984375" customWidth="1"/>
    <col min="2" max="2" width="13.90625" customWidth="1"/>
    <col min="3" max="3" width="12.7265625" customWidth="1"/>
    <col min="5" max="5" width="13.36328125" customWidth="1"/>
    <col min="6" max="6" width="16.90625" customWidth="1"/>
    <col min="9" max="9" width="17.7265625" customWidth="1"/>
    <col min="11" max="11" width="11.1796875" bestFit="1" customWidth="1"/>
    <col min="14" max="14" width="12" customWidth="1"/>
    <col min="15" max="15" width="14.453125" customWidth="1"/>
  </cols>
  <sheetData>
    <row r="1" spans="1:15" ht="19" customHeight="1" thickBot="1">
      <c r="A1" s="51" t="s">
        <v>61</v>
      </c>
      <c r="B1" s="52" t="s">
        <v>1</v>
      </c>
      <c r="C1" s="52" t="s">
        <v>62</v>
      </c>
      <c r="D1" s="52" t="s">
        <v>63</v>
      </c>
      <c r="E1" s="53" t="s">
        <v>134</v>
      </c>
      <c r="F1" s="53" t="s">
        <v>64</v>
      </c>
    </row>
    <row r="2" spans="1:15" ht="15.5" customHeight="1" thickBot="1">
      <c r="A2" s="20">
        <v>3001</v>
      </c>
      <c r="B2" s="1" t="s">
        <v>65</v>
      </c>
      <c r="C2" s="1" t="s">
        <v>66</v>
      </c>
      <c r="D2" s="1">
        <v>86766</v>
      </c>
      <c r="E2" s="60">
        <f ca="1">DATEDIF(Table3[[#This Row],[Joining Date]],TODAY(),"d")</f>
        <v>4088</v>
      </c>
      <c r="F2" s="47">
        <v>42005</v>
      </c>
    </row>
    <row r="3" spans="1:15" ht="17.5" customHeight="1" thickBot="1">
      <c r="A3" s="20">
        <v>3002</v>
      </c>
      <c r="B3" s="1" t="s">
        <v>67</v>
      </c>
      <c r="C3" s="1" t="s">
        <v>66</v>
      </c>
      <c r="D3" s="1">
        <v>31943</v>
      </c>
      <c r="E3" s="60">
        <f ca="1">DATEDIF(Table3[[#This Row],[Joining Date]],TODAY(),"d")</f>
        <v>3838</v>
      </c>
      <c r="F3" s="47">
        <v>42255</v>
      </c>
      <c r="H3" s="10" t="s">
        <v>118</v>
      </c>
      <c r="I3" s="11"/>
      <c r="J3" s="11"/>
      <c r="K3" s="11"/>
      <c r="L3" s="11"/>
      <c r="M3" s="12"/>
      <c r="N3" s="12"/>
      <c r="O3" s="6"/>
    </row>
    <row r="4" spans="1:15" ht="19" customHeight="1" thickBot="1">
      <c r="A4" s="20">
        <v>3003</v>
      </c>
      <c r="B4" s="1" t="s">
        <v>68</v>
      </c>
      <c r="C4" s="1" t="s">
        <v>69</v>
      </c>
      <c r="D4" s="1">
        <v>63374</v>
      </c>
      <c r="E4" s="60">
        <f ca="1">DATEDIF(Table3[[#This Row],[Joining Date]],TODAY(),"d")</f>
        <v>3588</v>
      </c>
      <c r="F4" s="47">
        <v>42505</v>
      </c>
      <c r="H4" s="22"/>
      <c r="I4" s="34" t="s">
        <v>120</v>
      </c>
      <c r="J4" s="24"/>
      <c r="K4" s="34" t="str">
        <f>LEFT(B3, 7)</f>
        <v>Employe</v>
      </c>
      <c r="L4" s="23"/>
      <c r="M4" s="24"/>
      <c r="N4" s="24"/>
      <c r="O4" s="25"/>
    </row>
    <row r="5" spans="1:15" ht="20" customHeight="1" thickBot="1">
      <c r="A5" s="20">
        <v>3004</v>
      </c>
      <c r="B5" s="1" t="s">
        <v>70</v>
      </c>
      <c r="C5" s="1" t="s">
        <v>66</v>
      </c>
      <c r="D5" s="1">
        <v>109972</v>
      </c>
      <c r="E5" s="60">
        <f ca="1">DATEDIF(Table3[[#This Row],[Joining Date]],TODAY(),"d")</f>
        <v>3338</v>
      </c>
      <c r="F5" s="47">
        <v>42755</v>
      </c>
      <c r="H5" s="13"/>
      <c r="I5" s="35" t="s">
        <v>119</v>
      </c>
      <c r="J5" s="14"/>
      <c r="K5" s="35">
        <f>FIND("p",B21)</f>
        <v>3</v>
      </c>
      <c r="L5" s="14"/>
      <c r="M5" s="8"/>
      <c r="N5" s="8"/>
      <c r="O5" s="9"/>
    </row>
    <row r="6" spans="1:15" ht="17.5" customHeight="1" thickBot="1">
      <c r="A6" s="20">
        <v>3005</v>
      </c>
      <c r="B6" s="1" t="s">
        <v>71</v>
      </c>
      <c r="C6" s="1" t="s">
        <v>72</v>
      </c>
      <c r="D6" s="1">
        <v>54149</v>
      </c>
      <c r="E6" s="60">
        <f ca="1">DATEDIF(Table3[[#This Row],[Joining Date]],TODAY(),"d")</f>
        <v>3088</v>
      </c>
      <c r="F6" s="47">
        <v>43005</v>
      </c>
    </row>
    <row r="7" spans="1:15" ht="16" customHeight="1" thickBot="1">
      <c r="A7" s="20">
        <v>3006</v>
      </c>
      <c r="B7" s="1" t="s">
        <v>73</v>
      </c>
      <c r="C7" s="1" t="s">
        <v>72</v>
      </c>
      <c r="D7" s="1">
        <v>78689</v>
      </c>
      <c r="E7" s="60">
        <f ca="1">DATEDIF(Table3[[#This Row],[Joining Date]],TODAY(),"d")</f>
        <v>2838</v>
      </c>
      <c r="F7" s="47">
        <v>43255</v>
      </c>
    </row>
    <row r="8" spans="1:15" ht="20.5" customHeight="1" thickBot="1">
      <c r="A8" s="20">
        <v>3007</v>
      </c>
      <c r="B8" s="1" t="s">
        <v>74</v>
      </c>
      <c r="C8" s="1" t="s">
        <v>75</v>
      </c>
      <c r="D8" s="1">
        <v>35960</v>
      </c>
      <c r="E8" s="60">
        <f ca="1">DATEDIF(Table3[[#This Row],[Joining Date]],TODAY(),"d")</f>
        <v>2588</v>
      </c>
      <c r="F8" s="47">
        <v>43505</v>
      </c>
      <c r="H8" s="10" t="s">
        <v>123</v>
      </c>
      <c r="I8" s="11"/>
      <c r="J8" s="11"/>
      <c r="K8" s="11"/>
      <c r="L8" s="11"/>
      <c r="M8" s="11"/>
      <c r="N8" s="12"/>
      <c r="O8" s="6"/>
    </row>
    <row r="9" spans="1:15" ht="21.5" customHeight="1" thickBot="1">
      <c r="A9" s="20">
        <v>3008</v>
      </c>
      <c r="B9" s="1" t="s">
        <v>76</v>
      </c>
      <c r="C9" s="1" t="s">
        <v>72</v>
      </c>
      <c r="D9" s="1">
        <v>91659</v>
      </c>
      <c r="E9" s="60">
        <f ca="1">DATEDIF(Table3[[#This Row],[Joining Date]],TODAY(),"d")</f>
        <v>2338</v>
      </c>
      <c r="F9" s="47">
        <v>43755</v>
      </c>
      <c r="H9" s="22"/>
      <c r="I9" s="34" t="s">
        <v>121</v>
      </c>
      <c r="J9" s="23"/>
      <c r="K9" s="34" t="str">
        <f>UPPER(B3)</f>
        <v>EMPLOYEE 2</v>
      </c>
      <c r="L9" s="34"/>
      <c r="M9" s="23"/>
      <c r="N9" s="24"/>
      <c r="O9" s="25"/>
    </row>
    <row r="10" spans="1:15" ht="21" customHeight="1" thickBot="1">
      <c r="A10" s="20">
        <v>3009</v>
      </c>
      <c r="B10" s="1" t="s">
        <v>77</v>
      </c>
      <c r="C10" s="1" t="s">
        <v>72</v>
      </c>
      <c r="D10" s="1">
        <v>90423</v>
      </c>
      <c r="E10" s="60">
        <f ca="1">DATEDIF(Table3[[#This Row],[Joining Date]],TODAY(),"d")</f>
        <v>2088</v>
      </c>
      <c r="F10" s="47">
        <v>44005</v>
      </c>
      <c r="H10" s="13"/>
      <c r="I10" s="35" t="s">
        <v>122</v>
      </c>
      <c r="J10" s="14"/>
      <c r="K10" s="35" t="str">
        <f>LOWER(B4)</f>
        <v>employee 3</v>
      </c>
      <c r="L10" s="35"/>
      <c r="M10" s="14"/>
      <c r="N10" s="8"/>
      <c r="O10" s="9"/>
    </row>
    <row r="11" spans="1:15" ht="16" customHeight="1" thickBot="1">
      <c r="A11" s="20">
        <v>3010</v>
      </c>
      <c r="B11" s="1" t="s">
        <v>78</v>
      </c>
      <c r="C11" s="1" t="s">
        <v>69</v>
      </c>
      <c r="D11" s="1">
        <v>107877</v>
      </c>
      <c r="E11" s="60">
        <f ca="1">DATEDIF(Table3[[#This Row],[Joining Date]],TODAY(),"d")</f>
        <v>1838</v>
      </c>
      <c r="F11" s="47">
        <v>44255</v>
      </c>
    </row>
    <row r="12" spans="1:15" ht="16.5" customHeight="1" thickBot="1">
      <c r="A12" s="20">
        <v>3011</v>
      </c>
      <c r="B12" s="1" t="s">
        <v>79</v>
      </c>
      <c r="C12" s="1" t="s">
        <v>66</v>
      </c>
      <c r="D12" s="1">
        <v>107634</v>
      </c>
      <c r="E12" s="60">
        <f ca="1">DATEDIF(Table3[[#This Row],[Joining Date]],TODAY(),"d")</f>
        <v>1588</v>
      </c>
      <c r="F12" s="47">
        <v>44505</v>
      </c>
    </row>
    <row r="13" spans="1:15" ht="17.5" customHeight="1" thickBot="1">
      <c r="A13" s="20">
        <v>3012</v>
      </c>
      <c r="B13" s="1" t="s">
        <v>80</v>
      </c>
      <c r="C13" s="1" t="s">
        <v>66</v>
      </c>
      <c r="D13" s="1">
        <v>35226</v>
      </c>
      <c r="E13" s="60">
        <f ca="1">DATEDIF(Table3[[#This Row],[Joining Date]],TODAY(),"d")</f>
        <v>1338</v>
      </c>
      <c r="F13" s="47">
        <v>44755</v>
      </c>
      <c r="H13" s="10" t="s">
        <v>128</v>
      </c>
      <c r="I13" s="11"/>
      <c r="J13" s="11"/>
      <c r="K13" s="11"/>
      <c r="L13" s="11"/>
      <c r="M13" s="11"/>
      <c r="N13" s="11"/>
      <c r="O13" s="6"/>
    </row>
    <row r="14" spans="1:15" ht="19.5" customHeight="1" thickBot="1">
      <c r="A14" s="20">
        <v>3013</v>
      </c>
      <c r="B14" s="1" t="s">
        <v>81</v>
      </c>
      <c r="C14" s="1" t="s">
        <v>69</v>
      </c>
      <c r="D14" s="1">
        <v>40872</v>
      </c>
      <c r="E14" s="60">
        <f ca="1">DATEDIF(Table3[[#This Row],[Joining Date]],TODAY(),"d")</f>
        <v>1088</v>
      </c>
      <c r="F14" s="47">
        <v>45005</v>
      </c>
      <c r="H14" s="13"/>
      <c r="I14" s="14"/>
      <c r="J14" s="14"/>
      <c r="K14" s="14">
        <f>INDEX(A2:F21, MATCH("Employee 4", B2:B21, 0), MATCH("Salary", A1:F1, 0))</f>
        <v>109972</v>
      </c>
      <c r="L14" s="14"/>
      <c r="M14" s="14"/>
      <c r="N14" s="14"/>
      <c r="O14" s="9"/>
    </row>
    <row r="15" spans="1:15" ht="17.5" customHeight="1" thickBot="1">
      <c r="A15" s="20">
        <v>3014</v>
      </c>
      <c r="B15" s="1" t="s">
        <v>82</v>
      </c>
      <c r="C15" s="1" t="s">
        <v>69</v>
      </c>
      <c r="D15" s="1">
        <v>55378</v>
      </c>
      <c r="E15" s="60">
        <f ca="1">DATEDIF(Table3[[#This Row],[Joining Date]],TODAY(),"d")</f>
        <v>838</v>
      </c>
      <c r="F15" s="47">
        <v>45255</v>
      </c>
    </row>
    <row r="16" spans="1:15" ht="18.5" customHeight="1" thickBot="1">
      <c r="A16" s="20">
        <v>3015</v>
      </c>
      <c r="B16" s="1" t="s">
        <v>83</v>
      </c>
      <c r="C16" s="1" t="s">
        <v>69</v>
      </c>
      <c r="D16" s="1">
        <v>63297</v>
      </c>
      <c r="E16" s="60">
        <f ca="1">DATEDIF(Table3[[#This Row],[Joining Date]],TODAY(),"d")</f>
        <v>588</v>
      </c>
      <c r="F16" s="47">
        <v>45505</v>
      </c>
    </row>
    <row r="17" spans="1:14" ht="17.5" customHeight="1" thickBot="1">
      <c r="A17" s="20">
        <v>3016</v>
      </c>
      <c r="B17" s="1" t="s">
        <v>84</v>
      </c>
      <c r="C17" s="1" t="s">
        <v>66</v>
      </c>
      <c r="D17" s="1">
        <v>114173</v>
      </c>
      <c r="E17" s="60">
        <f ca="1">DATEDIF(Table3[[#This Row],[Joining Date]],TODAY(),"d")</f>
        <v>338</v>
      </c>
      <c r="F17" s="47">
        <v>45755</v>
      </c>
      <c r="I17" s="10" t="s">
        <v>129</v>
      </c>
      <c r="J17" s="11"/>
      <c r="K17" s="11"/>
      <c r="L17" s="11"/>
      <c r="M17" s="12"/>
      <c r="N17" s="6"/>
    </row>
    <row r="18" spans="1:14" ht="19" customHeight="1" thickBot="1">
      <c r="A18" s="20">
        <v>3017</v>
      </c>
      <c r="B18" s="1" t="s">
        <v>85</v>
      </c>
      <c r="C18" s="1" t="s">
        <v>69</v>
      </c>
      <c r="D18" s="1">
        <v>86915</v>
      </c>
      <c r="E18" s="60">
        <f ca="1">DATEDIF(Table3[[#This Row],[Joining Date]],TODAY(),"d")</f>
        <v>88</v>
      </c>
      <c r="F18" s="47">
        <v>46005</v>
      </c>
      <c r="I18" s="13"/>
      <c r="J18" s="14"/>
      <c r="K18" s="14">
        <f ca="1">SUM(INDIRECT("D2:D21"))</f>
        <v>1586798</v>
      </c>
      <c r="L18" s="14"/>
      <c r="M18" s="8"/>
      <c r="N18" s="9"/>
    </row>
    <row r="19" spans="1:14" ht="18" customHeight="1" thickBot="1">
      <c r="A19" s="20">
        <v>3018</v>
      </c>
      <c r="B19" s="1" t="s">
        <v>86</v>
      </c>
      <c r="C19" s="1" t="s">
        <v>72</v>
      </c>
      <c r="D19" s="1">
        <v>116284</v>
      </c>
      <c r="E19" s="60">
        <v>1338</v>
      </c>
      <c r="F19" s="47">
        <v>46255</v>
      </c>
    </row>
    <row r="20" spans="1:14" ht="14" customHeight="1" thickBot="1">
      <c r="A20" s="20">
        <v>3019</v>
      </c>
      <c r="B20" s="1" t="s">
        <v>87</v>
      </c>
      <c r="C20" s="1" t="s">
        <v>75</v>
      </c>
      <c r="D20" s="1">
        <v>116283</v>
      </c>
      <c r="E20" s="60">
        <v>677</v>
      </c>
      <c r="F20" s="47">
        <v>46505</v>
      </c>
    </row>
    <row r="21" spans="1:14" ht="21" customHeight="1" thickBot="1">
      <c r="A21" s="48">
        <v>3020</v>
      </c>
      <c r="B21" s="49" t="s">
        <v>88</v>
      </c>
      <c r="C21" s="49" t="s">
        <v>75</v>
      </c>
      <c r="D21" s="49">
        <v>99924</v>
      </c>
      <c r="E21" s="60">
        <v>76</v>
      </c>
      <c r="F21" s="50">
        <v>46755</v>
      </c>
      <c r="I21" s="10" t="s">
        <v>130</v>
      </c>
      <c r="J21" s="11"/>
      <c r="K21" s="11"/>
      <c r="L21" s="11"/>
      <c r="M21" s="6"/>
    </row>
    <row r="22" spans="1:14" ht="21.5" thickBot="1">
      <c r="I22" s="13"/>
      <c r="J22" s="14">
        <f ca="1">AVERAGE(OFFSET(D2,1,0,3,1))</f>
        <v>68429.666666666672</v>
      </c>
      <c r="K22" s="14"/>
      <c r="L22" s="14"/>
      <c r="M22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grade</vt:lpstr>
      <vt:lpstr>Sales data</vt:lpstr>
      <vt:lpstr>employee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2026-03-12T03:48:19Z</dcterms:created>
  <dcterms:modified xsi:type="dcterms:W3CDTF">2026-03-12T07:07:08Z</dcterms:modified>
</cp:coreProperties>
</file>